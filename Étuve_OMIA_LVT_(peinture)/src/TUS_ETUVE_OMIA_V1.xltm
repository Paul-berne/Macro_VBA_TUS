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Étuve_OMIA_LVT_(peinture)\src\"/>
    </mc:Choice>
  </mc:AlternateContent>
  <xr:revisionPtr revIDLastSave="0" documentId="13_ncr:1_{3240AEF1-679F-49FF-BF05-76438AB55BF8}" xr6:coauthVersionLast="47" xr6:coauthVersionMax="47" xr10:uidLastSave="{00000000-0000-0000-0000-000000000000}"/>
  <workbookProtection workbookAlgorithmName="SHA-512" workbookHashValue="DrRL2X6s3Qk51CkjlOHY4ZalKinnAZxPS1Ba7ZZEzsK/Cdn2aVvHEX88GzwiRjerV9jU+G7L6Kty7sp1JSwI7w==" workbookSaltValue="+TPDUZzMg2DopzrHmjbfig==" workbookSpinCount="100000" lockStructure="1"/>
  <bookViews>
    <workbookView xWindow="-120" yWindow="-120" windowWidth="29040" windowHeight="15840" xr2:uid="{00000000-000D-0000-FFFF-FFFF00000000}"/>
  </bookViews>
  <sheets>
    <sheet name="Mesures" sheetId="1" r:id="rId1"/>
    <sheet name="Entetes" sheetId="2" state="hidden" r:id="rId2"/>
    <sheet name="Group-1" sheetId="10" state="hidden" r:id="rId3"/>
    <sheet name="Donnee_60" sheetId="3" r:id="rId4"/>
    <sheet name="Donnee_150" sheetId="4" r:id="rId5"/>
    <sheet name="Donnee_190" sheetId="5" r:id="rId6"/>
    <sheet name="60°C" sheetId="6" r:id="rId7"/>
    <sheet name="150°C" sheetId="7" r:id="rId8"/>
    <sheet name="190°C" sheetId="8" r:id="rId9"/>
    <sheet name="PV" sheetId="9" r:id="rId10"/>
  </sheets>
  <functionGroups builtInGroupCount="19"/>
  <externalReferences>
    <externalReference r:id="rId11"/>
  </externalReferences>
  <definedNames>
    <definedName name="Consigne_tolerance">[1]Mesures!$A$19:$B$20</definedName>
    <definedName name="Enregistreur">Entetes!$A$2:$O$19</definedName>
    <definedName name="Positions_TC_Enreg">[1]Mesures!$A$22:$C$34</definedName>
    <definedName name="Vérification_60">'60°C'!$B$47:$O$54</definedName>
    <definedName name="_xlnm.Print_Area" localSheetId="9">PV!$A$1:$O$519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08" i="9" l="1"/>
  <c r="F508" i="9"/>
  <c r="E508" i="9"/>
  <c r="B440" i="9" a="1"/>
  <c r="B440" i="9" s="1"/>
  <c r="C419" i="9"/>
  <c r="C418" i="9"/>
  <c r="B410" i="9"/>
  <c r="B331" i="9" a="1"/>
  <c r="B331" i="9" s="1"/>
  <c r="C308" i="9"/>
  <c r="C309" i="9"/>
  <c r="B300" i="9"/>
  <c r="B233" i="9" a="1"/>
  <c r="B233" i="9" s="1"/>
  <c r="C47" i="6" a="1"/>
  <c r="C47" i="6" s="1"/>
  <c r="C210" i="9"/>
  <c r="C209" i="9"/>
  <c r="B201" i="9"/>
  <c r="C169" i="9"/>
  <c r="C170" i="9"/>
  <c r="C171" i="9"/>
  <c r="C172" i="9"/>
  <c r="C173" i="9"/>
  <c r="C174" i="9"/>
  <c r="C175" i="9"/>
  <c r="C176" i="9"/>
  <c r="C177" i="9"/>
  <c r="C178" i="9"/>
  <c r="C179" i="9"/>
  <c r="C180" i="9"/>
  <c r="C168" i="9"/>
  <c r="B169" i="9"/>
  <c r="B170" i="9"/>
  <c r="B171" i="9"/>
  <c r="B172" i="9"/>
  <c r="B173" i="9"/>
  <c r="B174" i="9"/>
  <c r="B175" i="9"/>
  <c r="B176" i="9"/>
  <c r="B177" i="9"/>
  <c r="B178" i="9"/>
  <c r="B179" i="9"/>
  <c r="B180" i="9"/>
  <c r="B168" i="9"/>
  <c r="G122" i="9"/>
  <c r="G121" i="9"/>
  <c r="G120" i="9"/>
  <c r="G119" i="9"/>
  <c r="E96" i="9" a="1"/>
  <c r="E96" i="9" s="1"/>
  <c r="D19" i="9"/>
  <c r="D18" i="9"/>
  <c r="G18" i="9"/>
  <c r="G16" i="9"/>
  <c r="G15" i="9"/>
  <c r="D16" i="9"/>
  <c r="D15" i="9"/>
  <c r="G13" i="9"/>
  <c r="G12" i="9"/>
  <c r="D13" i="9"/>
  <c r="D12" i="9"/>
  <c r="E10" i="9"/>
  <c r="A56" i="1"/>
  <c r="C108" i="9" s="1"/>
  <c r="A45" i="1"/>
  <c r="C97" i="9" s="1"/>
  <c r="A46" i="1"/>
  <c r="C98" i="9" s="1"/>
  <c r="A47" i="1"/>
  <c r="C99" i="9" s="1"/>
  <c r="A48" i="1"/>
  <c r="C100" i="9" s="1"/>
  <c r="A49" i="1"/>
  <c r="C101" i="9" s="1"/>
  <c r="A50" i="1"/>
  <c r="C102" i="9" s="1"/>
  <c r="A51" i="1"/>
  <c r="C103" i="9" s="1"/>
  <c r="A52" i="1"/>
  <c r="C104" i="9" s="1"/>
  <c r="A53" i="1"/>
  <c r="C105" i="9" s="1"/>
  <c r="A54" i="1"/>
  <c r="C106" i="9" s="1"/>
  <c r="A55" i="1"/>
  <c r="C107" i="9" s="1"/>
  <c r="A44" i="1"/>
  <c r="C96" i="9" s="1"/>
  <c r="S48" i="8" l="1"/>
  <c r="P49" i="8"/>
  <c r="P48" i="8"/>
  <c r="C47" i="8" a="1"/>
  <c r="C47" i="8" s="1"/>
  <c r="C5" i="8" s="1"/>
  <c r="C47" i="7" a="1"/>
  <c r="C47" i="7" s="1"/>
  <c r="C10" i="7" a="1"/>
  <c r="C10" i="7" s="1"/>
  <c r="S48" i="7"/>
  <c r="P49" i="7"/>
  <c r="P48" i="7"/>
  <c r="S48" i="6"/>
  <c r="P49" i="6"/>
  <c r="P48" i="6"/>
  <c r="C10" i="6" a="1"/>
  <c r="C10" i="6" s="1"/>
  <c r="C5" i="6"/>
  <c r="C10" i="8" a="1"/>
  <c r="C10" i="8" s="1"/>
  <c r="S50" i="8"/>
  <c r="S49" i="8"/>
  <c r="S50" i="7"/>
  <c r="S49" i="7"/>
  <c r="S50" i="6"/>
  <c r="S49" i="6"/>
  <c r="F5" i="8" l="1"/>
  <c r="N5" i="8"/>
  <c r="I6" i="8"/>
  <c r="G5" i="8"/>
  <c r="O5" i="8"/>
  <c r="J6" i="8"/>
  <c r="H5" i="8"/>
  <c r="K6" i="8"/>
  <c r="I5" i="8"/>
  <c r="D6" i="8"/>
  <c r="L6" i="8"/>
  <c r="C6" i="8"/>
  <c r="J5" i="8"/>
  <c r="E6" i="8"/>
  <c r="M6" i="8"/>
  <c r="K5" i="8"/>
  <c r="F6" i="8"/>
  <c r="N6" i="8"/>
  <c r="D5" i="8"/>
  <c r="L5" i="8"/>
  <c r="G6" i="8"/>
  <c r="O6" i="8"/>
  <c r="O54" i="8" s="1"/>
  <c r="E5" i="8"/>
  <c r="M5" i="8"/>
  <c r="H6" i="8"/>
  <c r="G5" i="7"/>
  <c r="O5" i="7"/>
  <c r="O54" i="7" s="1"/>
  <c r="K6" i="7"/>
  <c r="N5" i="7"/>
  <c r="H5" i="7"/>
  <c r="D6" i="7"/>
  <c r="L6" i="7"/>
  <c r="K5" i="7"/>
  <c r="G6" i="7"/>
  <c r="D5" i="7"/>
  <c r="L5" i="7"/>
  <c r="E5" i="7"/>
  <c r="M5" i="7"/>
  <c r="F5" i="7"/>
  <c r="J6" i="7"/>
  <c r="I5" i="7"/>
  <c r="E6" i="7"/>
  <c r="M6" i="7"/>
  <c r="O6" i="7"/>
  <c r="H6" i="7"/>
  <c r="I6" i="7"/>
  <c r="J5" i="7"/>
  <c r="F6" i="7"/>
  <c r="N6" i="7"/>
  <c r="C5" i="7"/>
  <c r="C6" i="7"/>
  <c r="H5" i="6"/>
  <c r="C6" i="6"/>
  <c r="C54" i="6" s="1"/>
  <c r="K6" i="6"/>
  <c r="F5" i="6"/>
  <c r="N5" i="6"/>
  <c r="I6" i="6"/>
  <c r="I5" i="6"/>
  <c r="D6" i="6"/>
  <c r="L6" i="6"/>
  <c r="M6" i="6"/>
  <c r="K5" i="6"/>
  <c r="F6" i="6"/>
  <c r="N6" i="6"/>
  <c r="G5" i="6"/>
  <c r="O5" i="6"/>
  <c r="J6" i="6"/>
  <c r="E6" i="6"/>
  <c r="D5" i="6"/>
  <c r="L5" i="6"/>
  <c r="G6" i="6"/>
  <c r="O6" i="6"/>
  <c r="J5" i="6"/>
  <c r="E5" i="6"/>
  <c r="M5" i="6"/>
  <c r="H6" i="6"/>
  <c r="C11" i="8" l="1" a="1"/>
  <c r="M48" i="8" s="1"/>
  <c r="C11" i="7" a="1"/>
  <c r="C11" i="7" s="1"/>
  <c r="D54" i="6"/>
  <c r="C11" i="6" a="1"/>
  <c r="N54" i="8"/>
  <c r="F54" i="8"/>
  <c r="E54" i="8"/>
  <c r="J54" i="8"/>
  <c r="M54" i="8"/>
  <c r="I54" i="8"/>
  <c r="K54" i="8"/>
  <c r="L54" i="8"/>
  <c r="O54" i="6"/>
  <c r="G54" i="8"/>
  <c r="D54" i="8"/>
  <c r="H54" i="8"/>
  <c r="C54" i="8"/>
  <c r="G49" i="8" l="1"/>
  <c r="F50" i="8"/>
  <c r="J50" i="8"/>
  <c r="F48" i="8"/>
  <c r="E49" i="8"/>
  <c r="G50" i="8"/>
  <c r="I49" i="8"/>
  <c r="E50" i="8"/>
  <c r="K49" i="8"/>
  <c r="E48" i="8"/>
  <c r="J49" i="8"/>
  <c r="F49" i="8"/>
  <c r="N49" i="8"/>
  <c r="L50" i="8"/>
  <c r="N50" i="8"/>
  <c r="D50" i="8"/>
  <c r="H50" i="8"/>
  <c r="O48" i="8"/>
  <c r="O49" i="8"/>
  <c r="L48" i="8"/>
  <c r="L49" i="8"/>
  <c r="K50" i="8"/>
  <c r="J48" i="8"/>
  <c r="D48" i="8"/>
  <c r="D49" i="8"/>
  <c r="K48" i="8"/>
  <c r="M50" i="8"/>
  <c r="M49" i="8"/>
  <c r="O50" i="8"/>
  <c r="I48" i="8"/>
  <c r="I50" i="8"/>
  <c r="H49" i="8"/>
  <c r="C11" i="8"/>
  <c r="C50" i="8" s="1"/>
  <c r="H48" i="8"/>
  <c r="G48" i="8"/>
  <c r="N48" i="8"/>
  <c r="B447" i="9" a="1"/>
  <c r="B447" i="9" s="1"/>
  <c r="L48" i="7"/>
  <c r="J48" i="7"/>
  <c r="O50" i="7"/>
  <c r="N50" i="7"/>
  <c r="M50" i="7"/>
  <c r="N49" i="7"/>
  <c r="H50" i="7"/>
  <c r="G50" i="7"/>
  <c r="F50" i="7"/>
  <c r="E50" i="7"/>
  <c r="O49" i="7"/>
  <c r="J50" i="7"/>
  <c r="F49" i="7"/>
  <c r="G49" i="7"/>
  <c r="I50" i="7"/>
  <c r="L49" i="7"/>
  <c r="K49" i="7"/>
  <c r="J49" i="7"/>
  <c r="I49" i="7"/>
  <c r="H49" i="7"/>
  <c r="L50" i="7"/>
  <c r="K50" i="7"/>
  <c r="K48" i="7"/>
  <c r="D48" i="7"/>
  <c r="M49" i="7"/>
  <c r="D49" i="7"/>
  <c r="O48" i="7"/>
  <c r="N48" i="7"/>
  <c r="M48" i="7"/>
  <c r="E49" i="7"/>
  <c r="H48" i="7"/>
  <c r="G48" i="7"/>
  <c r="F48" i="7"/>
  <c r="E48" i="7"/>
  <c r="I48" i="7"/>
  <c r="D50" i="7"/>
  <c r="C11" i="6"/>
  <c r="D49" i="6"/>
  <c r="C235" i="9" s="1"/>
  <c r="L49" i="6"/>
  <c r="K235" i="9" s="1"/>
  <c r="H50" i="6"/>
  <c r="G236" i="9" s="1"/>
  <c r="I48" i="6"/>
  <c r="H234" i="9" s="1"/>
  <c r="E49" i="6"/>
  <c r="D235" i="9" s="1"/>
  <c r="M49" i="6"/>
  <c r="L235" i="9" s="1"/>
  <c r="I50" i="6"/>
  <c r="H236" i="9" s="1"/>
  <c r="J48" i="6"/>
  <c r="I234" i="9" s="1"/>
  <c r="O48" i="6"/>
  <c r="N234" i="9" s="1"/>
  <c r="H48" i="6"/>
  <c r="G234" i="9" s="1"/>
  <c r="F49" i="6"/>
  <c r="E235" i="9" s="1"/>
  <c r="N49" i="6"/>
  <c r="M235" i="9" s="1"/>
  <c r="J50" i="6"/>
  <c r="I236" i="9" s="1"/>
  <c r="K48" i="6"/>
  <c r="J234" i="9" s="1"/>
  <c r="E50" i="6"/>
  <c r="D236" i="9" s="1"/>
  <c r="F50" i="6"/>
  <c r="E236" i="9" s="1"/>
  <c r="O50" i="6"/>
  <c r="N236" i="9" s="1"/>
  <c r="G49" i="6"/>
  <c r="F235" i="9" s="1"/>
  <c r="O49" i="6"/>
  <c r="N235" i="9" s="1"/>
  <c r="K50" i="6"/>
  <c r="J236" i="9" s="1"/>
  <c r="L48" i="6"/>
  <c r="K234" i="9" s="1"/>
  <c r="I49" i="6"/>
  <c r="H235" i="9" s="1"/>
  <c r="F48" i="6"/>
  <c r="E234" i="9" s="1"/>
  <c r="J49" i="6"/>
  <c r="I235" i="9" s="1"/>
  <c r="N50" i="6"/>
  <c r="M236" i="9" s="1"/>
  <c r="G48" i="6"/>
  <c r="F234" i="9" s="1"/>
  <c r="G50" i="6"/>
  <c r="F236" i="9" s="1"/>
  <c r="H49" i="6"/>
  <c r="G235" i="9" s="1"/>
  <c r="D50" i="6"/>
  <c r="C236" i="9" s="1"/>
  <c r="L50" i="6"/>
  <c r="K236" i="9" s="1"/>
  <c r="E48" i="6"/>
  <c r="M48" i="6"/>
  <c r="L234" i="9" s="1"/>
  <c r="M50" i="6"/>
  <c r="L236" i="9" s="1"/>
  <c r="N48" i="6"/>
  <c r="M234" i="9" s="1"/>
  <c r="K49" i="6"/>
  <c r="J235" i="9" s="1"/>
  <c r="D48" i="6"/>
  <c r="C234" i="9" s="1"/>
  <c r="C50" i="7"/>
  <c r="C48" i="7"/>
  <c r="C49" i="7"/>
  <c r="O51" i="7" l="1"/>
  <c r="C423" i="9"/>
  <c r="C48" i="8"/>
  <c r="E420" i="9" s="1" a="1"/>
  <c r="E420" i="9" s="1"/>
  <c r="O51" i="8"/>
  <c r="C49" i="8"/>
  <c r="C313" i="9"/>
  <c r="C312" i="9"/>
  <c r="F512" i="9"/>
  <c r="C311" i="9"/>
  <c r="E310" i="9" a="1"/>
  <c r="E310" i="9" s="1"/>
  <c r="C310" i="9"/>
  <c r="E311" i="9" a="1"/>
  <c r="E311" i="9" s="1"/>
  <c r="F510" i="9"/>
  <c r="E51" i="6"/>
  <c r="D237" i="9" s="1"/>
  <c r="D234" i="9"/>
  <c r="F509" i="9"/>
  <c r="E312" i="9" a="1"/>
  <c r="E312" i="9" s="1"/>
  <c r="G51" i="6"/>
  <c r="F237" i="9" s="1"/>
  <c r="I51" i="6"/>
  <c r="H237" i="9" s="1"/>
  <c r="F51" i="6"/>
  <c r="E237" i="9" s="1"/>
  <c r="M51" i="6"/>
  <c r="L237" i="9" s="1"/>
  <c r="O51" i="6"/>
  <c r="N237" i="9" s="1"/>
  <c r="N51" i="6"/>
  <c r="M237" i="9" s="1"/>
  <c r="D51" i="6"/>
  <c r="C237" i="9" s="1"/>
  <c r="J51" i="6"/>
  <c r="I237" i="9" s="1"/>
  <c r="C48" i="6"/>
  <c r="C50" i="6"/>
  <c r="C49" i="6"/>
  <c r="H51" i="6"/>
  <c r="G237" i="9" s="1"/>
  <c r="K51" i="6"/>
  <c r="J237" i="9" s="1"/>
  <c r="L51" i="6"/>
  <c r="K237" i="9" s="1"/>
  <c r="B11" i="8" a="1"/>
  <c r="B10" i="8"/>
  <c r="B10" i="7"/>
  <c r="B11" i="7" a="1"/>
  <c r="B11" i="6" a="1"/>
  <c r="B10" i="6"/>
  <c r="A1" i="8"/>
  <c r="A1" i="7"/>
  <c r="A1" i="6"/>
  <c r="E421" i="9" l="1" a="1"/>
  <c r="E421" i="9" s="1"/>
  <c r="D421" i="9" s="1"/>
  <c r="G510" i="9"/>
  <c r="C420" i="9"/>
  <c r="C421" i="9"/>
  <c r="G512" i="9"/>
  <c r="C52" i="8"/>
  <c r="G507" i="9" s="1"/>
  <c r="E422" i="9" a="1"/>
  <c r="E422" i="9" s="1"/>
  <c r="F422" i="9" s="1"/>
  <c r="C422" i="9"/>
  <c r="G509" i="9"/>
  <c r="B11" i="6"/>
  <c r="G202" i="9" s="1"/>
  <c r="H202" i="9"/>
  <c r="B11" i="8"/>
  <c r="G411" i="9" s="1"/>
  <c r="H411" i="9"/>
  <c r="B11" i="7"/>
  <c r="G301" i="9" s="1"/>
  <c r="H301" i="9"/>
  <c r="F310" i="9"/>
  <c r="D310" i="9"/>
  <c r="F312" i="9"/>
  <c r="D312" i="9"/>
  <c r="F420" i="9"/>
  <c r="D420" i="9"/>
  <c r="F311" i="9"/>
  <c r="D311" i="9"/>
  <c r="C214" i="9"/>
  <c r="B236" i="9"/>
  <c r="B235" i="9"/>
  <c r="E509" i="9"/>
  <c r="E512" i="9"/>
  <c r="E510" i="9"/>
  <c r="B234" i="9"/>
  <c r="E213" i="9" a="1"/>
  <c r="E213" i="9" s="1"/>
  <c r="C213" i="9"/>
  <c r="C211" i="9"/>
  <c r="E212" i="9" a="1"/>
  <c r="E212" i="9" s="1"/>
  <c r="E211" i="9" a="1"/>
  <c r="E211" i="9" s="1"/>
  <c r="C212" i="9"/>
  <c r="J54" i="6"/>
  <c r="K54" i="6"/>
  <c r="G54" i="6"/>
  <c r="N54" i="7"/>
  <c r="H54" i="6"/>
  <c r="G54" i="7"/>
  <c r="J54" i="7"/>
  <c r="F54" i="7"/>
  <c r="I54" i="6"/>
  <c r="H54" i="7"/>
  <c r="L54" i="6"/>
  <c r="C54" i="7"/>
  <c r="K54" i="7"/>
  <c r="E54" i="6"/>
  <c r="M54" i="6"/>
  <c r="D54" i="7"/>
  <c r="L54" i="7"/>
  <c r="I54" i="7"/>
  <c r="F54" i="6"/>
  <c r="N54" i="6"/>
  <c r="E54" i="7"/>
  <c r="M54" i="7"/>
  <c r="C53" i="8"/>
  <c r="H51" i="8"/>
  <c r="C51" i="8"/>
  <c r="K51" i="8"/>
  <c r="D51" i="8"/>
  <c r="L51" i="8"/>
  <c r="M51" i="8"/>
  <c r="I301" i="9" l="1"/>
  <c r="F421" i="9"/>
  <c r="B445" i="9"/>
  <c r="D422" i="9"/>
  <c r="I202" i="9"/>
  <c r="I411" i="9"/>
  <c r="B446" i="9"/>
  <c r="G511" i="9"/>
  <c r="B338" i="9" a="1"/>
  <c r="B338" i="9" s="1"/>
  <c r="B240" i="9" a="1"/>
  <c r="B240" i="9" s="1"/>
  <c r="F211" i="9"/>
  <c r="D211" i="9"/>
  <c r="F212" i="9"/>
  <c r="D212" i="9"/>
  <c r="F213" i="9"/>
  <c r="D213" i="9"/>
  <c r="C53" i="6"/>
  <c r="C52" i="6"/>
  <c r="C53" i="7"/>
  <c r="E51" i="8"/>
  <c r="J51" i="7"/>
  <c r="F51" i="8"/>
  <c r="G51" i="8"/>
  <c r="M51" i="7"/>
  <c r="H51" i="7"/>
  <c r="I51" i="8"/>
  <c r="F51" i="7"/>
  <c r="J51" i="8"/>
  <c r="E51" i="7"/>
  <c r="N51" i="8"/>
  <c r="I51" i="7"/>
  <c r="C51" i="6"/>
  <c r="B237" i="9" s="1"/>
  <c r="G51" i="7"/>
  <c r="C51" i="7"/>
  <c r="C52" i="7"/>
  <c r="L51" i="7"/>
  <c r="K51" i="7"/>
  <c r="N51" i="7"/>
  <c r="D51" i="7"/>
  <c r="B441" i="9" l="1" a="1"/>
  <c r="B441" i="9" s="1"/>
  <c r="B332" i="9" a="1"/>
  <c r="B332" i="9" s="1"/>
  <c r="E507" i="9"/>
  <c r="B238" i="9"/>
  <c r="E511" i="9"/>
  <c r="B239" i="9"/>
  <c r="F507" i="9"/>
  <c r="B336" i="9"/>
  <c r="B337" i="9"/>
  <c r="F511"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<sst xmlns="http://schemas.openxmlformats.org/spreadsheetml/2006/main" count="419" uniqueCount="184">
  <si>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</si>
  <si>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</si>
  <si>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</si>
  <si>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</si>
  <si>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</si>
  <si>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</si>
  <si>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</si>
  <si>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</si>
  <si>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</si>
  <si>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</si>
  <si>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</si>
  <si>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</si>
  <si>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</si>
  <si>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</si>
  <si>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</si>
  <si>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</si>
  <si>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</si>
  <si>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</si>
  <si>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</si>
  <si>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</si>
  <si>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</si>
  <si>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</si>
  <si>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</si>
  <si>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</si>
  <si>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</si>
  <si>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</si>
  <si>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</si>
  <si>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</si>
  <si>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</si>
  <si>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</si>
  <si>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</si>
  <si>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</si>
  <si>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</si>
  <si>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Date/Heure</t>
  </si>
  <si>
    <t>En-têtes de l'enregistreur</t>
  </si>
  <si>
    <t>Connecteur 1</t>
  </si>
  <si>
    <t>Connecteur 2</t>
  </si>
  <si>
    <t>Connecteur 3</t>
  </si>
  <si>
    <t>Connecteur 4</t>
  </si>
  <si>
    <t>Connecteur 5</t>
  </si>
  <si>
    <t>Connecteur 6</t>
  </si>
  <si>
    <t>Connecteur 7</t>
  </si>
  <si>
    <t>Connecteur 8</t>
  </si>
  <si>
    <t>Connecteur 9</t>
  </si>
  <si>
    <t>Connecteur 10</t>
  </si>
  <si>
    <t>Connecteur 11</t>
  </si>
  <si>
    <t>Connecteur 12</t>
  </si>
  <si>
    <t>Décalage TC</t>
  </si>
  <si>
    <t>Décalage Enreg.</t>
  </si>
  <si>
    <t>Valeurs corrigées</t>
  </si>
  <si>
    <t>Temps de maintien</t>
  </si>
  <si>
    <t>Consignes</t>
  </si>
  <si>
    <t>MAX 30</t>
  </si>
  <si>
    <t>Tolérance haute</t>
  </si>
  <si>
    <t>MIN 30</t>
  </si>
  <si>
    <t>Tolérance basse</t>
  </si>
  <si>
    <t>MOYENNE 30</t>
  </si>
  <si>
    <t>AMPLITUDE</t>
  </si>
  <si>
    <t>HOMOGENEITE</t>
  </si>
  <si>
    <t>MOY</t>
  </si>
  <si>
    <t>Ecartype 30</t>
  </si>
  <si>
    <t>Tolérances +/-</t>
  </si>
  <si>
    <t>Positions</t>
  </si>
  <si>
    <t>Thermocouples</t>
  </si>
  <si>
    <t>N° voie Enregistreur</t>
  </si>
  <si>
    <t>Décalage Enregistreur
60°C</t>
  </si>
  <si>
    <t>Décalage Enregistreur
190°C</t>
  </si>
  <si>
    <t>Décalage Enregistreur
150°C</t>
  </si>
  <si>
    <t>Décalage TC
60°C</t>
  </si>
  <si>
    <t>Décalage TC
150°C</t>
  </si>
  <si>
    <t>Décalage TC
190°C</t>
  </si>
  <si>
    <t>Connecteur 13</t>
  </si>
  <si>
    <t>Constat de vérification N°</t>
  </si>
  <si>
    <t>Date de début d'essai :</t>
  </si>
  <si>
    <t>Date de fin d'essai :</t>
  </si>
  <si>
    <t>Heure de début :</t>
  </si>
  <si>
    <t>Heure de fin :</t>
  </si>
  <si>
    <t>Date d'émission :</t>
  </si>
  <si>
    <t>Périodicité :</t>
  </si>
  <si>
    <t>Nombres de pages :</t>
  </si>
  <si>
    <t>Validité du contrôle :</t>
  </si>
  <si>
    <t>Rédacteur :</t>
  </si>
  <si>
    <t>Technicien (s) :</t>
  </si>
  <si>
    <t>Site :</t>
  </si>
  <si>
    <t>1. Objet</t>
  </si>
  <si>
    <t>2. Désignation du matériel à vérifier</t>
  </si>
  <si>
    <t>1 – Informations générales</t>
  </si>
  <si>
    <t>Atmosphère : Air</t>
  </si>
  <si>
    <t>2 – Instrumentation</t>
  </si>
  <si>
    <t>3 – Installation</t>
  </si>
  <si>
    <t>3. Désignation du matériel de vérification</t>
  </si>
  <si>
    <t>1 – Thermocouples</t>
  </si>
  <si>
    <t>Type : N</t>
  </si>
  <si>
    <t>Équipement de contrôle</t>
  </si>
  <si>
    <t>Numéro de série</t>
  </si>
  <si>
    <t>CONSTAT DE 
VERIFICATION</t>
  </si>
  <si>
    <t>Certificat
d'étalonnage</t>
  </si>
  <si>
    <t>validité
jusqu'au</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</si>
  <si>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</si>
  <si>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</si>
  <si>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</si>
  <si>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</si>
  <si>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</si>
  <si>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</si>
  <si>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</si>
  <si>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</si>
  <si>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</si>
  <si>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</si>
  <si>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</si>
  <si>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</si>
  <si>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</si>
  <si>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Régime d'équilibre</t>
  </si>
  <si>
    <t>Début</t>
  </si>
  <si>
    <t>Fin</t>
  </si>
  <si>
    <t>Durée</t>
  </si>
  <si>
    <t>1 – Relevés de mesure du matériel de vérification</t>
  </si>
  <si>
    <t>Désignation</t>
  </si>
  <si>
    <t>Valeur</t>
  </si>
  <si>
    <t>Position</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</si>
  <si>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</si>
  <si>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</si>
  <si>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</si>
  <si>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</si>
  <si>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</si>
  <si>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</si>
  <si>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</si>
  <si>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</si>
  <si>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</si>
  <si>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</si>
  <si>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</si>
  <si>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3 – Courbe</t>
  </si>
  <si>
    <t>Température nominale de traitement désiré</t>
  </si>
  <si>
    <t>Température de Consigne</t>
  </si>
  <si>
    <t>Homogénéité en régime d'équilibre</t>
  </si>
  <si>
    <t>Tolérance requise</t>
  </si>
  <si>
    <t>Classe de l'installation</t>
  </si>
  <si>
    <t>Constat de niveau de vérification :</t>
  </si>
  <si>
    <t>Site</t>
  </si>
  <si>
    <t>Contrôleur -Technicien</t>
  </si>
  <si>
    <t>Rédacteur</t>
  </si>
  <si>
    <t>Nombres de pages</t>
  </si>
  <si>
    <t>Validité du contrôle</t>
  </si>
  <si>
    <t>Date d'émission du PV</t>
  </si>
  <si>
    <t>Périodicité</t>
  </si>
  <si>
    <t>Annuelle</t>
  </si>
  <si>
    <t>Rapport d’homogénéité (T.U.S.) ET S.A.T
Étude de polymérisation peinture ENATT</t>
  </si>
  <si>
    <t>SONDES</t>
  </si>
  <si>
    <t>ENREGISTREUR</t>
  </si>
  <si>
    <t>Matériel de vérification</t>
  </si>
  <si>
    <t>Certificat d'étalonnage</t>
  </si>
  <si>
    <t>Date d'étalonnage</t>
  </si>
  <si>
    <t>Fin de validité d'étalonnage</t>
  </si>
  <si>
    <t>Enregistreur Portable</t>
  </si>
  <si>
    <t>Trimestrielle</t>
  </si>
  <si>
    <t>Mensuelle</t>
  </si>
  <si>
    <t>Type : Etuve ventilée</t>
  </si>
  <si>
    <t>Marque : OMIA</t>
  </si>
  <si>
    <t>Identification interne : Etuve de polymérisation Omia</t>
  </si>
  <si>
    <t>Identification fabricant : AF002141C</t>
  </si>
  <si>
    <t>Températures (mini et maxi) d’utilisation : 60°C à 200°C</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</si>
  <si>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</si>
  <si>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</si>
  <si>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</si>
  <si>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</si>
  <si>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</si>
  <si>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Diamètre : 1,5mm</t>
  </si>
  <si>
    <t>Longueur : 5000mm</t>
  </si>
  <si>
    <t>Rapport d’homogénéité (T.U.S.) et S.A.T. 
FREGATE AERO
Etude de polymérisation peinture ENATT</t>
  </si>
  <si>
    <t>5. Localisation des thermocouples de contrôle</t>
  </si>
  <si>
    <t>Consigne</t>
  </si>
  <si>
    <t>Tolérance</t>
  </si>
  <si>
    <r>
      <t xml:space="preserve">6. Résultats et exploitation des résultats à </t>
    </r>
    <r>
      <rPr>
        <b/>
        <sz val="28"/>
        <color rgb="FF000000"/>
        <rFont val="Calibri"/>
        <family val="2"/>
        <scheme val="minor"/>
      </rPr>
      <t>60°C</t>
    </r>
  </si>
  <si>
    <r>
      <t xml:space="preserve">7. Résultats et exploitation des résultats à </t>
    </r>
    <r>
      <rPr>
        <b/>
        <sz val="28"/>
        <color rgb="FF000000"/>
        <rFont val="Calibri"/>
        <family val="2"/>
        <scheme val="minor"/>
      </rPr>
      <t>60°C</t>
    </r>
  </si>
  <si>
    <r>
      <t xml:space="preserve">8. Résultats et exploitation des résultats à </t>
    </r>
    <r>
      <rPr>
        <b/>
        <sz val="28"/>
        <color rgb="FF000000"/>
        <rFont val="Calibri"/>
        <family val="2"/>
        <scheme val="minor"/>
      </rPr>
      <t>60°C</t>
    </r>
  </si>
  <si>
    <r>
      <t>7. Résultats et exploitation des résultats à 15</t>
    </r>
    <r>
      <rPr>
        <b/>
        <sz val="28"/>
        <color rgb="FF000000"/>
        <rFont val="Calibri"/>
        <family val="2"/>
        <scheme val="minor"/>
      </rPr>
      <t>0°C</t>
    </r>
  </si>
  <si>
    <r>
      <t>8. Résultats et exploitation des résultats à 15</t>
    </r>
    <r>
      <rPr>
        <b/>
        <sz val="28"/>
        <color rgb="FF000000"/>
        <rFont val="Calibri"/>
        <family val="2"/>
        <scheme val="minor"/>
      </rPr>
      <t>0°C</t>
    </r>
  </si>
  <si>
    <t>60°C</t>
  </si>
  <si>
    <t>150°C</t>
  </si>
  <si>
    <t>190°C</t>
  </si>
  <si>
    <t>Conformité avec la tolérance requise sur la moyenne</t>
  </si>
  <si>
    <t>Nombre de thermocouples :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</si>
  <si>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</si>
  <si>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Conformité avec la tolérance basse requise</t>
  </si>
  <si>
    <t>Conformité avec la tolérance haute requise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</si>
</sst>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7" x14ac:knownFonts="1">
    <font>
      <sz val="11"/>
      <color theme="1"/>
      <name val="Calibri"/>
      <family val="2"/>
      <scheme val="minor"/>
    </font>
    <font>
      <b/>
      <sz val="30"/>
      <color theme="1"/>
      <name val="Calibri"/>
      <family val="2"/>
      <scheme val="minor"/>
    </font>
    <font>
      <sz val="8"/>
      <name val="Calibri"/>
      <family val="2"/>
      <scheme val="minor"/>
    </font>
    <font>
      <sz val="11"/>
      <color theme="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sz val="44"/>
      <color rgb="FF000000"/>
      <name val="Calibri Light"/>
      <family val="2"/>
    </font>
    <font>
      <sz val="10"/>
      <name val="Arial"/>
      <family val="2"/>
    </font>
    <font>
      <sz val="35"/>
      <color rgb="FF000000"/>
      <name val="Calibri Light"/>
      <family val="2"/>
    </font>
    <font>
      <b/>
      <sz val="20"/>
      <color theme="1"/>
      <name val="Calibri"/>
      <family val="2"/>
      <scheme val="minor"/>
    </font>
    <font>
      <sz val="11"/>
      <color rgb="FF000000"/>
      <name val="Calibri"/>
      <family val="2"/>
    </font>
  </fonts>
  <fills count="11">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0"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139">
    <xf numFmtId="0" fontId="0" fillId="0" borderId="0" xfId="0"/>
    <xf numFmtId="0" fontId="0" fillId="0" borderId="0" xfId="0"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4" fontId="0" fillId="0" borderId="0" xfId="0" applyNumberFormat="1" applyAlignment="1">
      <alignment horizontal="center"/>
    </xf>
    <xf numFmtId="22" fontId="0" fillId="3" borderId="1" xfId="0" applyNumberFormat="1"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0" xfId="0" applyNumberFormat="1" applyBorder="1" applyAlignment="1">
      <alignment horizontal="center"/>
    </xf>
    <xf numFmtId="2" fontId="0" fillId="0" borderId="12" xfId="0" applyNumberFormat="1" applyBorder="1" applyAlignment="1">
      <alignment horizontal="center"/>
    </xf>
    <xf numFmtId="0" fontId="0" fillId="0" borderId="0" xfId="0" applyAlignment="1">
      <alignment horizontal="center" vertical="center"/>
    </xf>
    <xf numFmtId="0" fontId="0" fillId="5" borderId="1"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0" fillId="7" borderId="16" xfId="0" applyFill="1" applyBorder="1" applyAlignment="1">
      <alignment horizontal="center" vertical="center"/>
    </xf>
    <xf numFmtId="1" fontId="0" fillId="8" borderId="1" xfId="0" applyNumberFormat="1" applyFill="1" applyBorder="1" applyAlignment="1" applyProtection="1">
      <alignment horizontal="center" vertical="center"/>
      <protection locked="0"/>
    </xf>
    <xf numFmtId="1" fontId="0" fillId="6" borderId="12" xfId="0" applyNumberFormat="1" applyFill="1" applyBorder="1" applyAlignment="1" applyProtection="1">
      <alignment horizontal="center" vertical="center"/>
      <protection locked="0"/>
    </xf>
    <xf numFmtId="2" fontId="0" fillId="6" borderId="12" xfId="0" applyNumberFormat="1" applyFill="1" applyBorder="1" applyAlignment="1" applyProtection="1">
      <alignment horizontal="center" vertical="center"/>
      <protection locked="0"/>
    </xf>
    <xf numFmtId="0" fontId="0" fillId="7" borderId="17" xfId="0" applyFill="1" applyBorder="1" applyAlignment="1">
      <alignment horizontal="center" vertical="center"/>
    </xf>
    <xf numFmtId="22" fontId="0" fillId="0" borderId="0" xfId="0" applyNumberFormat="1" applyAlignment="1">
      <alignment horizontal="center"/>
    </xf>
    <xf numFmtId="1" fontId="0" fillId="0" borderId="1" xfId="0" applyNumberFormat="1" applyBorder="1" applyAlignment="1">
      <alignment horizontal="center"/>
    </xf>
    <xf numFmtId="0" fontId="0" fillId="7" borderId="14" xfId="0" applyFill="1" applyBorder="1" applyAlignment="1">
      <alignment horizontal="center" vertical="center" wrapText="1"/>
    </xf>
    <xf numFmtId="0" fontId="0" fillId="7" borderId="15" xfId="0" applyFill="1" applyBorder="1" applyAlignment="1">
      <alignment horizontal="center" vertical="center" wrapText="1"/>
    </xf>
    <xf numFmtId="22" fontId="0" fillId="0" borderId="0" xfId="0" applyNumberFormat="1"/>
    <xf numFmtId="0" fontId="0" fillId="4" borderId="1" xfId="0" applyFill="1" applyBorder="1"/>
    <xf numFmtId="14"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0" fillId="0" borderId="1" xfId="0" applyBorder="1"/>
    <xf numFmtId="0" fontId="4" fillId="0" borderId="0" xfId="0" applyFont="1" applyAlignment="1">
      <alignment vertical="center"/>
    </xf>
    <xf numFmtId="0" fontId="0" fillId="0" borderId="0" xfId="0" applyAlignment="1">
      <alignment vertical="center"/>
    </xf>
    <xf numFmtId="0" fontId="5" fillId="0" borderId="0" xfId="0" applyFont="1" applyAlignment="1">
      <alignment horizontal="center" vertical="center"/>
    </xf>
    <xf numFmtId="0" fontId="6" fillId="0" borderId="0" xfId="0" applyFont="1" applyAlignment="1">
      <alignment horizontal="center" vertical="center"/>
    </xf>
    <xf numFmtId="0" fontId="7" fillId="0" borderId="1" xfId="0" applyFont="1" applyBorder="1"/>
    <xf numFmtId="0" fontId="9" fillId="0" borderId="1" xfId="0" applyFont="1" applyBorder="1" applyAlignment="1">
      <alignment horizontal="left" vertical="center"/>
    </xf>
    <xf numFmtId="0" fontId="9" fillId="0" borderId="0" xfId="0" applyFont="1"/>
    <xf numFmtId="0" fontId="8" fillId="0" borderId="0" xfId="0" applyFont="1" applyAlignment="1">
      <alignment horizontal="center" vertical="center"/>
    </xf>
    <xf numFmtId="0" fontId="10" fillId="0" borderId="0" xfId="0" applyFont="1" applyAlignment="1">
      <alignment horizontal="center" vertical="center"/>
    </xf>
    <xf numFmtId="0" fontId="9" fillId="0" borderId="1" xfId="0" applyFont="1" applyBorder="1"/>
    <xf numFmtId="14"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12" fillId="0" borderId="0" xfId="0" applyFont="1" applyAlignment="1">
      <alignment horizontal="center" vertical="center" readingOrder="1"/>
    </xf>
    <xf numFmtId="0" fontId="13" fillId="0" borderId="0" xfId="0" applyFont="1" applyAlignment="1">
      <alignment horizontal="center" vertical="center"/>
    </xf>
    <xf numFmtId="0" fontId="14"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Alignment="1">
      <alignment horizontal="left"/>
    </xf>
    <xf numFmtId="0" fontId="16" fillId="0" borderId="0" xfId="0" applyFont="1" applyAlignment="1">
      <alignment horizontal="left" vertical="center" readingOrder="1"/>
    </xf>
    <xf numFmtId="0" fontId="15" fillId="0" borderId="0" xfId="0" applyFont="1" applyAlignment="1">
      <alignment vertical="center" readingOrder="1"/>
    </xf>
    <xf numFmtId="0" fontId="17" fillId="0" borderId="0" xfId="0" applyFont="1" applyAlignment="1">
      <alignment horizontal="center" vertical="center"/>
    </xf>
    <xf numFmtId="0" fontId="17" fillId="0" borderId="0" xfId="0" applyFont="1" applyAlignment="1">
      <alignment horizontal="center" vertical="center" wrapText="1"/>
    </xf>
    <xf numFmtId="14" fontId="19" fillId="0" borderId="0" xfId="0" applyNumberFormat="1" applyFont="1" applyAlignment="1">
      <alignment horizontal="left"/>
    </xf>
    <xf numFmtId="0" fontId="15" fillId="0" borderId="0" xfId="0" applyFont="1" applyAlignment="1">
      <alignment horizontal="right" vertical="center" readingOrder="1"/>
    </xf>
    <xf numFmtId="14" fontId="20" fillId="0" borderId="0" xfId="0" applyNumberFormat="1" applyFont="1" applyAlignment="1">
      <alignment horizontal="left" vertical="center" readingOrder="1"/>
    </xf>
    <xf numFmtId="0" fontId="15" fillId="0" borderId="0" xfId="0" applyFont="1" applyAlignment="1">
      <alignment horizontal="right"/>
    </xf>
    <xf numFmtId="0" fontId="15" fillId="0" borderId="0" xfId="0" applyFont="1" applyAlignment="1">
      <alignment horizontal="left"/>
    </xf>
    <xf numFmtId="0" fontId="19" fillId="0" borderId="0" xfId="0" applyFont="1" applyAlignment="1">
      <alignment horizontal="left"/>
    </xf>
    <xf numFmtId="0" fontId="0" fillId="10" borderId="1" xfId="0" applyFill="1" applyBorder="1"/>
    <xf numFmtId="0" fontId="0" fillId="3" borderId="1" xfId="0" applyFill="1" applyBorder="1" applyAlignment="1">
      <alignment horizontal="center" vertical="center"/>
    </xf>
    <xf numFmtId="164" fontId="0" fillId="4" borderId="1" xfId="0" applyNumberFormat="1"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1" xfId="0" applyFill="1" applyBorder="1" applyAlignment="1">
      <alignment horizontal="center" vertical="center" wrapText="1"/>
    </xf>
    <xf numFmtId="0" fontId="0" fillId="3" borderId="1" xfId="0" applyFill="1" applyBorder="1"/>
    <xf numFmtId="0" fontId="0" fillId="4" borderId="20" xfId="0" applyFill="1" applyBorder="1" applyAlignment="1">
      <alignment horizontal="center" vertical="center"/>
    </xf>
    <xf numFmtId="2" fontId="0" fillId="4" borderId="1" xfId="0" applyNumberFormat="1" applyFill="1" applyBorder="1" applyAlignment="1">
      <alignment horizontal="center" vertical="center"/>
    </xf>
    <xf numFmtId="2" fontId="0" fillId="0" borderId="0" xfId="0" applyNumberFormat="1"/>
    <xf numFmtId="0" fontId="12" fillId="0" borderId="0" xfId="0" applyFont="1" applyAlignment="1">
      <alignment horizontal="left" vertical="center" readingOrder="1"/>
    </xf>
    <xf numFmtId="0" fontId="19" fillId="0" borderId="0" xfId="0" applyFont="1"/>
    <xf numFmtId="0" fontId="22" fillId="0" borderId="0" xfId="0" applyFont="1" applyAlignment="1">
      <alignment horizontal="center" vertical="center"/>
    </xf>
    <xf numFmtId="14" fontId="0" fillId="6" borderId="1" xfId="0" applyNumberFormat="1" applyFill="1" applyBorder="1" applyAlignment="1" applyProtection="1">
      <alignment horizontal="center" vertical="center"/>
      <protection locked="0"/>
    </xf>
    <xf numFmtId="164" fontId="0" fillId="6" borderId="1" xfId="0" applyNumberFormat="1" applyFill="1" applyBorder="1" applyAlignment="1" applyProtection="1">
      <alignment horizontal="center" vertical="center"/>
      <protection locked="0"/>
    </xf>
    <xf numFmtId="0" fontId="23" fillId="6" borderId="1" xfId="0" applyFont="1"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0" fillId="6" borderId="1" xfId="0" applyFill="1" applyBorder="1" applyAlignment="1">
      <alignment horizontal="center" vertical="center"/>
    </xf>
    <xf numFmtId="0" fontId="0" fillId="6" borderId="1" xfId="0" applyFill="1" applyBorder="1" applyAlignment="1" applyProtection="1">
      <alignment horizontal="center" vertical="center"/>
      <protection locked="0"/>
    </xf>
    <xf numFmtId="0" fontId="0" fillId="5" borderId="1" xfId="0" applyFill="1" applyBorder="1" applyAlignment="1">
      <alignment horizontal="center" vertical="center" wrapText="1"/>
    </xf>
    <xf numFmtId="0" fontId="3" fillId="0" borderId="0" xfId="0" applyFont="1" applyAlignment="1">
      <alignment horizontal="center" vertical="center"/>
    </xf>
    <xf numFmtId="14" fontId="0" fillId="6" borderId="1" xfId="0" applyNumberFormat="1" applyFill="1" applyBorder="1" applyAlignment="1">
      <alignment horizontal="center" vertical="center"/>
    </xf>
    <xf numFmtId="164" fontId="0" fillId="6" borderId="1" xfId="0" applyNumberFormat="1" applyFill="1" applyBorder="1" applyAlignment="1">
      <alignment horizontal="center" vertical="center"/>
    </xf>
    <xf numFmtId="49" fontId="9" fillId="6" borderId="1" xfId="0" applyNumberFormat="1" applyFont="1" applyFill="1" applyBorder="1" applyAlignment="1">
      <alignment horizontal="center" vertical="center"/>
    </xf>
    <xf numFmtId="0" fontId="5" fillId="0" borderId="0" xfId="0" applyFont="1" applyAlignment="1">
      <alignment horizontal="left" vertical="center" readingOrder="1"/>
    </xf>
    <xf numFmtId="1" fontId="0" fillId="4" borderId="1" xfId="0" applyNumberFormat="1" applyFill="1" applyBorder="1"/>
    <xf numFmtId="0" fontId="0" fillId="3" borderId="10" xfId="0" applyFill="1" applyBorder="1" applyAlignment="1">
      <alignment horizontal="center" vertical="center"/>
    </xf>
    <xf numFmtId="0" fontId="0" fillId="9" borderId="1" xfId="0" applyFill="1" applyBorder="1" applyAlignment="1">
      <alignment horizontal="center" vertical="center"/>
    </xf>
    <xf numFmtId="2" fontId="0" fillId="9" borderId="1" xfId="0" applyNumberFormat="1" applyFill="1" applyBorder="1" applyAlignment="1">
      <alignment horizontal="center" vertical="center"/>
    </xf>
    <xf numFmtId="1" fontId="0" fillId="4" borderId="1" xfId="0" applyNumberFormat="1" applyFill="1" applyBorder="1" applyAlignment="1">
      <alignment horizontal="center" vertical="center"/>
    </xf>
    <xf numFmtId="0" fontId="0" fillId="5" borderId="1" xfId="0" applyFill="1" applyBorder="1" applyAlignment="1">
      <alignment horizontal="center" vertical="center"/>
    </xf>
    <xf numFmtId="0" fontId="0" fillId="5" borderId="11" xfId="0" applyFill="1" applyBorder="1" applyAlignment="1">
      <alignment horizontal="center" vertical="center"/>
    </xf>
    <xf numFmtId="0" fontId="0" fillId="5" borderId="20" xfId="0" applyFill="1" applyBorder="1" applyAlignment="1">
      <alignment horizontal="center" vertical="center"/>
    </xf>
    <xf numFmtId="0" fontId="24" fillId="0" borderId="0" xfId="0" applyFont="1" applyAlignment="1">
      <alignment horizontal="center" vertical="center" wrapText="1"/>
    </xf>
    <xf numFmtId="0" fontId="22" fillId="0" borderId="0" xfId="0" applyFont="1" applyAlignment="1">
      <alignment horizontal="center" vertical="center"/>
    </xf>
    <xf numFmtId="0" fontId="25" fillId="0" borderId="0" xfId="0" applyFont="1" applyAlignment="1">
      <alignment horizontal="center" vertical="center"/>
    </xf>
    <xf numFmtId="0" fontId="0" fillId="5" borderId="19" xfId="0" applyFill="1" applyBorder="1" applyAlignment="1">
      <alignment horizontal="center" vertical="center"/>
    </xf>
    <xf numFmtId="0" fontId="0" fillId="4" borderId="11"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5" borderId="12" xfId="0" applyFill="1" applyBorder="1" applyAlignment="1">
      <alignment horizontal="center" vertical="center"/>
    </xf>
    <xf numFmtId="0" fontId="0" fillId="5" borderId="21" xfId="0" applyFill="1" applyBorder="1" applyAlignment="1">
      <alignment horizontal="center" vertical="center"/>
    </xf>
    <xf numFmtId="0" fontId="0" fillId="5" borderId="22" xfId="0" applyFill="1" applyBorder="1" applyAlignment="1">
      <alignment horizontal="center" vertical="center"/>
    </xf>
    <xf numFmtId="0" fontId="0" fillId="2" borderId="2"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22" fontId="1" fillId="0" borderId="0" xfId="0" applyNumberFormat="1" applyFont="1" applyAlignment="1">
      <alignment horizontal="center" vertical="center"/>
    </xf>
    <xf numFmtId="0" fontId="0" fillId="0" borderId="0" xfId="0" applyAlignment="1">
      <alignment horizontal="center" vertical="center"/>
    </xf>
    <xf numFmtId="14" fontId="0" fillId="0" borderId="0" xfId="0" applyNumberFormat="1" applyAlignment="1">
      <alignment horizontal="center"/>
    </xf>
    <xf numFmtId="2" fontId="0" fillId="0" borderId="1" xfId="0" applyNumberFormat="1" applyBorder="1" applyAlignment="1">
      <alignment horizontal="center"/>
    </xf>
    <xf numFmtId="0" fontId="0" fillId="4" borderId="1" xfId="0" applyFill="1" applyBorder="1" applyAlignment="1">
      <alignment horizontal="center" vertical="center" textRotation="90"/>
    </xf>
    <xf numFmtId="2" fontId="0" fillId="0" borderId="11" xfId="0" applyNumberFormat="1" applyBorder="1" applyAlignment="1">
      <alignment horizontal="center"/>
    </xf>
    <xf numFmtId="2" fontId="0" fillId="0" borderId="19" xfId="0" applyNumberFormat="1" applyBorder="1" applyAlignment="1">
      <alignment horizontal="center"/>
    </xf>
    <xf numFmtId="2" fontId="0" fillId="0" borderId="20" xfId="0" applyNumberFormat="1" applyBorder="1" applyAlignment="1">
      <alignment horizontal="center"/>
    </xf>
    <xf numFmtId="0" fontId="0" fillId="4" borderId="18" xfId="0" applyFill="1" applyBorder="1" applyAlignment="1">
      <alignment horizontal="center" vertical="center" textRotation="90"/>
    </xf>
    <xf numFmtId="0" fontId="0" fillId="4" borderId="0" xfId="0" applyFill="1" applyAlignment="1">
      <alignment horizontal="center" vertical="center" textRotation="90"/>
    </xf>
    <xf numFmtId="0" fontId="0" fillId="0" borderId="0" xfId="0" applyAlignment="1">
      <alignment horizontal="center"/>
    </xf>
    <xf numFmtId="0" fontId="5" fillId="0" borderId="0" xfId="0" applyFont="1" applyAlignment="1">
      <alignment horizontal="center" vertical="center"/>
    </xf>
    <xf numFmtId="0" fontId="6" fillId="9" borderId="0" xfId="0" applyFont="1" applyFill="1" applyAlignment="1">
      <alignment horizontal="center" vertical="center"/>
    </xf>
    <xf numFmtId="0" fontId="11" fillId="0" borderId="0" xfId="0" applyFont="1" applyAlignment="1">
      <alignment horizontal="center"/>
    </xf>
    <xf numFmtId="0" fontId="7" fillId="0" borderId="0" xfId="0" applyFont="1" applyAlignment="1">
      <alignment horizontal="left" vertical="top" wrapText="1" readingOrder="1"/>
    </xf>
    <xf numFmtId="0" fontId="12" fillId="0" borderId="0" xfId="0" applyFont="1" applyAlignment="1">
      <alignment horizontal="center" vertical="center" readingOrder="1"/>
    </xf>
    <xf numFmtId="0" fontId="15" fillId="0" borderId="0" xfId="0" applyFont="1" applyAlignment="1">
      <alignment horizontal="left" vertical="center" readingOrder="1"/>
    </xf>
    <xf numFmtId="0" fontId="0" fillId="3" borderId="1" xfId="0" applyFill="1" applyBorder="1" applyAlignment="1">
      <alignment horizontal="center" vertical="center" textRotation="90" wrapText="1"/>
    </xf>
    <xf numFmtId="0" fontId="18" fillId="0" borderId="0" xfId="0" applyFont="1" applyAlignment="1">
      <alignment horizontal="center" vertical="center" readingOrder="1"/>
    </xf>
    <xf numFmtId="0" fontId="0" fillId="3" borderId="11" xfId="0" applyFill="1" applyBorder="1" applyAlignment="1">
      <alignment horizontal="center"/>
    </xf>
    <xf numFmtId="0" fontId="0" fillId="3" borderId="20" xfId="0" applyFill="1" applyBorder="1" applyAlignment="1">
      <alignment horizontal="center"/>
    </xf>
    <xf numFmtId="2" fontId="0" fillId="9" borderId="11" xfId="0" applyNumberFormat="1" applyFill="1" applyBorder="1" applyAlignment="1">
      <alignment horizontal="center" vertical="center"/>
    </xf>
    <xf numFmtId="0" fontId="0" fillId="9" borderId="19" xfId="0" applyFill="1" applyBorder="1" applyAlignment="1">
      <alignment horizontal="center" vertical="center"/>
    </xf>
    <xf numFmtId="0" fontId="0" fillId="9" borderId="20" xfId="0" applyFill="1" applyBorder="1" applyAlignment="1">
      <alignment horizontal="center" vertical="center"/>
    </xf>
    <xf numFmtId="0" fontId="0" fillId="10" borderId="11" xfId="0" applyFill="1" applyBorder="1" applyAlignment="1">
      <alignment horizontal="center"/>
    </xf>
    <xf numFmtId="0" fontId="0" fillId="10" borderId="19" xfId="0" applyFill="1" applyBorder="1" applyAlignment="1">
      <alignment horizontal="center"/>
    </xf>
    <xf numFmtId="0" fontId="0" fillId="10" borderId="20" xfId="0" applyFill="1" applyBorder="1" applyAlignment="1">
      <alignment horizontal="center"/>
    </xf>
    <xf numFmtId="0" fontId="14" fillId="0" borderId="0" xfId="0" applyFont="1" applyAlignment="1">
      <alignment horizontal="center" vertical="center" readingOrder="1"/>
    </xf>
    <xf numFmtId="0" fontId="4" fillId="0" borderId="0" xfId="0" applyFont="1" applyAlignment="1">
      <alignment horizontal="center" vertical="center" wrapText="1"/>
    </xf>
    <xf numFmtId="0" fontId="4" fillId="0" borderId="0" xfId="0" applyFont="1" applyAlignment="1">
      <alignment horizontal="center" vertical="center"/>
    </xf>
    <xf numFmtId="0" fontId="5" fillId="0" borderId="0" xfId="0" applyFont="1" applyAlignment="1">
      <alignment horizontal="left" vertical="center" readingOrder="1"/>
    </xf>
  </cellXfs>
  <cellStyles count="1">
    <cellStyle name="Normal" xfId="0" builtinId="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'60°C'!$B$11:$B$41</c:f>
              <c:numCache>
                <c:formatCode>m/d/yyyy</c:formatCode>
                <c:ptCount val="31"/>
                <c:pt idx="0">
                  <c:v>0</c:v>
                </c:pt>
              </c:numCache>
            </c:numRef>
          </c:xVal>
          <c:yVal>
            <c:numRef>
              <c:f>'60°C'!$C$11:$C$41</c:f>
              <c:numCache>
                <c:formatCode>General</c:formatCode>
                <c:ptCount val="31"/>
                <c:pt idx="0">
                  <c:v>#N/A</c:v>
                </c:pt>
              </c:numCache>
            </c:numRef>
          </c:yVal>
          <c:smooth val="1"/>
          <c:extLst>
            <c:ext xmlns:c16="http://schemas.microsoft.com/office/drawing/2014/chart" uri="{C3380CC4-5D6E-409C-BE32-E72D297353CC}">
              <c16:uniqueId val="{00000000-D78C-421B-838C-9C348E3C7DEC}"/>
            </c:ext>
          </c:extLst>
        </c:ser>
        <c:ser>
          <c:idx val="1"/>
          <c:order val="1"/>
          <c:spPr>
            <a:ln w="19050" cap="rnd">
              <a:solidFill>
                <a:schemeClr val="accent2"/>
              </a:solidFill>
              <a:round/>
            </a:ln>
            <a:effectLst/>
          </c:spPr>
          <c:marker>
            <c:symbol val="none"/>
          </c:marker>
          <c:xVal>
            <c:numRef>
              <c:f>'60°C'!$B$11:$B$41</c:f>
              <c:numCache>
                <c:formatCode>m/d/yyyy</c:formatCode>
                <c:ptCount val="31"/>
                <c:pt idx="0">
                  <c:v>0</c:v>
                </c:pt>
              </c:numCache>
            </c:numRef>
          </c:xVal>
          <c:yVal>
            <c:numRef>
              <c:f>'60°C'!$D$11:$D$41</c:f>
              <c:numCache>
                <c:formatCode>General</c:formatCode>
                <c:ptCount val="31"/>
                <c:pt idx="0">
                  <c:v>#N/A</c:v>
                </c:pt>
              </c:numCache>
            </c:numRef>
          </c:yVal>
          <c:smooth val="1"/>
          <c:extLst>
            <c:ext xmlns:c16="http://schemas.microsoft.com/office/drawing/2014/chart" uri="{C3380CC4-5D6E-409C-BE32-E72D297353CC}">
              <c16:uniqueId val="{00000001-D78C-421B-838C-9C348E3C7DEC}"/>
            </c:ext>
          </c:extLst>
        </c:ser>
        <c:ser>
          <c:idx val="2"/>
          <c:order val="2"/>
          <c:spPr>
            <a:ln w="19050" cap="rnd">
              <a:solidFill>
                <a:schemeClr val="accent3"/>
              </a:solidFill>
              <a:round/>
            </a:ln>
            <a:effectLst/>
          </c:spPr>
          <c:marker>
            <c:symbol val="none"/>
          </c:marker>
          <c:xVal>
            <c:numRef>
              <c:f>'60°C'!$B$11:$B$41</c:f>
              <c:numCache>
                <c:formatCode>m/d/yyyy</c:formatCode>
                <c:ptCount val="31"/>
                <c:pt idx="0">
                  <c:v>0</c:v>
                </c:pt>
              </c:numCache>
            </c:numRef>
          </c:xVal>
          <c:yVal>
            <c:numRef>
              <c:f>'60°C'!$E$11:$E$41</c:f>
              <c:numCache>
                <c:formatCode>General</c:formatCode>
                <c:ptCount val="31"/>
                <c:pt idx="0">
                  <c:v>#N/A</c:v>
                </c:pt>
              </c:numCache>
            </c:numRef>
          </c:yVal>
          <c:smooth val="1"/>
          <c:extLst>
            <c:ext xmlns:c16="http://schemas.microsoft.com/office/drawing/2014/chart" uri="{C3380CC4-5D6E-409C-BE32-E72D297353CC}">
              <c16:uniqueId val="{00000002-D78C-421B-838C-9C348E3C7DEC}"/>
            </c:ext>
          </c:extLst>
        </c:ser>
        <c:ser>
          <c:idx val="3"/>
          <c:order val="3"/>
          <c:spPr>
            <a:ln w="19050" cap="rnd">
              <a:solidFill>
                <a:schemeClr val="accent4"/>
              </a:solidFill>
              <a:round/>
            </a:ln>
            <a:effectLst/>
          </c:spPr>
          <c:marker>
            <c:symbol val="none"/>
          </c:marker>
          <c:xVal>
            <c:numRef>
              <c:f>'60°C'!$B$11:$B$41</c:f>
              <c:numCache>
                <c:formatCode>m/d/yyyy</c:formatCode>
                <c:ptCount val="31"/>
                <c:pt idx="0">
                  <c:v>0</c:v>
                </c:pt>
              </c:numCache>
            </c:numRef>
          </c:xVal>
          <c:yVal>
            <c:numRef>
              <c:f>'60°C'!$F$11:$F$41</c:f>
              <c:numCache>
                <c:formatCode>General</c:formatCode>
                <c:ptCount val="31"/>
                <c:pt idx="0">
                  <c:v>#N/A</c:v>
                </c:pt>
              </c:numCache>
            </c:numRef>
          </c:yVal>
          <c:smooth val="1"/>
          <c:extLst>
            <c:ext xmlns:c16="http://schemas.microsoft.com/office/drawing/2014/chart" uri="{C3380CC4-5D6E-409C-BE32-E72D297353CC}">
              <c16:uniqueId val="{00000003-D78C-421B-838C-9C348E3C7DEC}"/>
            </c:ext>
          </c:extLst>
        </c:ser>
        <c:ser>
          <c:idx val="4"/>
          <c:order val="4"/>
          <c:spPr>
            <a:ln w="19050" cap="rnd">
              <a:solidFill>
                <a:schemeClr val="accent5"/>
              </a:solidFill>
              <a:round/>
            </a:ln>
            <a:effectLst/>
          </c:spPr>
          <c:marker>
            <c:symbol val="none"/>
          </c:marker>
          <c:xVal>
            <c:numRef>
              <c:f>'60°C'!$B$11:$B$41</c:f>
              <c:numCache>
                <c:formatCode>m/d/yyyy</c:formatCode>
                <c:ptCount val="31"/>
                <c:pt idx="0">
                  <c:v>0</c:v>
                </c:pt>
              </c:numCache>
            </c:numRef>
          </c:xVal>
          <c:yVal>
            <c:numRef>
              <c:f>'60°C'!$G$11:$G$41</c:f>
              <c:numCache>
                <c:formatCode>General</c:formatCode>
                <c:ptCount val="31"/>
                <c:pt idx="0">
                  <c:v>#N/A</c:v>
                </c:pt>
              </c:numCache>
            </c:numRef>
          </c:yVal>
          <c:smooth val="1"/>
          <c:extLst>
            <c:ext xmlns:c16="http://schemas.microsoft.com/office/drawing/2014/chart" uri="{C3380CC4-5D6E-409C-BE32-E72D297353CC}">
              <c16:uniqueId val="{00000004-D78C-421B-838C-9C348E3C7DEC}"/>
            </c:ext>
          </c:extLst>
        </c:ser>
        <c:ser>
          <c:idx val="5"/>
          <c:order val="5"/>
          <c:spPr>
            <a:ln w="19050" cap="rnd">
              <a:solidFill>
                <a:schemeClr val="accent6"/>
              </a:solidFill>
              <a:round/>
            </a:ln>
            <a:effectLst/>
          </c:spPr>
          <c:marker>
            <c:symbol val="none"/>
          </c:marker>
          <c:xVal>
            <c:numRef>
              <c:f>'60°C'!$B$11:$B$41</c:f>
              <c:numCache>
                <c:formatCode>m/d/yyyy</c:formatCode>
                <c:ptCount val="31"/>
                <c:pt idx="0">
                  <c:v>0</c:v>
                </c:pt>
              </c:numCache>
            </c:numRef>
          </c:xVal>
          <c:yVal>
            <c:numRef>
              <c:f>'60°C'!$H$11:$H$41</c:f>
              <c:numCache>
                <c:formatCode>General</c:formatCode>
                <c:ptCount val="31"/>
                <c:pt idx="0">
                  <c:v>#N/A</c:v>
                </c:pt>
              </c:numCache>
            </c:numRef>
          </c:yVal>
          <c:smooth val="1"/>
          <c:extLst>
            <c:ext xmlns:c16="http://schemas.microsoft.com/office/drawing/2014/chart" uri="{C3380CC4-5D6E-409C-BE32-E72D297353CC}">
              <c16:uniqueId val="{00000005-D78C-421B-838C-9C348E3C7DEC}"/>
            </c:ext>
          </c:extLst>
        </c:ser>
        <c:ser>
          <c:idx val="6"/>
          <c:order val="6"/>
          <c:spPr>
            <a:ln w="19050" cap="rnd">
              <a:solidFill>
                <a:schemeClr val="accent1">
                  <a:lumMod val="60000"/>
                </a:schemeClr>
              </a:solidFill>
              <a:round/>
            </a:ln>
            <a:effectLst/>
          </c:spPr>
          <c:marker>
            <c:symbol val="none"/>
          </c:marker>
          <c:xVal>
            <c:numRef>
              <c:f>'60°C'!$B$11:$B$41</c:f>
              <c:numCache>
                <c:formatCode>m/d/yyyy</c:formatCode>
                <c:ptCount val="31"/>
                <c:pt idx="0">
                  <c:v>0</c:v>
                </c:pt>
              </c:numCache>
            </c:numRef>
          </c:xVal>
          <c:yVal>
            <c:numRef>
              <c:f>'60°C'!$I$11:$I$41</c:f>
              <c:numCache>
                <c:formatCode>General</c:formatCode>
                <c:ptCount val="31"/>
                <c:pt idx="0">
                  <c:v>#N/A</c:v>
                </c:pt>
              </c:numCache>
            </c:numRef>
          </c:yVal>
          <c:smooth val="1"/>
          <c:extLst>
            <c:ext xmlns:c16="http://schemas.microsoft.com/office/drawing/2014/chart" uri="{C3380CC4-5D6E-409C-BE32-E72D297353CC}">
              <c16:uniqueId val="{00000006-D78C-421B-838C-9C348E3C7DEC}"/>
            </c:ext>
          </c:extLst>
        </c:ser>
        <c:ser>
          <c:idx val="7"/>
          <c:order val="7"/>
          <c:spPr>
            <a:ln w="19050" cap="rnd">
              <a:solidFill>
                <a:schemeClr val="accent2">
                  <a:lumMod val="60000"/>
                </a:schemeClr>
              </a:solidFill>
              <a:round/>
            </a:ln>
            <a:effectLst/>
          </c:spPr>
          <c:marker>
            <c:symbol val="none"/>
          </c:marker>
          <c:xVal>
            <c:numRef>
              <c:f>'60°C'!$B$11:$B$41</c:f>
              <c:numCache>
                <c:formatCode>m/d/yyyy</c:formatCode>
                <c:ptCount val="31"/>
                <c:pt idx="0">
                  <c:v>0</c:v>
                </c:pt>
              </c:numCache>
            </c:numRef>
          </c:xVal>
          <c:yVal>
            <c:numRef>
              <c:f>'60°C'!$J$11:$J$41</c:f>
              <c:numCache>
                <c:formatCode>General</c:formatCode>
                <c:ptCount val="31"/>
                <c:pt idx="0">
                  <c:v>#N/A</c:v>
                </c:pt>
              </c:numCache>
            </c:numRef>
          </c:yVal>
          <c:smooth val="1"/>
          <c:extLst>
            <c:ext xmlns:c16="http://schemas.microsoft.com/office/drawing/2014/chart" uri="{C3380CC4-5D6E-409C-BE32-E72D297353CC}">
              <c16:uniqueId val="{00000007-D78C-421B-838C-9C348E3C7DEC}"/>
            </c:ext>
          </c:extLst>
        </c:ser>
        <c:ser>
          <c:idx val="8"/>
          <c:order val="8"/>
          <c:spPr>
            <a:ln w="19050" cap="rnd">
              <a:solidFill>
                <a:schemeClr val="accent3">
                  <a:lumMod val="60000"/>
                </a:schemeClr>
              </a:solidFill>
              <a:round/>
            </a:ln>
            <a:effectLst/>
          </c:spPr>
          <c:marker>
            <c:symbol val="none"/>
          </c:marker>
          <c:xVal>
            <c:numRef>
              <c:f>'60°C'!$B$11:$B$41</c:f>
              <c:numCache>
                <c:formatCode>m/d/yyyy</c:formatCode>
                <c:ptCount val="31"/>
                <c:pt idx="0">
                  <c:v>0</c:v>
                </c:pt>
              </c:numCache>
            </c:numRef>
          </c:xVal>
          <c:yVal>
            <c:numRef>
              <c:f>'60°C'!$K$11:$K$41</c:f>
              <c:numCache>
                <c:formatCode>General</c:formatCode>
                <c:ptCount val="31"/>
                <c:pt idx="0">
                  <c:v>#N/A</c:v>
                </c:pt>
              </c:numCache>
            </c:numRef>
          </c:yVal>
          <c:smooth val="1"/>
          <c:extLst>
            <c:ext xmlns:c16="http://schemas.microsoft.com/office/drawing/2014/chart" uri="{C3380CC4-5D6E-409C-BE32-E72D297353CC}">
              <c16:uniqueId val="{00000008-D78C-421B-838C-9C348E3C7DEC}"/>
            </c:ext>
          </c:extLst>
        </c:ser>
        <c:ser>
          <c:idx val="9"/>
          <c:order val="9"/>
          <c:spPr>
            <a:ln w="19050" cap="rnd">
              <a:solidFill>
                <a:schemeClr val="accent4">
                  <a:lumMod val="60000"/>
                </a:schemeClr>
              </a:solidFill>
              <a:round/>
            </a:ln>
            <a:effectLst/>
          </c:spPr>
          <c:marker>
            <c:symbol val="none"/>
          </c:marker>
          <c:xVal>
            <c:numRef>
              <c:f>'60°C'!$B$11:$B$41</c:f>
              <c:numCache>
                <c:formatCode>m/d/yyyy</c:formatCode>
                <c:ptCount val="31"/>
                <c:pt idx="0">
                  <c:v>0</c:v>
                </c:pt>
              </c:numCache>
            </c:numRef>
          </c:xVal>
          <c:yVal>
            <c:numRef>
              <c:f>'60°C'!$L$11:$L$41</c:f>
              <c:numCache>
                <c:formatCode>General</c:formatCode>
                <c:ptCount val="31"/>
                <c:pt idx="0">
                  <c:v>#N/A</c:v>
                </c:pt>
              </c:numCache>
            </c:numRef>
          </c:yVal>
          <c:smooth val="1"/>
          <c:extLst>
            <c:ext xmlns:c16="http://schemas.microsoft.com/office/drawing/2014/chart" uri="{C3380CC4-5D6E-409C-BE32-E72D297353CC}">
              <c16:uniqueId val="{00000009-D78C-421B-838C-9C348E3C7DEC}"/>
            </c:ext>
          </c:extLst>
        </c:ser>
        <c:ser>
          <c:idx val="10"/>
          <c:order val="10"/>
          <c:spPr>
            <a:ln w="19050" cap="rnd">
              <a:solidFill>
                <a:schemeClr val="accent5">
                  <a:lumMod val="60000"/>
                </a:schemeClr>
              </a:solidFill>
              <a:round/>
            </a:ln>
            <a:effectLst/>
          </c:spPr>
          <c:marker>
            <c:symbol val="none"/>
          </c:marker>
          <c:xVal>
            <c:numRef>
              <c:f>'60°C'!$B$11:$B$41</c:f>
              <c:numCache>
                <c:formatCode>m/d/yyyy</c:formatCode>
                <c:ptCount val="31"/>
                <c:pt idx="0">
                  <c:v>0</c:v>
                </c:pt>
              </c:numCache>
            </c:numRef>
          </c:xVal>
          <c:yVal>
            <c:numRef>
              <c:f>'60°C'!$M$11:$M$41</c:f>
              <c:numCache>
                <c:formatCode>General</c:formatCode>
                <c:ptCount val="31"/>
                <c:pt idx="0">
                  <c:v>#N/A</c:v>
                </c:pt>
              </c:numCache>
            </c:numRef>
          </c:yVal>
          <c:smooth val="1"/>
          <c:extLst>
            <c:ext xmlns:c16="http://schemas.microsoft.com/office/drawing/2014/chart" uri="{C3380CC4-5D6E-409C-BE32-E72D297353CC}">
              <c16:uniqueId val="{0000000A-D78C-421B-838C-9C348E3C7DEC}"/>
            </c:ext>
          </c:extLst>
        </c:ser>
        <c:ser>
          <c:idx val="11"/>
          <c:order val="11"/>
          <c:spPr>
            <a:ln w="19050" cap="rnd">
              <a:solidFill>
                <a:schemeClr val="accent6">
                  <a:lumMod val="60000"/>
                </a:schemeClr>
              </a:solidFill>
              <a:round/>
            </a:ln>
            <a:effectLst/>
          </c:spPr>
          <c:marker>
            <c:symbol val="none"/>
          </c:marker>
          <c:xVal>
            <c:numRef>
              <c:f>'60°C'!$B$11:$B$41</c:f>
              <c:numCache>
                <c:formatCode>m/d/yyyy</c:formatCode>
                <c:ptCount val="31"/>
                <c:pt idx="0">
                  <c:v>0</c:v>
                </c:pt>
              </c:numCache>
            </c:numRef>
          </c:xVal>
          <c:yVal>
            <c:numRef>
              <c:f>'60°C'!$N$11:$N$41</c:f>
              <c:numCache>
                <c:formatCode>General</c:formatCode>
                <c:ptCount val="31"/>
                <c:pt idx="0">
                  <c:v>#N/A</c:v>
                </c:pt>
              </c:numCache>
            </c:numRef>
          </c:yVal>
          <c:smooth val="1"/>
          <c:extLst>
            <c:ext xmlns:c16="http://schemas.microsoft.com/office/drawing/2014/chart" uri="{C3380CC4-5D6E-409C-BE32-E72D297353CC}">
              <c16:uniqueId val="{0000000B-D78C-421B-838C-9C348E3C7DEC}"/>
            </c:ext>
          </c:extLst>
        </c:ser>
        <c:ser>
          <c:idx val="12"/>
          <c:order val="12"/>
          <c:spPr>
            <a:ln w="19050" cap="rnd">
              <a:solidFill>
                <a:schemeClr val="accent1">
                  <a:lumMod val="80000"/>
                  <a:lumOff val="20000"/>
                </a:schemeClr>
              </a:solidFill>
              <a:round/>
            </a:ln>
            <a:effectLst/>
          </c:spPr>
          <c:marker>
            <c:symbol val="none"/>
          </c:marker>
          <c:xVal>
            <c:numRef>
              <c:f>'60°C'!$B$11:$B$41</c:f>
              <c:numCache>
                <c:formatCode>m/d/yyyy</c:formatCode>
                <c:ptCount val="31"/>
                <c:pt idx="0">
                  <c:v>0</c:v>
                </c:pt>
              </c:numCache>
            </c:numRef>
          </c:xVal>
          <c:yVal>
            <c:numRef>
              <c:f>'60°C'!$O$11:$O$41</c:f>
              <c:numCache>
                <c:formatCode>General</c:formatCode>
                <c:ptCount val="31"/>
                <c:pt idx="0">
                  <c:v>#N/A</c:v>
                </c:pt>
              </c:numCache>
            </c:numRef>
          </c:yVal>
          <c:smooth val="1"/>
          <c:extLst>
            <c:ext xmlns:c16="http://schemas.microsoft.com/office/drawing/2014/chart" uri="{C3380CC4-5D6E-409C-BE32-E72D297353CC}">
              <c16:uniqueId val="{0000000C-D78C-421B-838C-9C348E3C7DEC}"/>
            </c:ext>
          </c:extLst>
        </c:ser>
        <c:dLbls>
          <c:showLegendKey val="0"/>
          <c:showVal val="0"/>
          <c:showCatName val="0"/>
          <c:showSerName val="0"/>
          <c:showPercent val="0"/>
          <c:showBubbleSize val="0"/>
        </c:dLbls>
        <c:axId val="937419832"/>
        <c:axId val="937421272"/>
      </c:scatterChart>
      <c:valAx>
        <c:axId val="9374198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7421272"/>
        <c:crosses val="autoZero"/>
        <c:crossBetween val="midCat"/>
      </c:valAx>
      <c:valAx>
        <c:axId val="937421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7419832"/>
        <c:crosses val="autoZero"/>
        <c:crossBetween val="midCat"/>
      </c:valAx>
      <c:spPr>
        <a:noFill/>
        <a:ln>
          <a:noFill/>
        </a:ln>
        <a:effectLst/>
      </c:spPr>
    </c:plotArea>
    <c:legend>
      <c:legendPos val="b"/>
      <c:layout>
        <c:manualLayout>
          <c:xMode val="edge"/>
          <c:yMode val="edge"/>
          <c:x val="0.22934303556882976"/>
          <c:y val="0.93956613959840385"/>
          <c:w val="0.5302794461037198"/>
          <c:h val="4.74257303202953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'150°C'!$B$11:$B$41</c:f>
              <c:numCache>
                <c:formatCode>m/d/yyyy</c:formatCode>
                <c:ptCount val="31"/>
                <c:pt idx="0">
                  <c:v>0</c:v>
                </c:pt>
              </c:numCache>
            </c:numRef>
          </c:xVal>
          <c:yVal>
            <c:numRef>
              <c:f>'150°C'!$C$11:$C$41</c:f>
              <c:numCache>
                <c:formatCode>General</c:formatCode>
                <c:ptCount val="31"/>
                <c:pt idx="0">
                  <c:v>#N/A</c:v>
                </c:pt>
              </c:numCache>
            </c:numRef>
          </c:yVal>
          <c:smooth val="1"/>
          <c:extLst>
            <c:ext xmlns:c16="http://schemas.microsoft.com/office/drawing/2014/chart" uri="{C3380CC4-5D6E-409C-BE32-E72D297353CC}">
              <c16:uniqueId val="{00000000-2924-4B74-A857-852BB15A59EB}"/>
            </c:ext>
          </c:extLst>
        </c:ser>
        <c:ser>
          <c:idx val="1"/>
          <c:order val="1"/>
          <c:spPr>
            <a:ln w="19050" cap="rnd">
              <a:solidFill>
                <a:schemeClr val="accent2"/>
              </a:solidFill>
              <a:round/>
            </a:ln>
            <a:effectLst/>
          </c:spPr>
          <c:marker>
            <c:symbol val="none"/>
          </c:marker>
          <c:xVal>
            <c:numRef>
              <c:f>'150°C'!$B$11:$B$41</c:f>
              <c:numCache>
                <c:formatCode>m/d/yyyy</c:formatCode>
                <c:ptCount val="31"/>
                <c:pt idx="0">
                  <c:v>0</c:v>
                </c:pt>
              </c:numCache>
            </c:numRef>
          </c:xVal>
          <c:yVal>
            <c:numRef>
              <c:f>'150°C'!$D$11:$D$41</c:f>
              <c:numCache>
                <c:formatCode>General</c:formatCode>
                <c:ptCount val="31"/>
                <c:pt idx="0">
                  <c:v>#N/A</c:v>
                </c:pt>
              </c:numCache>
            </c:numRef>
          </c:yVal>
          <c:smooth val="1"/>
          <c:extLst>
            <c:ext xmlns:c16="http://schemas.microsoft.com/office/drawing/2014/chart" uri="{C3380CC4-5D6E-409C-BE32-E72D297353CC}">
              <c16:uniqueId val="{00000001-2924-4B74-A857-852BB15A59EB}"/>
            </c:ext>
          </c:extLst>
        </c:ser>
        <c:ser>
          <c:idx val="2"/>
          <c:order val="2"/>
          <c:spPr>
            <a:ln w="19050" cap="rnd">
              <a:solidFill>
                <a:schemeClr val="accent3"/>
              </a:solidFill>
              <a:round/>
            </a:ln>
            <a:effectLst/>
          </c:spPr>
          <c:marker>
            <c:symbol val="none"/>
          </c:marker>
          <c:xVal>
            <c:numRef>
              <c:f>'150°C'!$B$11:$B$41</c:f>
              <c:numCache>
                <c:formatCode>m/d/yyyy</c:formatCode>
                <c:ptCount val="31"/>
                <c:pt idx="0">
                  <c:v>0</c:v>
                </c:pt>
              </c:numCache>
            </c:numRef>
          </c:xVal>
          <c:yVal>
            <c:numRef>
              <c:f>'150°C'!$E$11:$E$41</c:f>
              <c:numCache>
                <c:formatCode>General</c:formatCode>
                <c:ptCount val="31"/>
                <c:pt idx="0">
                  <c:v>#N/A</c:v>
                </c:pt>
              </c:numCache>
            </c:numRef>
          </c:yVal>
          <c:smooth val="1"/>
          <c:extLst>
            <c:ext xmlns:c16="http://schemas.microsoft.com/office/drawing/2014/chart" uri="{C3380CC4-5D6E-409C-BE32-E72D297353CC}">
              <c16:uniqueId val="{00000002-2924-4B74-A857-852BB15A59EB}"/>
            </c:ext>
          </c:extLst>
        </c:ser>
        <c:ser>
          <c:idx val="3"/>
          <c:order val="3"/>
          <c:spPr>
            <a:ln w="19050" cap="rnd">
              <a:solidFill>
                <a:schemeClr val="accent4"/>
              </a:solidFill>
              <a:round/>
            </a:ln>
            <a:effectLst/>
          </c:spPr>
          <c:marker>
            <c:symbol val="none"/>
          </c:marker>
          <c:xVal>
            <c:numRef>
              <c:f>'150°C'!$B$11:$B$41</c:f>
              <c:numCache>
                <c:formatCode>m/d/yyyy</c:formatCode>
                <c:ptCount val="31"/>
                <c:pt idx="0">
                  <c:v>0</c:v>
                </c:pt>
              </c:numCache>
            </c:numRef>
          </c:xVal>
          <c:yVal>
            <c:numRef>
              <c:f>'150°C'!$F$11:$F$41</c:f>
              <c:numCache>
                <c:formatCode>General</c:formatCode>
                <c:ptCount val="31"/>
                <c:pt idx="0">
                  <c:v>#N/A</c:v>
                </c:pt>
              </c:numCache>
            </c:numRef>
          </c:yVal>
          <c:smooth val="1"/>
          <c:extLst>
            <c:ext xmlns:c16="http://schemas.microsoft.com/office/drawing/2014/chart" uri="{C3380CC4-5D6E-409C-BE32-E72D297353CC}">
              <c16:uniqueId val="{00000003-2924-4B74-A857-852BB15A59EB}"/>
            </c:ext>
          </c:extLst>
        </c:ser>
        <c:ser>
          <c:idx val="4"/>
          <c:order val="4"/>
          <c:spPr>
            <a:ln w="19050" cap="rnd">
              <a:solidFill>
                <a:schemeClr val="accent5"/>
              </a:solidFill>
              <a:round/>
            </a:ln>
            <a:effectLst/>
          </c:spPr>
          <c:marker>
            <c:symbol val="none"/>
          </c:marker>
          <c:xVal>
            <c:numRef>
              <c:f>'150°C'!$B$11:$B$41</c:f>
              <c:numCache>
                <c:formatCode>m/d/yyyy</c:formatCode>
                <c:ptCount val="31"/>
                <c:pt idx="0">
                  <c:v>0</c:v>
                </c:pt>
              </c:numCache>
            </c:numRef>
          </c:xVal>
          <c:yVal>
            <c:numRef>
              <c:f>'150°C'!$G$11:$G$41</c:f>
              <c:numCache>
                <c:formatCode>General</c:formatCode>
                <c:ptCount val="31"/>
                <c:pt idx="0">
                  <c:v>#N/A</c:v>
                </c:pt>
              </c:numCache>
            </c:numRef>
          </c:yVal>
          <c:smooth val="1"/>
          <c:extLst>
            <c:ext xmlns:c16="http://schemas.microsoft.com/office/drawing/2014/chart" uri="{C3380CC4-5D6E-409C-BE32-E72D297353CC}">
              <c16:uniqueId val="{00000004-2924-4B74-A857-852BB15A59EB}"/>
            </c:ext>
          </c:extLst>
        </c:ser>
        <c:ser>
          <c:idx val="5"/>
          <c:order val="5"/>
          <c:spPr>
            <a:ln w="19050" cap="rnd">
              <a:solidFill>
                <a:schemeClr val="accent6"/>
              </a:solidFill>
              <a:round/>
            </a:ln>
            <a:effectLst/>
          </c:spPr>
          <c:marker>
            <c:symbol val="none"/>
          </c:marker>
          <c:xVal>
            <c:numRef>
              <c:f>'150°C'!$B$11:$B$41</c:f>
              <c:numCache>
                <c:formatCode>m/d/yyyy</c:formatCode>
                <c:ptCount val="31"/>
                <c:pt idx="0">
                  <c:v>0</c:v>
                </c:pt>
              </c:numCache>
            </c:numRef>
          </c:xVal>
          <c:yVal>
            <c:numRef>
              <c:f>'150°C'!$H$11:$H$41</c:f>
              <c:numCache>
                <c:formatCode>General</c:formatCode>
                <c:ptCount val="31"/>
                <c:pt idx="0">
                  <c:v>#N/A</c:v>
                </c:pt>
              </c:numCache>
            </c:numRef>
          </c:yVal>
          <c:smooth val="1"/>
          <c:extLst>
            <c:ext xmlns:c16="http://schemas.microsoft.com/office/drawing/2014/chart" uri="{C3380CC4-5D6E-409C-BE32-E72D297353CC}">
              <c16:uniqueId val="{00000005-2924-4B74-A857-852BB15A59EB}"/>
            </c:ext>
          </c:extLst>
        </c:ser>
        <c:ser>
          <c:idx val="6"/>
          <c:order val="6"/>
          <c:spPr>
            <a:ln w="19050" cap="rnd">
              <a:solidFill>
                <a:schemeClr val="accent1">
                  <a:lumMod val="60000"/>
                </a:schemeClr>
              </a:solidFill>
              <a:round/>
            </a:ln>
            <a:effectLst/>
          </c:spPr>
          <c:marker>
            <c:symbol val="none"/>
          </c:marker>
          <c:xVal>
            <c:numRef>
              <c:f>'150°C'!$B$11:$B$41</c:f>
              <c:numCache>
                <c:formatCode>m/d/yyyy</c:formatCode>
                <c:ptCount val="31"/>
                <c:pt idx="0">
                  <c:v>0</c:v>
                </c:pt>
              </c:numCache>
            </c:numRef>
          </c:xVal>
          <c:yVal>
            <c:numRef>
              <c:f>'150°C'!$I$11:$I$41</c:f>
              <c:numCache>
                <c:formatCode>General</c:formatCode>
                <c:ptCount val="31"/>
                <c:pt idx="0">
                  <c:v>#N/A</c:v>
                </c:pt>
              </c:numCache>
            </c:numRef>
          </c:yVal>
          <c:smooth val="1"/>
          <c:extLst>
            <c:ext xmlns:c16="http://schemas.microsoft.com/office/drawing/2014/chart" uri="{C3380CC4-5D6E-409C-BE32-E72D297353CC}">
              <c16:uniqueId val="{00000006-2924-4B74-A857-852BB15A59EB}"/>
            </c:ext>
          </c:extLst>
        </c:ser>
        <c:ser>
          <c:idx val="7"/>
          <c:order val="7"/>
          <c:spPr>
            <a:ln w="19050" cap="rnd">
              <a:solidFill>
                <a:schemeClr val="accent2">
                  <a:lumMod val="60000"/>
                </a:schemeClr>
              </a:solidFill>
              <a:round/>
            </a:ln>
            <a:effectLst/>
          </c:spPr>
          <c:marker>
            <c:symbol val="none"/>
          </c:marker>
          <c:xVal>
            <c:numRef>
              <c:f>'150°C'!$B$11:$B$41</c:f>
              <c:numCache>
                <c:formatCode>m/d/yyyy</c:formatCode>
                <c:ptCount val="31"/>
                <c:pt idx="0">
                  <c:v>0</c:v>
                </c:pt>
              </c:numCache>
            </c:numRef>
          </c:xVal>
          <c:yVal>
            <c:numRef>
              <c:f>'150°C'!$J$11:$J$41</c:f>
              <c:numCache>
                <c:formatCode>General</c:formatCode>
                <c:ptCount val="31"/>
                <c:pt idx="0">
                  <c:v>#N/A</c:v>
                </c:pt>
              </c:numCache>
            </c:numRef>
          </c:yVal>
          <c:smooth val="1"/>
          <c:extLst>
            <c:ext xmlns:c16="http://schemas.microsoft.com/office/drawing/2014/chart" uri="{C3380CC4-5D6E-409C-BE32-E72D297353CC}">
              <c16:uniqueId val="{00000007-2924-4B74-A857-852BB15A59EB}"/>
            </c:ext>
          </c:extLst>
        </c:ser>
        <c:ser>
          <c:idx val="8"/>
          <c:order val="8"/>
          <c:spPr>
            <a:ln w="19050" cap="rnd">
              <a:solidFill>
                <a:schemeClr val="accent3">
                  <a:lumMod val="60000"/>
                </a:schemeClr>
              </a:solidFill>
              <a:round/>
            </a:ln>
            <a:effectLst/>
          </c:spPr>
          <c:marker>
            <c:symbol val="none"/>
          </c:marker>
          <c:xVal>
            <c:numRef>
              <c:f>'150°C'!$B$11:$B$41</c:f>
              <c:numCache>
                <c:formatCode>m/d/yyyy</c:formatCode>
                <c:ptCount val="31"/>
                <c:pt idx="0">
                  <c:v>0</c:v>
                </c:pt>
              </c:numCache>
            </c:numRef>
          </c:xVal>
          <c:yVal>
            <c:numRef>
              <c:f>'150°C'!$K$11:$K$41</c:f>
              <c:numCache>
                <c:formatCode>General</c:formatCode>
                <c:ptCount val="31"/>
                <c:pt idx="0">
                  <c:v>#N/A</c:v>
                </c:pt>
              </c:numCache>
            </c:numRef>
          </c:yVal>
          <c:smooth val="1"/>
          <c:extLst>
            <c:ext xmlns:c16="http://schemas.microsoft.com/office/drawing/2014/chart" uri="{C3380CC4-5D6E-409C-BE32-E72D297353CC}">
              <c16:uniqueId val="{00000008-2924-4B74-A857-852BB15A59EB}"/>
            </c:ext>
          </c:extLst>
        </c:ser>
        <c:ser>
          <c:idx val="9"/>
          <c:order val="9"/>
          <c:spPr>
            <a:ln w="19050" cap="rnd">
              <a:solidFill>
                <a:schemeClr val="accent4">
                  <a:lumMod val="60000"/>
                </a:schemeClr>
              </a:solidFill>
              <a:round/>
            </a:ln>
            <a:effectLst/>
          </c:spPr>
          <c:marker>
            <c:symbol val="none"/>
          </c:marker>
          <c:xVal>
            <c:numRef>
              <c:f>'150°C'!$B$11:$B$41</c:f>
              <c:numCache>
                <c:formatCode>m/d/yyyy</c:formatCode>
                <c:ptCount val="31"/>
                <c:pt idx="0">
                  <c:v>0</c:v>
                </c:pt>
              </c:numCache>
            </c:numRef>
          </c:xVal>
          <c:yVal>
            <c:numRef>
              <c:f>'150°C'!$L$11:$L$41</c:f>
              <c:numCache>
                <c:formatCode>General</c:formatCode>
                <c:ptCount val="31"/>
                <c:pt idx="0">
                  <c:v>#N/A</c:v>
                </c:pt>
              </c:numCache>
            </c:numRef>
          </c:yVal>
          <c:smooth val="1"/>
          <c:extLst>
            <c:ext xmlns:c16="http://schemas.microsoft.com/office/drawing/2014/chart" uri="{C3380CC4-5D6E-409C-BE32-E72D297353CC}">
              <c16:uniqueId val="{00000009-2924-4B74-A857-852BB15A59EB}"/>
            </c:ext>
          </c:extLst>
        </c:ser>
        <c:ser>
          <c:idx val="10"/>
          <c:order val="10"/>
          <c:spPr>
            <a:ln w="19050" cap="rnd">
              <a:solidFill>
                <a:schemeClr val="accent5">
                  <a:lumMod val="60000"/>
                </a:schemeClr>
              </a:solidFill>
              <a:round/>
            </a:ln>
            <a:effectLst/>
          </c:spPr>
          <c:marker>
            <c:symbol val="none"/>
          </c:marker>
          <c:xVal>
            <c:numRef>
              <c:f>'150°C'!$B$11:$B$41</c:f>
              <c:numCache>
                <c:formatCode>m/d/yyyy</c:formatCode>
                <c:ptCount val="31"/>
                <c:pt idx="0">
                  <c:v>0</c:v>
                </c:pt>
              </c:numCache>
            </c:numRef>
          </c:xVal>
          <c:yVal>
            <c:numRef>
              <c:f>'150°C'!$M$11:$M$41</c:f>
              <c:numCache>
                <c:formatCode>General</c:formatCode>
                <c:ptCount val="31"/>
                <c:pt idx="0">
                  <c:v>#N/A</c:v>
                </c:pt>
              </c:numCache>
            </c:numRef>
          </c:yVal>
          <c:smooth val="1"/>
          <c:extLst>
            <c:ext xmlns:c16="http://schemas.microsoft.com/office/drawing/2014/chart" uri="{C3380CC4-5D6E-409C-BE32-E72D297353CC}">
              <c16:uniqueId val="{0000000A-2924-4B74-A857-852BB15A59EB}"/>
            </c:ext>
          </c:extLst>
        </c:ser>
        <c:ser>
          <c:idx val="11"/>
          <c:order val="11"/>
          <c:spPr>
            <a:ln w="19050" cap="rnd">
              <a:solidFill>
                <a:schemeClr val="accent6">
                  <a:lumMod val="60000"/>
                </a:schemeClr>
              </a:solidFill>
              <a:round/>
            </a:ln>
            <a:effectLst/>
          </c:spPr>
          <c:marker>
            <c:symbol val="none"/>
          </c:marker>
          <c:xVal>
            <c:numRef>
              <c:f>'150°C'!$B$11:$B$41</c:f>
              <c:numCache>
                <c:formatCode>m/d/yyyy</c:formatCode>
                <c:ptCount val="31"/>
                <c:pt idx="0">
                  <c:v>0</c:v>
                </c:pt>
              </c:numCache>
            </c:numRef>
          </c:xVal>
          <c:yVal>
            <c:numRef>
              <c:f>'150°C'!$N$11:$N$41</c:f>
              <c:numCache>
                <c:formatCode>General</c:formatCode>
                <c:ptCount val="31"/>
                <c:pt idx="0">
                  <c:v>#N/A</c:v>
                </c:pt>
              </c:numCache>
            </c:numRef>
          </c:yVal>
          <c:smooth val="1"/>
          <c:extLst>
            <c:ext xmlns:c16="http://schemas.microsoft.com/office/drawing/2014/chart" uri="{C3380CC4-5D6E-409C-BE32-E72D297353CC}">
              <c16:uniqueId val="{0000000B-2924-4B74-A857-852BB15A59EB}"/>
            </c:ext>
          </c:extLst>
        </c:ser>
        <c:ser>
          <c:idx val="12"/>
          <c:order val="12"/>
          <c:spPr>
            <a:ln w="19050" cap="rnd">
              <a:solidFill>
                <a:schemeClr val="accent1">
                  <a:lumMod val="80000"/>
                  <a:lumOff val="20000"/>
                </a:schemeClr>
              </a:solidFill>
              <a:round/>
            </a:ln>
            <a:effectLst/>
          </c:spPr>
          <c:marker>
            <c:symbol val="none"/>
          </c:marker>
          <c:xVal>
            <c:numRef>
              <c:f>'150°C'!$B$11:$B$41</c:f>
              <c:numCache>
                <c:formatCode>m/d/yyyy</c:formatCode>
                <c:ptCount val="31"/>
                <c:pt idx="0">
                  <c:v>0</c:v>
                </c:pt>
              </c:numCache>
            </c:numRef>
          </c:xVal>
          <c:yVal>
            <c:numRef>
              <c:f>'150°C'!$O$11:$O$41</c:f>
              <c:numCache>
                <c:formatCode>General</c:formatCode>
                <c:ptCount val="31"/>
                <c:pt idx="0">
                  <c:v>#N/A</c:v>
                </c:pt>
              </c:numCache>
            </c:numRef>
          </c:yVal>
          <c:smooth val="1"/>
          <c:extLst>
            <c:ext xmlns:c16="http://schemas.microsoft.com/office/drawing/2014/chart" uri="{C3380CC4-5D6E-409C-BE32-E72D297353CC}">
              <c16:uniqueId val="{0000000C-2924-4B74-A857-852BB15A59EB}"/>
            </c:ext>
          </c:extLst>
        </c:ser>
        <c:dLbls>
          <c:showLegendKey val="0"/>
          <c:showVal val="0"/>
          <c:showCatName val="0"/>
          <c:showSerName val="0"/>
          <c:showPercent val="0"/>
          <c:showBubbleSize val="0"/>
        </c:dLbls>
        <c:axId val="785823048"/>
        <c:axId val="785822328"/>
      </c:scatterChart>
      <c:valAx>
        <c:axId val="785823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5822328"/>
        <c:crosses val="autoZero"/>
        <c:crossBetween val="midCat"/>
      </c:valAx>
      <c:valAx>
        <c:axId val="785822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5823048"/>
        <c:crosses val="autoZero"/>
        <c:crossBetween val="midCat"/>
      </c:valAx>
      <c:spPr>
        <a:noFill/>
        <a:ln>
          <a:noFill/>
        </a:ln>
        <a:effectLst/>
      </c:spPr>
    </c:plotArea>
    <c:legend>
      <c:legendPos val="b"/>
      <c:layout>
        <c:manualLayout>
          <c:xMode val="edge"/>
          <c:yMode val="edge"/>
          <c:x val="0.20601929688366416"/>
          <c:y val="0.94433712171520734"/>
          <c:w val="0.55908816679605189"/>
          <c:h val="4.40966132245517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'190°C'!$B$11:$B$41</c:f>
              <c:numCache>
                <c:formatCode>m/d/yyyy</c:formatCode>
                <c:ptCount val="31"/>
                <c:pt idx="0">
                  <c:v>0</c:v>
                </c:pt>
              </c:numCache>
            </c:numRef>
          </c:xVal>
          <c:yVal>
            <c:numRef>
              <c:f>'190°C'!$C$11:$C$41</c:f>
              <c:numCache>
                <c:formatCode>General</c:formatCode>
                <c:ptCount val="31"/>
                <c:pt idx="0">
                  <c:v>#N/A</c:v>
                </c:pt>
              </c:numCache>
            </c:numRef>
          </c:yVal>
          <c:smooth val="1"/>
          <c:extLst>
            <c:ext xmlns:c16="http://schemas.microsoft.com/office/drawing/2014/chart" uri="{C3380CC4-5D6E-409C-BE32-E72D297353CC}">
              <c16:uniqueId val="{00000000-E0B8-41B9-8364-A0E186575711}"/>
            </c:ext>
          </c:extLst>
        </c:ser>
        <c:ser>
          <c:idx val="1"/>
          <c:order val="1"/>
          <c:spPr>
            <a:ln w="19050" cap="rnd">
              <a:solidFill>
                <a:schemeClr val="accent2"/>
              </a:solidFill>
              <a:round/>
            </a:ln>
            <a:effectLst/>
          </c:spPr>
          <c:marker>
            <c:symbol val="none"/>
          </c:marker>
          <c:xVal>
            <c:numRef>
              <c:f>'190°C'!$B$11:$B$41</c:f>
              <c:numCache>
                <c:formatCode>m/d/yyyy</c:formatCode>
                <c:ptCount val="31"/>
                <c:pt idx="0">
                  <c:v>0</c:v>
                </c:pt>
              </c:numCache>
            </c:numRef>
          </c:xVal>
          <c:yVal>
            <c:numRef>
              <c:f>'190°C'!$D$11:$D$41</c:f>
              <c:numCache>
                <c:formatCode>General</c:formatCode>
                <c:ptCount val="31"/>
                <c:pt idx="0">
                  <c:v>#N/A</c:v>
                </c:pt>
              </c:numCache>
            </c:numRef>
          </c:yVal>
          <c:smooth val="1"/>
          <c:extLst>
            <c:ext xmlns:c16="http://schemas.microsoft.com/office/drawing/2014/chart" uri="{C3380CC4-5D6E-409C-BE32-E72D297353CC}">
              <c16:uniqueId val="{00000001-E0B8-41B9-8364-A0E186575711}"/>
            </c:ext>
          </c:extLst>
        </c:ser>
        <c:ser>
          <c:idx val="2"/>
          <c:order val="2"/>
          <c:spPr>
            <a:ln w="19050" cap="rnd">
              <a:solidFill>
                <a:schemeClr val="accent3"/>
              </a:solidFill>
              <a:round/>
            </a:ln>
            <a:effectLst/>
          </c:spPr>
          <c:marker>
            <c:symbol val="none"/>
          </c:marker>
          <c:xVal>
            <c:numRef>
              <c:f>'190°C'!$B$11:$B$41</c:f>
              <c:numCache>
                <c:formatCode>m/d/yyyy</c:formatCode>
                <c:ptCount val="31"/>
                <c:pt idx="0">
                  <c:v>0</c:v>
                </c:pt>
              </c:numCache>
            </c:numRef>
          </c:xVal>
          <c:yVal>
            <c:numRef>
              <c:f>'190°C'!$E$11:$E$41</c:f>
              <c:numCache>
                <c:formatCode>General</c:formatCode>
                <c:ptCount val="31"/>
                <c:pt idx="0">
                  <c:v>#N/A</c:v>
                </c:pt>
              </c:numCache>
            </c:numRef>
          </c:yVal>
          <c:smooth val="1"/>
          <c:extLst>
            <c:ext xmlns:c16="http://schemas.microsoft.com/office/drawing/2014/chart" uri="{C3380CC4-5D6E-409C-BE32-E72D297353CC}">
              <c16:uniqueId val="{00000002-E0B8-41B9-8364-A0E186575711}"/>
            </c:ext>
          </c:extLst>
        </c:ser>
        <c:ser>
          <c:idx val="3"/>
          <c:order val="3"/>
          <c:spPr>
            <a:ln w="19050" cap="rnd">
              <a:solidFill>
                <a:schemeClr val="accent4"/>
              </a:solidFill>
              <a:round/>
            </a:ln>
            <a:effectLst/>
          </c:spPr>
          <c:marker>
            <c:symbol val="none"/>
          </c:marker>
          <c:xVal>
            <c:numRef>
              <c:f>'190°C'!$B$11:$B$41</c:f>
              <c:numCache>
                <c:formatCode>m/d/yyyy</c:formatCode>
                <c:ptCount val="31"/>
                <c:pt idx="0">
                  <c:v>0</c:v>
                </c:pt>
              </c:numCache>
            </c:numRef>
          </c:xVal>
          <c:yVal>
            <c:numRef>
              <c:f>'190°C'!$F$11:$F$41</c:f>
              <c:numCache>
                <c:formatCode>General</c:formatCode>
                <c:ptCount val="31"/>
                <c:pt idx="0">
                  <c:v>#N/A</c:v>
                </c:pt>
              </c:numCache>
            </c:numRef>
          </c:yVal>
          <c:smooth val="1"/>
          <c:extLst>
            <c:ext xmlns:c16="http://schemas.microsoft.com/office/drawing/2014/chart" uri="{C3380CC4-5D6E-409C-BE32-E72D297353CC}">
              <c16:uniqueId val="{00000003-E0B8-41B9-8364-A0E186575711}"/>
            </c:ext>
          </c:extLst>
        </c:ser>
        <c:ser>
          <c:idx val="4"/>
          <c:order val="4"/>
          <c:spPr>
            <a:ln w="19050" cap="rnd">
              <a:solidFill>
                <a:schemeClr val="accent5"/>
              </a:solidFill>
              <a:round/>
            </a:ln>
            <a:effectLst/>
          </c:spPr>
          <c:marker>
            <c:symbol val="none"/>
          </c:marker>
          <c:xVal>
            <c:numRef>
              <c:f>'190°C'!$B$11:$B$41</c:f>
              <c:numCache>
                <c:formatCode>m/d/yyyy</c:formatCode>
                <c:ptCount val="31"/>
                <c:pt idx="0">
                  <c:v>0</c:v>
                </c:pt>
              </c:numCache>
            </c:numRef>
          </c:xVal>
          <c:yVal>
            <c:numRef>
              <c:f>'190°C'!$G$11:$G$41</c:f>
              <c:numCache>
                <c:formatCode>General</c:formatCode>
                <c:ptCount val="31"/>
                <c:pt idx="0">
                  <c:v>#N/A</c:v>
                </c:pt>
              </c:numCache>
            </c:numRef>
          </c:yVal>
          <c:smooth val="1"/>
          <c:extLst>
            <c:ext xmlns:c16="http://schemas.microsoft.com/office/drawing/2014/chart" uri="{C3380CC4-5D6E-409C-BE32-E72D297353CC}">
              <c16:uniqueId val="{00000004-E0B8-41B9-8364-A0E186575711}"/>
            </c:ext>
          </c:extLst>
        </c:ser>
        <c:ser>
          <c:idx val="5"/>
          <c:order val="5"/>
          <c:spPr>
            <a:ln w="19050" cap="rnd">
              <a:solidFill>
                <a:schemeClr val="accent6"/>
              </a:solidFill>
              <a:round/>
            </a:ln>
            <a:effectLst/>
          </c:spPr>
          <c:marker>
            <c:symbol val="none"/>
          </c:marker>
          <c:xVal>
            <c:numRef>
              <c:f>'190°C'!$B$11:$B$41</c:f>
              <c:numCache>
                <c:formatCode>m/d/yyyy</c:formatCode>
                <c:ptCount val="31"/>
                <c:pt idx="0">
                  <c:v>0</c:v>
                </c:pt>
              </c:numCache>
            </c:numRef>
          </c:xVal>
          <c:yVal>
            <c:numRef>
              <c:f>'190°C'!$H$11:$H$41</c:f>
              <c:numCache>
                <c:formatCode>General</c:formatCode>
                <c:ptCount val="31"/>
                <c:pt idx="0">
                  <c:v>#N/A</c:v>
                </c:pt>
              </c:numCache>
            </c:numRef>
          </c:yVal>
          <c:smooth val="1"/>
          <c:extLst>
            <c:ext xmlns:c16="http://schemas.microsoft.com/office/drawing/2014/chart" uri="{C3380CC4-5D6E-409C-BE32-E72D297353CC}">
              <c16:uniqueId val="{00000005-E0B8-41B9-8364-A0E186575711}"/>
            </c:ext>
          </c:extLst>
        </c:ser>
        <c:ser>
          <c:idx val="6"/>
          <c:order val="6"/>
          <c:spPr>
            <a:ln w="19050" cap="rnd">
              <a:solidFill>
                <a:schemeClr val="accent1">
                  <a:lumMod val="60000"/>
                </a:schemeClr>
              </a:solidFill>
              <a:round/>
            </a:ln>
            <a:effectLst/>
          </c:spPr>
          <c:marker>
            <c:symbol val="none"/>
          </c:marker>
          <c:xVal>
            <c:numRef>
              <c:f>'190°C'!$B$11:$B$41</c:f>
              <c:numCache>
                <c:formatCode>m/d/yyyy</c:formatCode>
                <c:ptCount val="31"/>
                <c:pt idx="0">
                  <c:v>0</c:v>
                </c:pt>
              </c:numCache>
            </c:numRef>
          </c:xVal>
          <c:yVal>
            <c:numRef>
              <c:f>'190°C'!$I$11:$I$41</c:f>
              <c:numCache>
                <c:formatCode>General</c:formatCode>
                <c:ptCount val="31"/>
                <c:pt idx="0">
                  <c:v>#N/A</c:v>
                </c:pt>
              </c:numCache>
            </c:numRef>
          </c:yVal>
          <c:smooth val="1"/>
          <c:extLst>
            <c:ext xmlns:c16="http://schemas.microsoft.com/office/drawing/2014/chart" uri="{C3380CC4-5D6E-409C-BE32-E72D297353CC}">
              <c16:uniqueId val="{00000006-E0B8-41B9-8364-A0E186575711}"/>
            </c:ext>
          </c:extLst>
        </c:ser>
        <c:ser>
          <c:idx val="7"/>
          <c:order val="7"/>
          <c:spPr>
            <a:ln w="19050" cap="rnd">
              <a:solidFill>
                <a:schemeClr val="accent2">
                  <a:lumMod val="60000"/>
                </a:schemeClr>
              </a:solidFill>
              <a:round/>
            </a:ln>
            <a:effectLst/>
          </c:spPr>
          <c:marker>
            <c:symbol val="none"/>
          </c:marker>
          <c:xVal>
            <c:numRef>
              <c:f>'190°C'!$B$11:$B$41</c:f>
              <c:numCache>
                <c:formatCode>m/d/yyyy</c:formatCode>
                <c:ptCount val="31"/>
                <c:pt idx="0">
                  <c:v>0</c:v>
                </c:pt>
              </c:numCache>
            </c:numRef>
          </c:xVal>
          <c:yVal>
            <c:numRef>
              <c:f>'190°C'!$J$11:$J$41</c:f>
              <c:numCache>
                <c:formatCode>General</c:formatCode>
                <c:ptCount val="31"/>
                <c:pt idx="0">
                  <c:v>#N/A</c:v>
                </c:pt>
              </c:numCache>
            </c:numRef>
          </c:yVal>
          <c:smooth val="1"/>
          <c:extLst>
            <c:ext xmlns:c16="http://schemas.microsoft.com/office/drawing/2014/chart" uri="{C3380CC4-5D6E-409C-BE32-E72D297353CC}">
              <c16:uniqueId val="{00000007-E0B8-41B9-8364-A0E186575711}"/>
            </c:ext>
          </c:extLst>
        </c:ser>
        <c:ser>
          <c:idx val="8"/>
          <c:order val="8"/>
          <c:spPr>
            <a:ln w="19050" cap="rnd">
              <a:solidFill>
                <a:schemeClr val="accent3">
                  <a:lumMod val="60000"/>
                </a:schemeClr>
              </a:solidFill>
              <a:round/>
            </a:ln>
            <a:effectLst/>
          </c:spPr>
          <c:marker>
            <c:symbol val="none"/>
          </c:marker>
          <c:xVal>
            <c:numRef>
              <c:f>'190°C'!$B$11:$B$41</c:f>
              <c:numCache>
                <c:formatCode>m/d/yyyy</c:formatCode>
                <c:ptCount val="31"/>
                <c:pt idx="0">
                  <c:v>0</c:v>
                </c:pt>
              </c:numCache>
            </c:numRef>
          </c:xVal>
          <c:yVal>
            <c:numRef>
              <c:f>'190°C'!$K$11:$K$41</c:f>
              <c:numCache>
                <c:formatCode>General</c:formatCode>
                <c:ptCount val="31"/>
                <c:pt idx="0">
                  <c:v>#N/A</c:v>
                </c:pt>
              </c:numCache>
            </c:numRef>
          </c:yVal>
          <c:smooth val="1"/>
          <c:extLst>
            <c:ext xmlns:c16="http://schemas.microsoft.com/office/drawing/2014/chart" uri="{C3380CC4-5D6E-409C-BE32-E72D297353CC}">
              <c16:uniqueId val="{00000008-E0B8-41B9-8364-A0E186575711}"/>
            </c:ext>
          </c:extLst>
        </c:ser>
        <c:ser>
          <c:idx val="9"/>
          <c:order val="9"/>
          <c:spPr>
            <a:ln w="19050" cap="rnd">
              <a:solidFill>
                <a:schemeClr val="accent4">
                  <a:lumMod val="60000"/>
                </a:schemeClr>
              </a:solidFill>
              <a:round/>
            </a:ln>
            <a:effectLst/>
          </c:spPr>
          <c:marker>
            <c:symbol val="none"/>
          </c:marker>
          <c:xVal>
            <c:numRef>
              <c:f>'190°C'!$B$11:$B$41</c:f>
              <c:numCache>
                <c:formatCode>m/d/yyyy</c:formatCode>
                <c:ptCount val="31"/>
                <c:pt idx="0">
                  <c:v>0</c:v>
                </c:pt>
              </c:numCache>
            </c:numRef>
          </c:xVal>
          <c:yVal>
            <c:numRef>
              <c:f>'190°C'!$L$11:$L$41</c:f>
              <c:numCache>
                <c:formatCode>General</c:formatCode>
                <c:ptCount val="31"/>
                <c:pt idx="0">
                  <c:v>#N/A</c:v>
                </c:pt>
              </c:numCache>
            </c:numRef>
          </c:yVal>
          <c:smooth val="1"/>
          <c:extLst>
            <c:ext xmlns:c16="http://schemas.microsoft.com/office/drawing/2014/chart" uri="{C3380CC4-5D6E-409C-BE32-E72D297353CC}">
              <c16:uniqueId val="{00000009-E0B8-41B9-8364-A0E186575711}"/>
            </c:ext>
          </c:extLst>
        </c:ser>
        <c:ser>
          <c:idx val="10"/>
          <c:order val="10"/>
          <c:spPr>
            <a:ln w="19050" cap="rnd">
              <a:solidFill>
                <a:schemeClr val="accent5">
                  <a:lumMod val="60000"/>
                </a:schemeClr>
              </a:solidFill>
              <a:round/>
            </a:ln>
            <a:effectLst/>
          </c:spPr>
          <c:marker>
            <c:symbol val="none"/>
          </c:marker>
          <c:xVal>
            <c:numRef>
              <c:f>'190°C'!$B$11:$B$41</c:f>
              <c:numCache>
                <c:formatCode>m/d/yyyy</c:formatCode>
                <c:ptCount val="31"/>
                <c:pt idx="0">
                  <c:v>0</c:v>
                </c:pt>
              </c:numCache>
            </c:numRef>
          </c:xVal>
          <c:yVal>
            <c:numRef>
              <c:f>'190°C'!$M$11:$M$41</c:f>
              <c:numCache>
                <c:formatCode>General</c:formatCode>
                <c:ptCount val="31"/>
                <c:pt idx="0">
                  <c:v>#N/A</c:v>
                </c:pt>
              </c:numCache>
            </c:numRef>
          </c:yVal>
          <c:smooth val="1"/>
          <c:extLst>
            <c:ext xmlns:c16="http://schemas.microsoft.com/office/drawing/2014/chart" uri="{C3380CC4-5D6E-409C-BE32-E72D297353CC}">
              <c16:uniqueId val="{0000000A-E0B8-41B9-8364-A0E186575711}"/>
            </c:ext>
          </c:extLst>
        </c:ser>
        <c:ser>
          <c:idx val="11"/>
          <c:order val="11"/>
          <c:spPr>
            <a:ln w="19050" cap="rnd">
              <a:solidFill>
                <a:schemeClr val="accent6">
                  <a:lumMod val="60000"/>
                </a:schemeClr>
              </a:solidFill>
              <a:round/>
            </a:ln>
            <a:effectLst/>
          </c:spPr>
          <c:marker>
            <c:symbol val="none"/>
          </c:marker>
          <c:xVal>
            <c:numRef>
              <c:f>'190°C'!$B$11:$B$41</c:f>
              <c:numCache>
                <c:formatCode>m/d/yyyy</c:formatCode>
                <c:ptCount val="31"/>
                <c:pt idx="0">
                  <c:v>0</c:v>
                </c:pt>
              </c:numCache>
            </c:numRef>
          </c:xVal>
          <c:yVal>
            <c:numRef>
              <c:f>'190°C'!$N$11:$N$41</c:f>
              <c:numCache>
                <c:formatCode>General</c:formatCode>
                <c:ptCount val="31"/>
                <c:pt idx="0">
                  <c:v>#N/A</c:v>
                </c:pt>
              </c:numCache>
            </c:numRef>
          </c:yVal>
          <c:smooth val="1"/>
          <c:extLst>
            <c:ext xmlns:c16="http://schemas.microsoft.com/office/drawing/2014/chart" uri="{C3380CC4-5D6E-409C-BE32-E72D297353CC}">
              <c16:uniqueId val="{0000000B-E0B8-41B9-8364-A0E186575711}"/>
            </c:ext>
          </c:extLst>
        </c:ser>
        <c:ser>
          <c:idx val="12"/>
          <c:order val="12"/>
          <c:spPr>
            <a:ln w="19050" cap="rnd">
              <a:solidFill>
                <a:schemeClr val="accent1">
                  <a:lumMod val="80000"/>
                  <a:lumOff val="20000"/>
                </a:schemeClr>
              </a:solidFill>
              <a:round/>
            </a:ln>
            <a:effectLst/>
          </c:spPr>
          <c:marker>
            <c:symbol val="none"/>
          </c:marker>
          <c:xVal>
            <c:numRef>
              <c:f>'190°C'!$B$11:$B$41</c:f>
              <c:numCache>
                <c:formatCode>m/d/yyyy</c:formatCode>
                <c:ptCount val="31"/>
                <c:pt idx="0">
                  <c:v>0</c:v>
                </c:pt>
              </c:numCache>
            </c:numRef>
          </c:xVal>
          <c:yVal>
            <c:numRef>
              <c:f>'190°C'!$O$11:$O$41</c:f>
              <c:numCache>
                <c:formatCode>General</c:formatCode>
                <c:ptCount val="31"/>
                <c:pt idx="0">
                  <c:v>#N/A</c:v>
                </c:pt>
              </c:numCache>
            </c:numRef>
          </c:yVal>
          <c:smooth val="1"/>
          <c:extLst>
            <c:ext xmlns:c16="http://schemas.microsoft.com/office/drawing/2014/chart" uri="{C3380CC4-5D6E-409C-BE32-E72D297353CC}">
              <c16:uniqueId val="{0000000C-E0B8-41B9-8364-A0E186575711}"/>
            </c:ext>
          </c:extLst>
        </c:ser>
        <c:dLbls>
          <c:showLegendKey val="0"/>
          <c:showVal val="0"/>
          <c:showCatName val="0"/>
          <c:showSerName val="0"/>
          <c:showPercent val="0"/>
          <c:showBubbleSize val="0"/>
        </c:dLbls>
        <c:axId val="936962248"/>
        <c:axId val="936963688"/>
      </c:scatterChart>
      <c:valAx>
        <c:axId val="936962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6963688"/>
        <c:crosses val="autoZero"/>
        <c:crossBetween val="midCat"/>
      </c:valAx>
      <c:valAx>
        <c:axId val="936963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6962248"/>
        <c:crosses val="autoZero"/>
        <c:crossBetween val="midCat"/>
      </c:valAx>
      <c:spPr>
        <a:noFill/>
        <a:ln>
          <a:noFill/>
        </a:ln>
        <a:effectLst/>
      </c:spPr>
    </c:plotArea>
    <c:legend>
      <c:legendPos val="b"/>
      <c:layout>
        <c:manualLayout>
          <c:xMode val="edge"/>
          <c:yMode val="edge"/>
          <c:x val="0.23033495055542294"/>
          <c:y val="0.93214259755992035"/>
          <c:w val="0.5231684827275378"/>
          <c:h val="5.4670589253266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jpg"/><Relationship Id="rId1" Type="http://schemas.openxmlformats.org/officeDocument/2006/relationships/image" Target="../media/image1.jpe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9</xdr:col>
      <xdr:colOff>918885</xdr:colOff>
      <xdr:row>9</xdr:row>
      <xdr:rowOff>145675</xdr:rowOff>
    </xdr:from>
    <xdr:to>
      <xdr:col>18</xdr:col>
      <xdr:colOff>147335</xdr:colOff>
      <xdr:row>35</xdr:row>
      <xdr:rowOff>147780</xdr:rowOff>
    </xdr:to>
    <xdr:grpSp>
      <xdr:nvGrpSpPr>
        <xdr:cNvPr id="103" name="Groupe 102">
          <a:extLst>
            <a:ext uri="{FF2B5EF4-FFF2-40B4-BE49-F238E27FC236}">
              <a16:creationId xmlns:a16="http://schemas.microsoft.com/office/drawing/2014/main" id="{00000000-0008-0000-0000-000067000000}"/>
            </a:ext>
          </a:extLst>
        </xdr:cNvPr>
        <xdr:cNvGrpSpPr/>
      </xdr:nvGrpSpPr>
      <xdr:grpSpPr>
        <a:xfrm>
          <a:off x="11934267" y="3104028"/>
          <a:ext cx="8562950" cy="5492987"/>
          <a:chOff x="11934267" y="3104028"/>
          <a:chExt cx="8562950" cy="5492987"/>
        </a:xfrm>
      </xdr:grpSpPr>
      <xdr:grpSp>
        <xdr:nvGrpSpPr>
          <xdr:cNvPr id="89" name="Groupe 88">
            <a:extLst>
              <a:ext uri="{FF2B5EF4-FFF2-40B4-BE49-F238E27FC236}">
                <a16:creationId xmlns:a16="http://schemas.microsoft.com/office/drawing/2014/main" id="{00000000-0008-0000-0000-000059000000}"/>
              </a:ext>
            </a:extLst>
          </xdr:cNvPr>
          <xdr:cNvGrpSpPr/>
        </xdr:nvGrpSpPr>
        <xdr:grpSpPr>
          <a:xfrm>
            <a:off x="11934267" y="3104028"/>
            <a:ext cx="8562950" cy="5492987"/>
            <a:chOff x="11889443" y="3126440"/>
            <a:chExt cx="8562950" cy="5492987"/>
          </a:xfrm>
        </xdr:grpSpPr>
        <xdr:grpSp>
          <xdr:nvGrpSpPr>
            <xdr:cNvPr id="75" name="Groupe 74">
              <a:extLst>
                <a:ext uri="{FF2B5EF4-FFF2-40B4-BE49-F238E27FC236}">
                  <a16:creationId xmlns:a16="http://schemas.microsoft.com/office/drawing/2014/main" id="{00000000-0008-0000-0000-00004B000000}"/>
                </a:ext>
              </a:extLst>
            </xdr:cNvPr>
            <xdr:cNvGrpSpPr/>
          </xdr:nvGrpSpPr>
          <xdr:grpSpPr>
            <a:xfrm>
              <a:off x="11889443" y="3126440"/>
              <a:ext cx="8562950" cy="5492987"/>
              <a:chOff x="11889443" y="3126440"/>
              <a:chExt cx="8562950" cy="5492987"/>
            </a:xfrm>
          </xdr:grpSpPr>
          <xdr:grpSp>
            <xdr:nvGrpSpPr>
              <xdr:cNvPr id="72" name="Groupe 71">
                <a:extLst>
                  <a:ext uri="{FF2B5EF4-FFF2-40B4-BE49-F238E27FC236}">
                    <a16:creationId xmlns:a16="http://schemas.microsoft.com/office/drawing/2014/main" id="{00000000-0008-0000-0000-000048000000}"/>
                  </a:ext>
                </a:extLst>
              </xdr:cNvPr>
              <xdr:cNvGrpSpPr/>
            </xdr:nvGrpSpPr>
            <xdr:grpSpPr>
              <a:xfrm>
                <a:off x="11889443" y="3126440"/>
                <a:ext cx="8562950" cy="5492987"/>
                <a:chOff x="11889443" y="3126440"/>
                <a:chExt cx="8562950" cy="5492987"/>
              </a:xfrm>
            </xdr:grpSpPr>
            <xdr:sp macro="" textlink="$A$23">
              <xdr:nvSpPr>
                <xdr:cNvPr id="59" name="Organigramme : Connecteur 58">
                  <a:extLst>
                    <a:ext uri="{FF2B5EF4-FFF2-40B4-BE49-F238E27FC236}">
                      <a16:creationId xmlns:a16="http://schemas.microsoft.com/office/drawing/2014/main" id="{00000000-0008-0000-0000-00003B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71" name="Groupe 70">
                  <a:extLst>
                    <a:ext uri="{FF2B5EF4-FFF2-40B4-BE49-F238E27FC236}">
                      <a16:creationId xmlns:a16="http://schemas.microsoft.com/office/drawing/2014/main" id="{00000000-0008-0000-0000-000047000000}"/>
                    </a:ext>
                  </a:extLst>
                </xdr:cNvPr>
                <xdr:cNvGrpSpPr/>
              </xdr:nvGrpSpPr>
              <xdr:grpSpPr>
                <a:xfrm>
                  <a:off x="11889443" y="3126440"/>
                  <a:ext cx="8562950" cy="5492987"/>
                  <a:chOff x="11889443" y="3126440"/>
                  <a:chExt cx="8562950" cy="5492987"/>
                </a:xfrm>
              </xdr:grpSpPr>
              <xdr:grpSp>
                <xdr:nvGrpSpPr>
                  <xdr:cNvPr id="2" name="Groupe 1">
                    <a:extLst>
                      <a:ext uri="{FF2B5EF4-FFF2-40B4-BE49-F238E27FC236}">
                        <a16:creationId xmlns:a16="http://schemas.microsoft.com/office/drawing/2014/main" id="{00000000-0008-0000-0000-000002000000}"/>
                      </a:ext>
                    </a:extLst>
                  </xdr:cNvPr>
                  <xdr:cNvGrpSpPr/>
                </xdr:nvGrpSpPr>
                <xdr:grpSpPr>
                  <a:xfrm>
                    <a:off x="11889443" y="3126440"/>
                    <a:ext cx="8562950" cy="5492987"/>
                    <a:chOff x="3803125" y="991161"/>
                    <a:chExt cx="8562950" cy="5492987"/>
                  </a:xfrm>
                </xdr:grpSpPr>
                <xdr:grpSp>
                  <xdr:nvGrpSpPr>
                    <xdr:cNvPr id="3" name="Groupe 2">
                      <a:extLst>
                        <a:ext uri="{FF2B5EF4-FFF2-40B4-BE49-F238E27FC236}">
                          <a16:creationId xmlns:a16="http://schemas.microsoft.com/office/drawing/2014/main" id="{00000000-0008-0000-0000-000003000000}"/>
                        </a:ext>
                      </a:extLst>
                    </xdr:cNvPr>
                    <xdr:cNvGrpSpPr/>
                  </xdr:nvGrpSpPr>
                  <xdr:grpSpPr>
                    <a:xfrm>
                      <a:off x="3803125" y="991161"/>
                      <a:ext cx="8562950" cy="5492987"/>
                      <a:chOff x="3803125" y="991161"/>
                      <a:chExt cx="8562950" cy="5492987"/>
                    </a:xfrm>
                  </xdr:grpSpPr>
                  <xdr:grpSp>
                    <xdr:nvGrpSpPr>
                      <xdr:cNvPr id="5" name="Groupe 4">
                        <a:extLst>
                          <a:ext uri="{FF2B5EF4-FFF2-40B4-BE49-F238E27FC236}">
                            <a16:creationId xmlns:a16="http://schemas.microsoft.com/office/drawing/2014/main" id="{00000000-0008-0000-0000-000005000000}"/>
                          </a:ext>
                        </a:extLst>
                      </xdr:cNvPr>
                      <xdr:cNvGrpSpPr/>
                    </xdr:nvGrpSpPr>
                    <xdr:grpSpPr>
                      <a:xfrm>
                        <a:off x="3803125" y="991161"/>
                        <a:ext cx="8562950" cy="5492987"/>
                        <a:chOff x="3803125" y="991161"/>
                        <a:chExt cx="8562950" cy="5492987"/>
                      </a:xfrm>
                    </xdr:grpSpPr>
                    <xdr:grpSp>
                      <xdr:nvGrpSpPr>
                        <xdr:cNvPr id="7" name="Groupe 6">
                          <a:extLst>
                            <a:ext uri="{FF2B5EF4-FFF2-40B4-BE49-F238E27FC236}">
                              <a16:creationId xmlns:a16="http://schemas.microsoft.com/office/drawing/2014/main" id="{00000000-0008-0000-0000-000007000000}"/>
                            </a:ext>
                          </a:extLst>
                        </xdr:cNvPr>
                        <xdr:cNvGrpSpPr/>
                      </xdr:nvGrpSpPr>
                      <xdr:grpSpPr>
                        <a:xfrm>
                          <a:off x="3803125" y="991161"/>
                          <a:ext cx="8562950" cy="5427822"/>
                          <a:chOff x="3808707" y="1009604"/>
                          <a:chExt cx="8515205" cy="5409743"/>
                        </a:xfrm>
                      </xdr:grpSpPr>
                      <xdr:sp macro="" textlink="">
                        <xdr:nvSpPr>
                          <xdr:cNvPr id="11" name="ZoneTexte 100">
                            <a:extLst>
                              <a:ext uri="{FF2B5EF4-FFF2-40B4-BE49-F238E27FC236}">
                                <a16:creationId xmlns:a16="http://schemas.microsoft.com/office/drawing/2014/main" id="{00000000-0008-0000-0000-00000B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12" name="Groupe 11">
                            <a:extLst>
                              <a:ext uri="{FF2B5EF4-FFF2-40B4-BE49-F238E27FC236}">
                                <a16:creationId xmlns:a16="http://schemas.microsoft.com/office/drawing/2014/main" id="{00000000-0008-0000-0000-00000C000000}"/>
                              </a:ext>
                            </a:extLst>
                          </xdr:cNvPr>
                          <xdr:cNvGrpSpPr/>
                        </xdr:nvGrpSpPr>
                        <xdr:grpSpPr>
                          <a:xfrm>
                            <a:off x="3808707" y="1009604"/>
                            <a:ext cx="8147475" cy="5409743"/>
                            <a:chOff x="3725512" y="966495"/>
                            <a:chExt cx="8147475" cy="5409743"/>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4933713" y="1131498"/>
                              <a:ext cx="6410485" cy="4278824"/>
                              <a:chOff x="1814285" y="989862"/>
                              <a:chExt cx="6410485" cy="4278824"/>
                            </a:xfrm>
                          </xdr:grpSpPr>
                          <xdr:sp macro="" textlink="">
                            <xdr:nvSpPr>
                              <xdr:cNvPr id="52" name="Rectangle 51">
                                <a:extLst>
                                  <a:ext uri="{FF2B5EF4-FFF2-40B4-BE49-F238E27FC236}">
                                    <a16:creationId xmlns:a16="http://schemas.microsoft.com/office/drawing/2014/main" id="{00000000-0008-0000-0000-000034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3" name="Rectangle 52">
                                <a:extLst>
                                  <a:ext uri="{FF2B5EF4-FFF2-40B4-BE49-F238E27FC236}">
                                    <a16:creationId xmlns:a16="http://schemas.microsoft.com/office/drawing/2014/main" id="{00000000-0008-0000-0000-000035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4" name="Rectangle 53">
                                <a:extLst>
                                  <a:ext uri="{FF2B5EF4-FFF2-40B4-BE49-F238E27FC236}">
                                    <a16:creationId xmlns:a16="http://schemas.microsoft.com/office/drawing/2014/main" id="{00000000-0008-0000-0000-000036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55" name="Connecteur droit 54">
                                <a:extLst>
                                  <a:ext uri="{FF2B5EF4-FFF2-40B4-BE49-F238E27FC236}">
                                    <a16:creationId xmlns:a16="http://schemas.microsoft.com/office/drawing/2014/main" id="{00000000-0008-0000-0000-000037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0000-000038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0000-000039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58" name="Connecteur droit 57">
                                <a:extLst>
                                  <a:ext uri="{FF2B5EF4-FFF2-40B4-BE49-F238E27FC236}">
                                    <a16:creationId xmlns:a16="http://schemas.microsoft.com/office/drawing/2014/main" id="{00000000-0008-0000-0000-00003A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14" name="Ellipse 13">
                              <a:extLst>
                                <a:ext uri="{FF2B5EF4-FFF2-40B4-BE49-F238E27FC236}">
                                  <a16:creationId xmlns:a16="http://schemas.microsoft.com/office/drawing/2014/main" id="{00000000-0008-0000-0000-00000E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5" name="Ellipse 14">
                              <a:extLst>
                                <a:ext uri="{FF2B5EF4-FFF2-40B4-BE49-F238E27FC236}">
                                  <a16:creationId xmlns:a16="http://schemas.microsoft.com/office/drawing/2014/main" id="{00000000-0008-0000-0000-00000F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6" name="Ellipse 15">
                              <a:extLst>
                                <a:ext uri="{FF2B5EF4-FFF2-40B4-BE49-F238E27FC236}">
                                  <a16:creationId xmlns:a16="http://schemas.microsoft.com/office/drawing/2014/main" id="{00000000-0008-0000-0000-000010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7" name="Ellipse 16">
                              <a:extLst>
                                <a:ext uri="{FF2B5EF4-FFF2-40B4-BE49-F238E27FC236}">
                                  <a16:creationId xmlns:a16="http://schemas.microsoft.com/office/drawing/2014/main" id="{00000000-0008-0000-0000-000011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8" name="Ellipse 17">
                              <a:extLst>
                                <a:ext uri="{FF2B5EF4-FFF2-40B4-BE49-F238E27FC236}">
                                  <a16:creationId xmlns:a16="http://schemas.microsoft.com/office/drawing/2014/main" id="{00000000-0008-0000-0000-000012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 name="Ellipse 25">
                              <a:extLst>
                                <a:ext uri="{FF2B5EF4-FFF2-40B4-BE49-F238E27FC236}">
                                  <a16:creationId xmlns:a16="http://schemas.microsoft.com/office/drawing/2014/main" id="{00000000-0008-0000-0000-00001A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7" name="Ellipse 26">
                              <a:extLst>
                                <a:ext uri="{FF2B5EF4-FFF2-40B4-BE49-F238E27FC236}">
                                  <a16:creationId xmlns:a16="http://schemas.microsoft.com/office/drawing/2014/main" id="{00000000-0008-0000-0000-00001B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8" name="Ellipse 27">
                              <a:extLst>
                                <a:ext uri="{FF2B5EF4-FFF2-40B4-BE49-F238E27FC236}">
                                  <a16:creationId xmlns:a16="http://schemas.microsoft.com/office/drawing/2014/main" id="{00000000-0008-0000-0000-00001C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32" name="ZoneTexte 122">
                              <a:extLst>
                                <a:ext uri="{FF2B5EF4-FFF2-40B4-BE49-F238E27FC236}">
                                  <a16:creationId xmlns:a16="http://schemas.microsoft.com/office/drawing/2014/main" id="{00000000-0008-0000-0000-000020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33" name="ZoneTexte 123">
                              <a:extLst>
                                <a:ext uri="{FF2B5EF4-FFF2-40B4-BE49-F238E27FC236}">
                                  <a16:creationId xmlns:a16="http://schemas.microsoft.com/office/drawing/2014/main" id="{00000000-0008-0000-0000-000021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34" name="ZoneTexte 124">
                              <a:extLst>
                                <a:ext uri="{FF2B5EF4-FFF2-40B4-BE49-F238E27FC236}">
                                  <a16:creationId xmlns:a16="http://schemas.microsoft.com/office/drawing/2014/main" id="{00000000-0008-0000-0000-000022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35" name="ZoneTexte 125">
                              <a:extLst>
                                <a:ext uri="{FF2B5EF4-FFF2-40B4-BE49-F238E27FC236}">
                                  <a16:creationId xmlns:a16="http://schemas.microsoft.com/office/drawing/2014/main" id="{00000000-0008-0000-0000-000023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36" name="ZoneTexte 126">
                              <a:extLst>
                                <a:ext uri="{FF2B5EF4-FFF2-40B4-BE49-F238E27FC236}">
                                  <a16:creationId xmlns:a16="http://schemas.microsoft.com/office/drawing/2014/main" id="{00000000-0008-0000-0000-000024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37" name="Connecteur droit 36">
                              <a:extLst>
                                <a:ext uri="{FF2B5EF4-FFF2-40B4-BE49-F238E27FC236}">
                                  <a16:creationId xmlns:a16="http://schemas.microsoft.com/office/drawing/2014/main" id="{00000000-0008-0000-0000-000025000000}"/>
                                </a:ext>
                              </a:extLst>
                            </xdr:cNvPr>
                            <xdr:cNvCxnSpPr>
                              <a:cxnSpLocks/>
                              <a:stCxn id="52"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38" name="ZoneTexte 128">
                              <a:extLst>
                                <a:ext uri="{FF2B5EF4-FFF2-40B4-BE49-F238E27FC236}">
                                  <a16:creationId xmlns:a16="http://schemas.microsoft.com/office/drawing/2014/main" id="{00000000-0008-0000-0000-000026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39" name="ZoneTexte 129">
                              <a:extLst>
                                <a:ext uri="{FF2B5EF4-FFF2-40B4-BE49-F238E27FC236}">
                                  <a16:creationId xmlns:a16="http://schemas.microsoft.com/office/drawing/2014/main" id="{00000000-0008-0000-0000-000027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40" name="Connecteur droit 39">
                              <a:extLst>
                                <a:ext uri="{FF2B5EF4-FFF2-40B4-BE49-F238E27FC236}">
                                  <a16:creationId xmlns:a16="http://schemas.microsoft.com/office/drawing/2014/main" id="{00000000-0008-0000-0000-000028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41" name="Ellipse 40">
                              <a:extLst>
                                <a:ext uri="{FF2B5EF4-FFF2-40B4-BE49-F238E27FC236}">
                                  <a16:creationId xmlns:a16="http://schemas.microsoft.com/office/drawing/2014/main" id="{00000000-0008-0000-0000-000029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42" name="Groupe 41">
                              <a:extLst>
                                <a:ext uri="{FF2B5EF4-FFF2-40B4-BE49-F238E27FC236}">
                                  <a16:creationId xmlns:a16="http://schemas.microsoft.com/office/drawing/2014/main" id="{00000000-0008-0000-0000-00002A000000}"/>
                                </a:ext>
                              </a:extLst>
                            </xdr:cNvPr>
                            <xdr:cNvGrpSpPr/>
                          </xdr:nvGrpSpPr>
                          <xdr:grpSpPr>
                            <a:xfrm>
                              <a:off x="9023280" y="1584899"/>
                              <a:ext cx="165827" cy="126059"/>
                              <a:chOff x="3146989" y="1579602"/>
                              <a:chExt cx="165827" cy="126059"/>
                            </a:xfrm>
                          </xdr:grpSpPr>
                          <xdr:sp macro="" textlink="">
                            <xdr:nvSpPr>
                              <xdr:cNvPr id="50" name="Ellipse 49">
                                <a:extLst>
                                  <a:ext uri="{FF2B5EF4-FFF2-40B4-BE49-F238E27FC236}">
                                    <a16:creationId xmlns:a16="http://schemas.microsoft.com/office/drawing/2014/main" id="{00000000-0008-0000-0000-000032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51" name="Ellipse 50">
                                <a:extLst>
                                  <a:ext uri="{FF2B5EF4-FFF2-40B4-BE49-F238E27FC236}">
                                    <a16:creationId xmlns:a16="http://schemas.microsoft.com/office/drawing/2014/main" id="{00000000-0008-0000-0000-000033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43" name="Ellipse 42">
                              <a:extLst>
                                <a:ext uri="{FF2B5EF4-FFF2-40B4-BE49-F238E27FC236}">
                                  <a16:creationId xmlns:a16="http://schemas.microsoft.com/office/drawing/2014/main" id="{00000000-0008-0000-0000-00002B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5" name="Ellipse 44">
                              <a:extLst>
                                <a:ext uri="{FF2B5EF4-FFF2-40B4-BE49-F238E27FC236}">
                                  <a16:creationId xmlns:a16="http://schemas.microsoft.com/office/drawing/2014/main" id="{00000000-0008-0000-0000-00002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6" name="Ellipse 45">
                              <a:extLst>
                                <a:ext uri="{FF2B5EF4-FFF2-40B4-BE49-F238E27FC236}">
                                  <a16:creationId xmlns:a16="http://schemas.microsoft.com/office/drawing/2014/main" id="{00000000-0008-0000-0000-00002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7" name="Ellipse 46">
                              <a:extLst>
                                <a:ext uri="{FF2B5EF4-FFF2-40B4-BE49-F238E27FC236}">
                                  <a16:creationId xmlns:a16="http://schemas.microsoft.com/office/drawing/2014/main" id="{00000000-0008-0000-0000-00002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48" name="ZoneTexte 138">
                              <a:extLst>
                                <a:ext uri="{FF2B5EF4-FFF2-40B4-BE49-F238E27FC236}">
                                  <a16:creationId xmlns:a16="http://schemas.microsoft.com/office/drawing/2014/main" id="{00000000-0008-0000-0000-000030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49" name="Connecteur droit 48">
                              <a:extLst>
                                <a:ext uri="{FF2B5EF4-FFF2-40B4-BE49-F238E27FC236}">
                                  <a16:creationId xmlns:a16="http://schemas.microsoft.com/office/drawing/2014/main" id="{00000000-0008-0000-0000-000031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ZoneTexte 149">
                          <a:extLst>
                            <a:ext uri="{FF2B5EF4-FFF2-40B4-BE49-F238E27FC236}">
                              <a16:creationId xmlns:a16="http://schemas.microsoft.com/office/drawing/2014/main" id="{00000000-0008-0000-0000-000008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9" name="ZoneTexte 150">
                          <a:extLst>
                            <a:ext uri="{FF2B5EF4-FFF2-40B4-BE49-F238E27FC236}">
                              <a16:creationId xmlns:a16="http://schemas.microsoft.com/office/drawing/2014/main" id="{00000000-0008-0000-0000-000009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10" name="ZoneTexte 151">
                          <a:extLst>
                            <a:ext uri="{FF2B5EF4-FFF2-40B4-BE49-F238E27FC236}">
                              <a16:creationId xmlns:a16="http://schemas.microsoft.com/office/drawing/2014/main" id="{00000000-0008-0000-0000-00000A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6" name="ZoneTexte 152">
                        <a:extLst>
                          <a:ext uri="{FF2B5EF4-FFF2-40B4-BE49-F238E27FC236}">
                            <a16:creationId xmlns:a16="http://schemas.microsoft.com/office/drawing/2014/main" id="{00000000-0008-0000-0000-000006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 name="Étoile à 5 branches 158">
                      <a:extLst>
                        <a:ext uri="{FF2B5EF4-FFF2-40B4-BE49-F238E27FC236}">
                          <a16:creationId xmlns:a16="http://schemas.microsoft.com/office/drawing/2014/main" id="{00000000-0008-0000-0000-000004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60" name="Organigramme : Connecteur 59">
                    <a:extLst>
                      <a:ext uri="{FF2B5EF4-FFF2-40B4-BE49-F238E27FC236}">
                        <a16:creationId xmlns:a16="http://schemas.microsoft.com/office/drawing/2014/main" id="{00000000-0008-0000-0000-00003C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61" name="Organigramme : Connecteur 60">
                    <a:extLst>
                      <a:ext uri="{FF2B5EF4-FFF2-40B4-BE49-F238E27FC236}">
                        <a16:creationId xmlns:a16="http://schemas.microsoft.com/office/drawing/2014/main" id="{00000000-0008-0000-0000-00003D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62" name="Organigramme : Connecteur 61">
                    <a:extLst>
                      <a:ext uri="{FF2B5EF4-FFF2-40B4-BE49-F238E27FC236}">
                        <a16:creationId xmlns:a16="http://schemas.microsoft.com/office/drawing/2014/main" id="{00000000-0008-0000-0000-00003E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63" name="Organigramme : Connecteur 62">
                    <a:extLst>
                      <a:ext uri="{FF2B5EF4-FFF2-40B4-BE49-F238E27FC236}">
                        <a16:creationId xmlns:a16="http://schemas.microsoft.com/office/drawing/2014/main" id="{00000000-0008-0000-0000-00003F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64" name="Organigramme : Connecteur 63">
                    <a:extLst>
                      <a:ext uri="{FF2B5EF4-FFF2-40B4-BE49-F238E27FC236}">
                        <a16:creationId xmlns:a16="http://schemas.microsoft.com/office/drawing/2014/main" id="{00000000-0008-0000-0000-000040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65" name="Organigramme : Connecteur 64">
                    <a:extLst>
                      <a:ext uri="{FF2B5EF4-FFF2-40B4-BE49-F238E27FC236}">
                        <a16:creationId xmlns:a16="http://schemas.microsoft.com/office/drawing/2014/main" id="{00000000-0008-0000-0000-000041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66" name="Organigramme : Connecteur 65">
                    <a:extLst>
                      <a:ext uri="{FF2B5EF4-FFF2-40B4-BE49-F238E27FC236}">
                        <a16:creationId xmlns:a16="http://schemas.microsoft.com/office/drawing/2014/main" id="{00000000-0008-0000-0000-000042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67" name="Organigramme : Connecteur 66">
                    <a:extLst>
                      <a:ext uri="{FF2B5EF4-FFF2-40B4-BE49-F238E27FC236}">
                        <a16:creationId xmlns:a16="http://schemas.microsoft.com/office/drawing/2014/main" id="{00000000-0008-0000-0000-000043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68" name="Organigramme : Connecteur 67">
                    <a:extLst>
                      <a:ext uri="{FF2B5EF4-FFF2-40B4-BE49-F238E27FC236}">
                        <a16:creationId xmlns:a16="http://schemas.microsoft.com/office/drawing/2014/main" id="{00000000-0008-0000-0000-000044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69" name="Organigramme : Connecteur 68">
                    <a:extLst>
                      <a:ext uri="{FF2B5EF4-FFF2-40B4-BE49-F238E27FC236}">
                        <a16:creationId xmlns:a16="http://schemas.microsoft.com/office/drawing/2014/main" id="{00000000-0008-0000-0000-000045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70" name="Organigramme : Connecteur 69">
                    <a:extLst>
                      <a:ext uri="{FF2B5EF4-FFF2-40B4-BE49-F238E27FC236}">
                        <a16:creationId xmlns:a16="http://schemas.microsoft.com/office/drawing/2014/main" id="{00000000-0008-0000-0000-000046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73" name="Étoile à 5 branches 158">
                <a:extLst>
                  <a:ext uri="{FF2B5EF4-FFF2-40B4-BE49-F238E27FC236}">
                    <a16:creationId xmlns:a16="http://schemas.microsoft.com/office/drawing/2014/main" id="{00000000-0008-0000-0000-000049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74" name="Organigramme : Connecteur 73">
                <a:extLst>
                  <a:ext uri="{FF2B5EF4-FFF2-40B4-BE49-F238E27FC236}">
                    <a16:creationId xmlns:a16="http://schemas.microsoft.com/office/drawing/2014/main" id="{00000000-0008-0000-0000-00004A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76" name="Organigramme : Connecteur 75">
              <a:extLst>
                <a:ext uri="{FF2B5EF4-FFF2-40B4-BE49-F238E27FC236}">
                  <a16:creationId xmlns:a16="http://schemas.microsoft.com/office/drawing/2014/main" id="{00000000-0008-0000-0000-00004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8C820EA-E3CE-4A47-B721-000C09E9364E}" type="TxLink">
                <a:rPr lang="en-US" sz="1100" b="0" i="0" u="none" strike="noStrike">
                  <a:solidFill>
                    <a:srgbClr val="000000"/>
                  </a:solidFill>
                  <a:latin typeface="Calibri"/>
                  <a:cs typeface="Calibri"/>
                </a:rPr>
                <a:pPr algn="ctr"/>
                <a:t> </a:t>
              </a:fld>
              <a:endParaRPr lang="fr-FR" sz="1100"/>
            </a:p>
          </xdr:txBody>
        </xdr:sp>
        <xdr:sp macro="" textlink="$B$24">
          <xdr:nvSpPr>
            <xdr:cNvPr id="77" name="Organigramme : Connecteur 76">
              <a:extLst>
                <a:ext uri="{FF2B5EF4-FFF2-40B4-BE49-F238E27FC236}">
                  <a16:creationId xmlns:a16="http://schemas.microsoft.com/office/drawing/2014/main" id="{00000000-0008-0000-0000-00004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729A028-0094-45A4-BFF4-431DCD0FCF95}" type="TxLink">
                <a:rPr lang="en-US" sz="1100" b="0" i="0" u="none" strike="noStrike">
                  <a:solidFill>
                    <a:srgbClr val="000000"/>
                  </a:solidFill>
                  <a:latin typeface="Calibri"/>
                  <a:cs typeface="Calibri"/>
                </a:rPr>
                <a:pPr algn="ctr"/>
                <a:t> </a:t>
              </a:fld>
              <a:endParaRPr lang="fr-FR" sz="1100"/>
            </a:p>
          </xdr:txBody>
        </xdr:sp>
        <xdr:sp macro="" textlink="$B$25">
          <xdr:nvSpPr>
            <xdr:cNvPr id="78" name="Organigramme : Connecteur 77">
              <a:extLst>
                <a:ext uri="{FF2B5EF4-FFF2-40B4-BE49-F238E27FC236}">
                  <a16:creationId xmlns:a16="http://schemas.microsoft.com/office/drawing/2014/main" id="{00000000-0008-0000-0000-00004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E923EEA-5868-4120-BD1D-05316D0D04B1}" type="TxLink">
                <a:rPr lang="en-US" sz="1100" b="0" i="0" u="none" strike="noStrike">
                  <a:solidFill>
                    <a:srgbClr val="000000"/>
                  </a:solidFill>
                  <a:latin typeface="Calibri"/>
                  <a:cs typeface="Calibri"/>
                </a:rPr>
                <a:pPr algn="ctr"/>
                <a:t> </a:t>
              </a:fld>
              <a:endParaRPr lang="fr-FR" sz="1100"/>
            </a:p>
          </xdr:txBody>
        </xdr:sp>
        <xdr:sp macro="" textlink="$B$26">
          <xdr:nvSpPr>
            <xdr:cNvPr id="79" name="Organigramme : Connecteur 78">
              <a:extLst>
                <a:ext uri="{FF2B5EF4-FFF2-40B4-BE49-F238E27FC236}">
                  <a16:creationId xmlns:a16="http://schemas.microsoft.com/office/drawing/2014/main" id="{00000000-0008-0000-0000-00004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E3C0EE9-3C5A-447F-B5B0-4A71CE4DEA36}" type="TxLink">
                <a:rPr lang="en-US" sz="1100" b="0" i="0" u="none" strike="noStrike">
                  <a:solidFill>
                    <a:srgbClr val="000000"/>
                  </a:solidFill>
                  <a:latin typeface="Calibri"/>
                  <a:cs typeface="Calibri"/>
                </a:rPr>
                <a:pPr algn="ctr"/>
                <a:t> </a:t>
              </a:fld>
              <a:endParaRPr lang="fr-FR" sz="1100"/>
            </a:p>
          </xdr:txBody>
        </xdr:sp>
        <xdr:sp macro="" textlink="$B$27">
          <xdr:nvSpPr>
            <xdr:cNvPr id="80" name="Organigramme : Connecteur 79">
              <a:extLst>
                <a:ext uri="{FF2B5EF4-FFF2-40B4-BE49-F238E27FC236}">
                  <a16:creationId xmlns:a16="http://schemas.microsoft.com/office/drawing/2014/main" id="{00000000-0008-0000-0000-00005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217CDB8-BFB0-4CAB-8134-600D8C9083EF}" type="TxLink">
                <a:rPr lang="en-US" sz="1100" b="0" i="0" u="none" strike="noStrike">
                  <a:solidFill>
                    <a:srgbClr val="000000"/>
                  </a:solidFill>
                  <a:latin typeface="Calibri"/>
                  <a:cs typeface="Calibri"/>
                </a:rPr>
                <a:pPr algn="ctr"/>
                <a:t> </a:t>
              </a:fld>
              <a:endParaRPr lang="fr-FR" sz="1100"/>
            </a:p>
          </xdr:txBody>
        </xdr:sp>
        <xdr:sp macro="" textlink="$B$28">
          <xdr:nvSpPr>
            <xdr:cNvPr id="81" name="Organigramme : Connecteur 80">
              <a:extLst>
                <a:ext uri="{FF2B5EF4-FFF2-40B4-BE49-F238E27FC236}">
                  <a16:creationId xmlns:a16="http://schemas.microsoft.com/office/drawing/2014/main" id="{00000000-0008-0000-0000-00005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1DB9829-AE13-491F-930A-A357A663CC93}" type="TxLink">
                <a:rPr lang="en-US" sz="1100" b="0" i="0" u="none" strike="noStrike">
                  <a:solidFill>
                    <a:srgbClr val="000000"/>
                  </a:solidFill>
                  <a:latin typeface="Calibri"/>
                  <a:cs typeface="Calibri"/>
                </a:rPr>
                <a:pPr algn="ctr"/>
                <a:t> </a:t>
              </a:fld>
              <a:endParaRPr lang="fr-FR" sz="1100"/>
            </a:p>
          </xdr:txBody>
        </xdr:sp>
        <xdr:sp macro="" textlink="$B$29">
          <xdr:nvSpPr>
            <xdr:cNvPr id="82" name="Organigramme : Connecteur 81">
              <a:extLst>
                <a:ext uri="{FF2B5EF4-FFF2-40B4-BE49-F238E27FC236}">
                  <a16:creationId xmlns:a16="http://schemas.microsoft.com/office/drawing/2014/main" id="{00000000-0008-0000-0000-00005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EB83186-73E9-47BB-A786-6F9E10120800}" type="TxLink">
                <a:rPr lang="en-US" sz="1100" b="0" i="0" u="none" strike="noStrike">
                  <a:solidFill>
                    <a:srgbClr val="000000"/>
                  </a:solidFill>
                  <a:latin typeface="Calibri"/>
                  <a:cs typeface="Calibri"/>
                </a:rPr>
                <a:pPr algn="ctr"/>
                <a:t> </a:t>
              </a:fld>
              <a:endParaRPr lang="fr-FR" sz="1100"/>
            </a:p>
          </xdr:txBody>
        </xdr:sp>
        <xdr:sp macro="" textlink="$B$30">
          <xdr:nvSpPr>
            <xdr:cNvPr id="83" name="Organigramme : Connecteur 82">
              <a:extLst>
                <a:ext uri="{FF2B5EF4-FFF2-40B4-BE49-F238E27FC236}">
                  <a16:creationId xmlns:a16="http://schemas.microsoft.com/office/drawing/2014/main" id="{00000000-0008-0000-0000-00005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198F86-FD8F-4847-805C-425ED6258BF4}" type="TxLink">
                <a:rPr lang="en-US" sz="1100" b="0" i="0" u="none" strike="noStrike">
                  <a:solidFill>
                    <a:srgbClr val="000000"/>
                  </a:solidFill>
                  <a:latin typeface="Calibri"/>
                  <a:cs typeface="Calibri"/>
                </a:rPr>
                <a:pPr algn="ctr"/>
                <a:t> </a:t>
              </a:fld>
              <a:endParaRPr lang="fr-FR" sz="1100"/>
            </a:p>
          </xdr:txBody>
        </xdr:sp>
        <xdr:sp macro="" textlink="$B$31">
          <xdr:nvSpPr>
            <xdr:cNvPr id="84" name="Organigramme : Connecteur 83">
              <a:extLst>
                <a:ext uri="{FF2B5EF4-FFF2-40B4-BE49-F238E27FC236}">
                  <a16:creationId xmlns:a16="http://schemas.microsoft.com/office/drawing/2014/main" id="{00000000-0008-0000-0000-00005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0A5A6FA-85D0-464A-A75E-D22777AF539C}" type="TxLink">
                <a:rPr lang="en-US" sz="1100" b="0" i="0" u="none" strike="noStrike">
                  <a:solidFill>
                    <a:srgbClr val="000000"/>
                  </a:solidFill>
                  <a:latin typeface="Calibri"/>
                  <a:cs typeface="Calibri"/>
                </a:rPr>
                <a:pPr algn="ctr"/>
                <a:t> </a:t>
              </a:fld>
              <a:endParaRPr lang="fr-FR" sz="1100"/>
            </a:p>
          </xdr:txBody>
        </xdr:sp>
        <xdr:sp macro="" textlink="$B$32">
          <xdr:nvSpPr>
            <xdr:cNvPr id="85" name="Organigramme : Connecteur 84">
              <a:extLst>
                <a:ext uri="{FF2B5EF4-FFF2-40B4-BE49-F238E27FC236}">
                  <a16:creationId xmlns:a16="http://schemas.microsoft.com/office/drawing/2014/main" id="{00000000-0008-0000-0000-00005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1F9CB5E-40D6-463A-8AC9-DB950C15DF8C}" type="TxLink">
                <a:rPr lang="en-US" sz="1100" b="0" i="0" u="none" strike="noStrike">
                  <a:solidFill>
                    <a:srgbClr val="000000"/>
                  </a:solidFill>
                  <a:latin typeface="Calibri"/>
                  <a:cs typeface="Calibri"/>
                </a:rPr>
                <a:pPr algn="ctr"/>
                <a:t> </a:t>
              </a:fld>
              <a:endParaRPr lang="fr-FR" sz="1100"/>
            </a:p>
          </xdr:txBody>
        </xdr:sp>
        <xdr:sp macro="" textlink="$B$33">
          <xdr:nvSpPr>
            <xdr:cNvPr id="86" name="Organigramme : Connecteur 85">
              <a:extLst>
                <a:ext uri="{FF2B5EF4-FFF2-40B4-BE49-F238E27FC236}">
                  <a16:creationId xmlns:a16="http://schemas.microsoft.com/office/drawing/2014/main" id="{00000000-0008-0000-0000-00005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397ECB3-D812-4C00-9349-692297887205}" type="TxLink">
                <a:rPr lang="en-US" sz="1100" b="0" i="0" u="none" strike="noStrike">
                  <a:solidFill>
                    <a:srgbClr val="000000"/>
                  </a:solidFill>
                  <a:latin typeface="Calibri"/>
                  <a:cs typeface="Calibri"/>
                </a:rPr>
                <a:pPr algn="ctr"/>
                <a:t> </a:t>
              </a:fld>
              <a:endParaRPr lang="fr-FR" sz="1100"/>
            </a:p>
          </xdr:txBody>
        </xdr:sp>
        <xdr:sp macro="" textlink="$B$34">
          <xdr:nvSpPr>
            <xdr:cNvPr id="87" name="Organigramme : Connecteur 86">
              <a:extLst>
                <a:ext uri="{FF2B5EF4-FFF2-40B4-BE49-F238E27FC236}">
                  <a16:creationId xmlns:a16="http://schemas.microsoft.com/office/drawing/2014/main" id="{00000000-0008-0000-0000-000057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A45BC04-9FE4-496A-AED4-087C2F8D958A}" type="TxLink">
                <a:rPr lang="en-US" sz="1100" b="0" i="0" u="none" strike="noStrike">
                  <a:solidFill>
                    <a:srgbClr val="000000"/>
                  </a:solidFill>
                  <a:latin typeface="Calibri"/>
                  <a:cs typeface="Calibri"/>
                </a:rPr>
                <a:pPr algn="ctr"/>
                <a:t> </a:t>
              </a:fld>
              <a:endParaRPr lang="fr-FR" sz="1100"/>
            </a:p>
          </xdr:txBody>
        </xdr:sp>
        <xdr:sp macro="" textlink="$B$35">
          <xdr:nvSpPr>
            <xdr:cNvPr id="88" name="Organigramme : Connecteur 87">
              <a:extLst>
                <a:ext uri="{FF2B5EF4-FFF2-40B4-BE49-F238E27FC236}">
                  <a16:creationId xmlns:a16="http://schemas.microsoft.com/office/drawing/2014/main" id="{00000000-0008-0000-0000-000058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D9DA3BF-5798-44DC-A370-3D5627BA3F9E}" type="TxLink">
                <a:rPr lang="en-US" sz="1100" b="0" i="0" u="none" strike="noStrike">
                  <a:solidFill>
                    <a:srgbClr val="000000"/>
                  </a:solidFill>
                  <a:latin typeface="Calibri"/>
                  <a:cs typeface="Calibri"/>
                </a:rPr>
                <a:pPr algn="ctr"/>
                <a:t> </a:t>
              </a:fld>
              <a:endParaRPr lang="fr-FR" sz="1100"/>
            </a:p>
          </xdr:txBody>
        </xdr:sp>
      </xdr:grpSp>
      <xdr:sp macro="" textlink="$C$23">
        <xdr:nvSpPr>
          <xdr:cNvPr id="90" name="Organigramme : Connecteur 89">
            <a:extLst>
              <a:ext uri="{FF2B5EF4-FFF2-40B4-BE49-F238E27FC236}">
                <a16:creationId xmlns:a16="http://schemas.microsoft.com/office/drawing/2014/main" id="{00000000-0008-0000-0000-00005A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DB13FF-73D7-4A48-A5AB-97F5AE65C3E8}" type="TxLink">
              <a:rPr lang="en-US" sz="1100" b="0" i="0" u="none" strike="noStrike">
                <a:solidFill>
                  <a:srgbClr val="000000"/>
                </a:solidFill>
                <a:latin typeface="Calibri"/>
                <a:cs typeface="Calibri"/>
              </a:rPr>
              <a:pPr algn="ctr"/>
              <a:t> </a:t>
            </a:fld>
            <a:endParaRPr lang="fr-FR" sz="1100"/>
          </a:p>
        </xdr:txBody>
      </xdr:sp>
      <xdr:sp macro="" textlink="$C$24">
        <xdr:nvSpPr>
          <xdr:cNvPr id="91" name="Organigramme : Connecteur 90">
            <a:extLst>
              <a:ext uri="{FF2B5EF4-FFF2-40B4-BE49-F238E27FC236}">
                <a16:creationId xmlns:a16="http://schemas.microsoft.com/office/drawing/2014/main" id="{00000000-0008-0000-0000-00005B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D002511-3AE3-40B4-88E9-9AC353005BAE}" type="TxLink">
              <a:rPr lang="en-US" sz="1100" b="0" i="0" u="none" strike="noStrike">
                <a:solidFill>
                  <a:srgbClr val="000000"/>
                </a:solidFill>
                <a:latin typeface="Calibri"/>
                <a:cs typeface="Calibri"/>
              </a:rPr>
              <a:pPr algn="ctr"/>
              <a:t> </a:t>
            </a:fld>
            <a:endParaRPr lang="fr-FR" sz="1100"/>
          </a:p>
        </xdr:txBody>
      </xdr:sp>
      <xdr:sp macro="" textlink="$C$25">
        <xdr:nvSpPr>
          <xdr:cNvPr id="92" name="Organigramme : Connecteur 91">
            <a:extLst>
              <a:ext uri="{FF2B5EF4-FFF2-40B4-BE49-F238E27FC236}">
                <a16:creationId xmlns:a16="http://schemas.microsoft.com/office/drawing/2014/main" id="{00000000-0008-0000-0000-00005C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78CB482-23FF-4D31-8E3C-932288BFBFE2}" type="TxLink">
              <a:rPr lang="en-US" sz="1100" b="0" i="0" u="none" strike="noStrike">
                <a:solidFill>
                  <a:srgbClr val="000000"/>
                </a:solidFill>
                <a:latin typeface="Calibri"/>
                <a:cs typeface="Calibri"/>
              </a:rPr>
              <a:pPr algn="ctr"/>
              <a:t> </a:t>
            </a:fld>
            <a:endParaRPr lang="fr-FR" sz="1100"/>
          </a:p>
        </xdr:txBody>
      </xdr:sp>
      <xdr:sp macro="" textlink="$C$26">
        <xdr:nvSpPr>
          <xdr:cNvPr id="93" name="Organigramme : Connecteur 92">
            <a:extLst>
              <a:ext uri="{FF2B5EF4-FFF2-40B4-BE49-F238E27FC236}">
                <a16:creationId xmlns:a16="http://schemas.microsoft.com/office/drawing/2014/main" id="{00000000-0008-0000-0000-00005D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0D2988B-D08F-4219-8411-7F0858BA66E9}" type="TxLink">
              <a:rPr lang="en-US" sz="1100" b="0" i="0" u="none" strike="noStrike">
                <a:solidFill>
                  <a:srgbClr val="000000"/>
                </a:solidFill>
                <a:latin typeface="Calibri"/>
                <a:cs typeface="Calibri"/>
              </a:rPr>
              <a:pPr algn="ctr"/>
              <a:t> </a:t>
            </a:fld>
            <a:endParaRPr lang="fr-FR" sz="1100"/>
          </a:p>
        </xdr:txBody>
      </xdr:sp>
      <xdr:sp macro="" textlink="$C$27">
        <xdr:nvSpPr>
          <xdr:cNvPr id="94" name="Organigramme : Connecteur 93">
            <a:extLst>
              <a:ext uri="{FF2B5EF4-FFF2-40B4-BE49-F238E27FC236}">
                <a16:creationId xmlns:a16="http://schemas.microsoft.com/office/drawing/2014/main" id="{00000000-0008-0000-0000-00005E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348393E-5592-4FD7-A5FE-9BA1DD2C8640}" type="TxLink">
              <a:rPr lang="en-US" sz="1100" b="0" i="0" u="none" strike="noStrike">
                <a:solidFill>
                  <a:srgbClr val="000000"/>
                </a:solidFill>
                <a:latin typeface="Calibri"/>
                <a:cs typeface="Calibri"/>
              </a:rPr>
              <a:pPr algn="ctr"/>
              <a:t> </a:t>
            </a:fld>
            <a:endParaRPr lang="fr-FR" sz="1100"/>
          </a:p>
        </xdr:txBody>
      </xdr:sp>
      <xdr:sp macro="" textlink="$C$29">
        <xdr:nvSpPr>
          <xdr:cNvPr id="95" name="Organigramme : Connecteur 94">
            <a:extLst>
              <a:ext uri="{FF2B5EF4-FFF2-40B4-BE49-F238E27FC236}">
                <a16:creationId xmlns:a16="http://schemas.microsoft.com/office/drawing/2014/main" id="{00000000-0008-0000-0000-00005F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647D325-81FE-4241-B12C-64A9BB037A0B}" type="TxLink">
              <a:rPr lang="en-US" sz="1100" b="0" i="0" u="none" strike="noStrike">
                <a:solidFill>
                  <a:srgbClr val="000000"/>
                </a:solidFill>
                <a:latin typeface="Calibri"/>
                <a:cs typeface="Calibri"/>
              </a:rPr>
              <a:pPr algn="ctr"/>
              <a:t> </a:t>
            </a:fld>
            <a:endParaRPr lang="fr-FR" sz="1100"/>
          </a:p>
        </xdr:txBody>
      </xdr:sp>
      <xdr:sp macro="" textlink="$C$28">
        <xdr:nvSpPr>
          <xdr:cNvPr id="96" name="Organigramme : Connecteur 95">
            <a:extLst>
              <a:ext uri="{FF2B5EF4-FFF2-40B4-BE49-F238E27FC236}">
                <a16:creationId xmlns:a16="http://schemas.microsoft.com/office/drawing/2014/main" id="{00000000-0008-0000-0000-000060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F42238-A83D-40D1-8EEF-DB472B3A0E5F}" type="TxLink">
              <a:rPr lang="en-US" sz="1100" b="0" i="0" u="none" strike="noStrike">
                <a:solidFill>
                  <a:srgbClr val="000000"/>
                </a:solidFill>
                <a:latin typeface="Calibri"/>
                <a:cs typeface="Calibri"/>
              </a:rPr>
              <a:pPr algn="ctr"/>
              <a:t> </a:t>
            </a:fld>
            <a:endParaRPr lang="fr-FR" sz="1100"/>
          </a:p>
        </xdr:txBody>
      </xdr:sp>
      <xdr:sp macro="" textlink="$C$31">
        <xdr:nvSpPr>
          <xdr:cNvPr id="97" name="Organigramme : Connecteur 96">
            <a:extLst>
              <a:ext uri="{FF2B5EF4-FFF2-40B4-BE49-F238E27FC236}">
                <a16:creationId xmlns:a16="http://schemas.microsoft.com/office/drawing/2014/main" id="{00000000-0008-0000-0000-000061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B5C8821-D2F1-4D56-9D71-3EBAD736A89A}" type="TxLink">
              <a:rPr lang="en-US" sz="1100" b="0" i="0" u="none" strike="noStrike">
                <a:solidFill>
                  <a:srgbClr val="000000"/>
                </a:solidFill>
                <a:latin typeface="Calibri"/>
                <a:cs typeface="Calibri"/>
              </a:rPr>
              <a:pPr algn="ctr"/>
              <a:t> </a:t>
            </a:fld>
            <a:endParaRPr lang="fr-FR" sz="1100"/>
          </a:p>
        </xdr:txBody>
      </xdr:sp>
      <xdr:sp macro="" textlink="$C$30">
        <xdr:nvSpPr>
          <xdr:cNvPr id="98" name="Organigramme : Connecteur 97">
            <a:extLst>
              <a:ext uri="{FF2B5EF4-FFF2-40B4-BE49-F238E27FC236}">
                <a16:creationId xmlns:a16="http://schemas.microsoft.com/office/drawing/2014/main" id="{00000000-0008-0000-0000-000062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7387DF8-D76F-48F0-B3F7-1BC353AA5052}" type="TxLink">
              <a:rPr lang="en-US" sz="1100" b="0" i="0" u="none" strike="noStrike">
                <a:solidFill>
                  <a:srgbClr val="000000"/>
                </a:solidFill>
                <a:latin typeface="Calibri"/>
                <a:cs typeface="Calibri"/>
              </a:rPr>
              <a:pPr algn="ctr"/>
              <a:t> </a:t>
            </a:fld>
            <a:endParaRPr lang="fr-FR" sz="1100"/>
          </a:p>
        </xdr:txBody>
      </xdr:sp>
      <xdr:sp macro="" textlink="$C$32">
        <xdr:nvSpPr>
          <xdr:cNvPr id="99" name="Organigramme : Connecteur 98">
            <a:extLst>
              <a:ext uri="{FF2B5EF4-FFF2-40B4-BE49-F238E27FC236}">
                <a16:creationId xmlns:a16="http://schemas.microsoft.com/office/drawing/2014/main" id="{00000000-0008-0000-0000-000063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81362DD-2DB7-43B1-9CF4-15336E61E288}" type="TxLink">
              <a:rPr lang="en-US" sz="1100" b="0" i="0" u="none" strike="noStrike">
                <a:solidFill>
                  <a:srgbClr val="000000"/>
                </a:solidFill>
                <a:latin typeface="Calibri"/>
                <a:cs typeface="Calibri"/>
              </a:rPr>
              <a:pPr algn="ctr"/>
              <a:t> </a:t>
            </a:fld>
            <a:endParaRPr lang="fr-FR" sz="1100"/>
          </a:p>
        </xdr:txBody>
      </xdr:sp>
      <xdr:sp macro="" textlink="$C$33">
        <xdr:nvSpPr>
          <xdr:cNvPr id="100" name="Organigramme : Connecteur 99">
            <a:extLst>
              <a:ext uri="{FF2B5EF4-FFF2-40B4-BE49-F238E27FC236}">
                <a16:creationId xmlns:a16="http://schemas.microsoft.com/office/drawing/2014/main" id="{00000000-0008-0000-0000-000064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BDF59D-A87A-4F6B-A661-BF1A3EC46C22}" type="TxLink">
              <a:rPr lang="en-US" sz="1100" b="0" i="0" u="none" strike="noStrike">
                <a:solidFill>
                  <a:srgbClr val="000000"/>
                </a:solidFill>
                <a:latin typeface="Calibri"/>
                <a:cs typeface="Calibri"/>
              </a:rPr>
              <a:pPr algn="ctr"/>
              <a:t> </a:t>
            </a:fld>
            <a:endParaRPr lang="fr-FR" sz="1100"/>
          </a:p>
        </xdr:txBody>
      </xdr:sp>
      <xdr:sp macro="" textlink="$C$34">
        <xdr:nvSpPr>
          <xdr:cNvPr id="101" name="Organigramme : Connecteur 100">
            <a:extLst>
              <a:ext uri="{FF2B5EF4-FFF2-40B4-BE49-F238E27FC236}">
                <a16:creationId xmlns:a16="http://schemas.microsoft.com/office/drawing/2014/main" id="{00000000-0008-0000-0000-000065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21D1696-35B6-4EB9-B390-1A7D701242CC}" type="TxLink">
              <a:rPr lang="en-US" sz="1100" b="0" i="0" u="none" strike="noStrike">
                <a:solidFill>
                  <a:srgbClr val="000000"/>
                </a:solidFill>
                <a:latin typeface="Calibri"/>
                <a:cs typeface="Calibri"/>
              </a:rPr>
              <a:pPr algn="ctr"/>
              <a:t> </a:t>
            </a:fld>
            <a:endParaRPr lang="fr-FR" sz="1100"/>
          </a:p>
        </xdr:txBody>
      </xdr:sp>
      <xdr:sp macro="" textlink="$C$35">
        <xdr:nvSpPr>
          <xdr:cNvPr id="102" name="Organigramme : Connecteur 101">
            <a:extLst>
              <a:ext uri="{FF2B5EF4-FFF2-40B4-BE49-F238E27FC236}">
                <a16:creationId xmlns:a16="http://schemas.microsoft.com/office/drawing/2014/main" id="{00000000-0008-0000-0000-000066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01F6DF7-C3D4-4E55-B9A0-64DB103836C5}"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8</xdr:col>
          <xdr:colOff>142875</xdr:colOff>
          <xdr:row>3</xdr:row>
          <xdr:rowOff>247650</xdr:rowOff>
        </xdr:from>
        <xdr:to>
          <xdr:col>9</xdr:col>
          <xdr:colOff>1609725</xdr:colOff>
          <xdr:row>7</xdr:row>
          <xdr:rowOff>104775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51</xdr:row>
      <xdr:rowOff>222249</xdr:rowOff>
    </xdr:to>
    <xdr:pic>
      <xdr:nvPicPr>
        <xdr:cNvPr id="3" name="Imag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9667874"/>
          <a:ext cx="3270250" cy="1254125"/>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462500"/>
          <a:ext cx="3302000" cy="1238250"/>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900-000005000000}"/>
            </a:ext>
          </a:extLst>
        </xdr:cNvPr>
        <xdr:cNvSpPr txBox="1">
          <a:spLocks/>
        </xdr:cNvSpPr>
      </xdr:nvSpPr>
      <xdr:spPr>
        <a:xfrm>
          <a:off x="1095375" y="29575125"/>
          <a:ext cx="12493625"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20059" cy="7893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814000"/>
          <a:ext cx="3270250" cy="1016000"/>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2211625"/>
          <a:ext cx="3238500" cy="1063625"/>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8117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1" name="Image 10" descr="fregat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596187"/>
          <a:ext cx="3254375" cy="1093313"/>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2" name="Image 11" descr="fregat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182374"/>
          <a:ext cx="3222625" cy="1095375"/>
        </a:xfrm>
        <a:prstGeom prst="rect">
          <a:avLst/>
        </a:prstGeom>
        <a:noFill/>
        <a:ln>
          <a:noFill/>
        </a:ln>
      </xdr:spPr>
    </xdr:pic>
    <xdr:clientData/>
  </xdr:twoCellAnchor>
  <xdr:twoCellAnchor>
    <xdr:from>
      <xdr:col>5</xdr:col>
      <xdr:colOff>1905000</xdr:colOff>
      <xdr:row>162</xdr:row>
      <xdr:rowOff>254001</xdr:rowOff>
    </xdr:from>
    <xdr:to>
      <xdr:col>14</xdr:col>
      <xdr:colOff>247650</xdr:colOff>
      <xdr:row>189</xdr:row>
      <xdr:rowOff>111126</xdr:rowOff>
    </xdr:to>
    <xdr:grpSp>
      <xdr:nvGrpSpPr>
        <xdr:cNvPr id="45" name="Groupe 44">
          <a:extLst>
            <a:ext uri="{FF2B5EF4-FFF2-40B4-BE49-F238E27FC236}">
              <a16:creationId xmlns:a16="http://schemas.microsoft.com/office/drawing/2014/main" id="{00000000-0008-0000-0900-00002D000000}"/>
            </a:ext>
          </a:extLst>
        </xdr:cNvPr>
        <xdr:cNvGrpSpPr/>
      </xdr:nvGrpSpPr>
      <xdr:grpSpPr>
        <a:xfrm>
          <a:off x="14827250" y="36449001"/>
          <a:ext cx="9423400" cy="5302250"/>
          <a:chOff x="11934267" y="3104028"/>
          <a:chExt cx="8562950" cy="5492987"/>
        </a:xfrm>
      </xdr:grpSpPr>
      <xdr:grpSp>
        <xdr:nvGrpSpPr>
          <xdr:cNvPr id="46" name="Groupe 45">
            <a:extLst>
              <a:ext uri="{FF2B5EF4-FFF2-40B4-BE49-F238E27FC236}">
                <a16:creationId xmlns:a16="http://schemas.microsoft.com/office/drawing/2014/main" id="{00000000-0008-0000-0900-00002E000000}"/>
              </a:ext>
            </a:extLst>
          </xdr:cNvPr>
          <xdr:cNvGrpSpPr/>
        </xdr:nvGrpSpPr>
        <xdr:grpSpPr>
          <a:xfrm>
            <a:off x="11934267" y="3104028"/>
            <a:ext cx="8562950" cy="5492987"/>
            <a:chOff x="11889443" y="3126440"/>
            <a:chExt cx="8562950" cy="5492987"/>
          </a:xfrm>
        </xdr:grpSpPr>
        <xdr:grpSp>
          <xdr:nvGrpSpPr>
            <xdr:cNvPr id="60" name="Groupe 59">
              <a:extLst>
                <a:ext uri="{FF2B5EF4-FFF2-40B4-BE49-F238E27FC236}">
                  <a16:creationId xmlns:a16="http://schemas.microsoft.com/office/drawing/2014/main" id="{00000000-0008-0000-0900-00003C000000}"/>
                </a:ext>
              </a:extLst>
            </xdr:cNvPr>
            <xdr:cNvGrpSpPr/>
          </xdr:nvGrpSpPr>
          <xdr:grpSpPr>
            <a:xfrm>
              <a:off x="11889443" y="3126440"/>
              <a:ext cx="8562950" cy="5492987"/>
              <a:chOff x="11889443" y="3126440"/>
              <a:chExt cx="8562950" cy="5492987"/>
            </a:xfrm>
          </xdr:grpSpPr>
          <xdr:grpSp>
            <xdr:nvGrpSpPr>
              <xdr:cNvPr id="74" name="Groupe 73">
                <a:extLst>
                  <a:ext uri="{FF2B5EF4-FFF2-40B4-BE49-F238E27FC236}">
                    <a16:creationId xmlns:a16="http://schemas.microsoft.com/office/drawing/2014/main" id="{00000000-0008-0000-0900-00004A000000}"/>
                  </a:ext>
                </a:extLst>
              </xdr:cNvPr>
              <xdr:cNvGrpSpPr/>
            </xdr:nvGrpSpPr>
            <xdr:grpSpPr>
              <a:xfrm>
                <a:off x="11889443" y="3126440"/>
                <a:ext cx="8562950" cy="5492987"/>
                <a:chOff x="11889443" y="3126440"/>
                <a:chExt cx="8562950" cy="5492987"/>
              </a:xfrm>
            </xdr:grpSpPr>
            <xdr:sp macro="" textlink="$A$168">
              <xdr:nvSpPr>
                <xdr:cNvPr id="77" name="Organigramme : Connecteur 76">
                  <a:extLst>
                    <a:ext uri="{FF2B5EF4-FFF2-40B4-BE49-F238E27FC236}">
                      <a16:creationId xmlns:a16="http://schemas.microsoft.com/office/drawing/2014/main" id="{00000000-0008-0000-0900-00004D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B2063E-50BF-416C-A019-9F5D56BD229F}" type="TxLink">
                    <a:rPr lang="en-US" sz="1100" b="0" i="0" u="none" strike="noStrike">
                      <a:solidFill>
                        <a:srgbClr val="000000"/>
                      </a:solidFill>
                      <a:latin typeface="Calibri"/>
                      <a:cs typeface="Calibri"/>
                    </a:rPr>
                    <a:pPr algn="ctr"/>
                    <a:t>1</a:t>
                  </a:fld>
                  <a:endParaRPr lang="fr-FR" sz="1100"/>
                </a:p>
              </xdr:txBody>
            </xdr:sp>
            <xdr:grpSp>
              <xdr:nvGrpSpPr>
                <xdr:cNvPr id="78" name="Groupe 77">
                  <a:extLst>
                    <a:ext uri="{FF2B5EF4-FFF2-40B4-BE49-F238E27FC236}">
                      <a16:creationId xmlns:a16="http://schemas.microsoft.com/office/drawing/2014/main" id="{00000000-0008-0000-0900-00004E000000}"/>
                    </a:ext>
                  </a:extLst>
                </xdr:cNvPr>
                <xdr:cNvGrpSpPr/>
              </xdr:nvGrpSpPr>
              <xdr:grpSpPr>
                <a:xfrm>
                  <a:off x="11889443" y="3126440"/>
                  <a:ext cx="8562950" cy="5492987"/>
                  <a:chOff x="11889443" y="3126440"/>
                  <a:chExt cx="8562950" cy="5492987"/>
                </a:xfrm>
              </xdr:grpSpPr>
              <xdr:grpSp>
                <xdr:nvGrpSpPr>
                  <xdr:cNvPr id="79" name="Groupe 78">
                    <a:extLst>
                      <a:ext uri="{FF2B5EF4-FFF2-40B4-BE49-F238E27FC236}">
                        <a16:creationId xmlns:a16="http://schemas.microsoft.com/office/drawing/2014/main" id="{00000000-0008-0000-0900-00004F000000}"/>
                      </a:ext>
                    </a:extLst>
                  </xdr:cNvPr>
                  <xdr:cNvGrpSpPr/>
                </xdr:nvGrpSpPr>
                <xdr:grpSpPr>
                  <a:xfrm>
                    <a:off x="11889443" y="3126440"/>
                    <a:ext cx="8562950" cy="5492987"/>
                    <a:chOff x="3803125" y="991161"/>
                    <a:chExt cx="8562950" cy="5492987"/>
                  </a:xfrm>
                </xdr:grpSpPr>
                <xdr:grpSp>
                  <xdr:nvGrpSpPr>
                    <xdr:cNvPr id="91" name="Groupe 90">
                      <a:extLst>
                        <a:ext uri="{FF2B5EF4-FFF2-40B4-BE49-F238E27FC236}">
                          <a16:creationId xmlns:a16="http://schemas.microsoft.com/office/drawing/2014/main" id="{00000000-0008-0000-0900-00005B000000}"/>
                        </a:ext>
                      </a:extLst>
                    </xdr:cNvPr>
                    <xdr:cNvGrpSpPr/>
                  </xdr:nvGrpSpPr>
                  <xdr:grpSpPr>
                    <a:xfrm>
                      <a:off x="3803125" y="991161"/>
                      <a:ext cx="8562950" cy="5492987"/>
                      <a:chOff x="3803125" y="991161"/>
                      <a:chExt cx="8562950" cy="5492987"/>
                    </a:xfrm>
                  </xdr:grpSpPr>
                  <xdr:grpSp>
                    <xdr:nvGrpSpPr>
                      <xdr:cNvPr id="93" name="Groupe 92">
                        <a:extLst>
                          <a:ext uri="{FF2B5EF4-FFF2-40B4-BE49-F238E27FC236}">
                            <a16:creationId xmlns:a16="http://schemas.microsoft.com/office/drawing/2014/main" id="{00000000-0008-0000-0900-00005D000000}"/>
                          </a:ext>
                        </a:extLst>
                      </xdr:cNvPr>
                      <xdr:cNvGrpSpPr/>
                    </xdr:nvGrpSpPr>
                    <xdr:grpSpPr>
                      <a:xfrm>
                        <a:off x="3803125" y="991161"/>
                        <a:ext cx="8562950" cy="5492987"/>
                        <a:chOff x="3803125" y="991161"/>
                        <a:chExt cx="8562950" cy="5492987"/>
                      </a:xfrm>
                    </xdr:grpSpPr>
                    <xdr:grpSp>
                      <xdr:nvGrpSpPr>
                        <xdr:cNvPr id="95" name="Groupe 94">
                          <a:extLst>
                            <a:ext uri="{FF2B5EF4-FFF2-40B4-BE49-F238E27FC236}">
                              <a16:creationId xmlns:a16="http://schemas.microsoft.com/office/drawing/2014/main" id="{00000000-0008-0000-0900-00005F000000}"/>
                            </a:ext>
                          </a:extLst>
                        </xdr:cNvPr>
                        <xdr:cNvGrpSpPr/>
                      </xdr:nvGrpSpPr>
                      <xdr:grpSpPr>
                        <a:xfrm>
                          <a:off x="3803125" y="991161"/>
                          <a:ext cx="8562950" cy="5427822"/>
                          <a:chOff x="3808707" y="1009604"/>
                          <a:chExt cx="8515205" cy="5409743"/>
                        </a:xfrm>
                      </xdr:grpSpPr>
                      <xdr:sp macro="" textlink="">
                        <xdr:nvSpPr>
                          <xdr:cNvPr id="99" name="ZoneTexte 100">
                            <a:extLst>
                              <a:ext uri="{FF2B5EF4-FFF2-40B4-BE49-F238E27FC236}">
                                <a16:creationId xmlns:a16="http://schemas.microsoft.com/office/drawing/2014/main" id="{00000000-0008-0000-0900-000063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100" name="Groupe 99">
                            <a:extLst>
                              <a:ext uri="{FF2B5EF4-FFF2-40B4-BE49-F238E27FC236}">
                                <a16:creationId xmlns:a16="http://schemas.microsoft.com/office/drawing/2014/main" id="{00000000-0008-0000-0900-000064000000}"/>
                              </a:ext>
                            </a:extLst>
                          </xdr:cNvPr>
                          <xdr:cNvGrpSpPr/>
                        </xdr:nvGrpSpPr>
                        <xdr:grpSpPr>
                          <a:xfrm>
                            <a:off x="3808707" y="1009604"/>
                            <a:ext cx="8147475" cy="5409743"/>
                            <a:chOff x="3725512" y="966495"/>
                            <a:chExt cx="8147475" cy="5409743"/>
                          </a:xfrm>
                        </xdr:grpSpPr>
                        <xdr:grpSp>
                          <xdr:nvGrpSpPr>
                            <xdr:cNvPr id="101" name="Groupe 100">
                              <a:extLst>
                                <a:ext uri="{FF2B5EF4-FFF2-40B4-BE49-F238E27FC236}">
                                  <a16:creationId xmlns:a16="http://schemas.microsoft.com/office/drawing/2014/main" id="{00000000-0008-0000-0900-000065000000}"/>
                                </a:ext>
                              </a:extLst>
                            </xdr:cNvPr>
                            <xdr:cNvGrpSpPr/>
                          </xdr:nvGrpSpPr>
                          <xdr:grpSpPr>
                            <a:xfrm>
                              <a:off x="4933713" y="1131498"/>
                              <a:ext cx="6410485" cy="4278824"/>
                              <a:chOff x="1814285" y="989862"/>
                              <a:chExt cx="6410485" cy="4278824"/>
                            </a:xfrm>
                          </xdr:grpSpPr>
                          <xdr:sp macro="" textlink="">
                            <xdr:nvSpPr>
                              <xdr:cNvPr id="129" name="Rectangle 128">
                                <a:extLst>
                                  <a:ext uri="{FF2B5EF4-FFF2-40B4-BE49-F238E27FC236}">
                                    <a16:creationId xmlns:a16="http://schemas.microsoft.com/office/drawing/2014/main" id="{00000000-0008-0000-0900-000081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30" name="Rectangle 129">
                                <a:extLst>
                                  <a:ext uri="{FF2B5EF4-FFF2-40B4-BE49-F238E27FC236}">
                                    <a16:creationId xmlns:a16="http://schemas.microsoft.com/office/drawing/2014/main" id="{00000000-0008-0000-0900-000082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31" name="Rectangle 130">
                                <a:extLst>
                                  <a:ext uri="{FF2B5EF4-FFF2-40B4-BE49-F238E27FC236}">
                                    <a16:creationId xmlns:a16="http://schemas.microsoft.com/office/drawing/2014/main" id="{00000000-0008-0000-0900-000083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132" name="Connecteur droit 131">
                                <a:extLst>
                                  <a:ext uri="{FF2B5EF4-FFF2-40B4-BE49-F238E27FC236}">
                                    <a16:creationId xmlns:a16="http://schemas.microsoft.com/office/drawing/2014/main" id="{00000000-0008-0000-0900-000084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133" name="Connecteur droit 132">
                                <a:extLst>
                                  <a:ext uri="{FF2B5EF4-FFF2-40B4-BE49-F238E27FC236}">
                                    <a16:creationId xmlns:a16="http://schemas.microsoft.com/office/drawing/2014/main" id="{00000000-0008-0000-0900-000085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134" name="Connecteur droit 133">
                                <a:extLst>
                                  <a:ext uri="{FF2B5EF4-FFF2-40B4-BE49-F238E27FC236}">
                                    <a16:creationId xmlns:a16="http://schemas.microsoft.com/office/drawing/2014/main" id="{00000000-0008-0000-0900-000086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135" name="Connecteur droit 134">
                                <a:extLst>
                                  <a:ext uri="{FF2B5EF4-FFF2-40B4-BE49-F238E27FC236}">
                                    <a16:creationId xmlns:a16="http://schemas.microsoft.com/office/drawing/2014/main" id="{00000000-0008-0000-0900-000087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102" name="Ellipse 101">
                              <a:extLst>
                                <a:ext uri="{FF2B5EF4-FFF2-40B4-BE49-F238E27FC236}">
                                  <a16:creationId xmlns:a16="http://schemas.microsoft.com/office/drawing/2014/main" id="{00000000-0008-0000-0900-000066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3" name="Ellipse 102">
                              <a:extLst>
                                <a:ext uri="{FF2B5EF4-FFF2-40B4-BE49-F238E27FC236}">
                                  <a16:creationId xmlns:a16="http://schemas.microsoft.com/office/drawing/2014/main" id="{00000000-0008-0000-0900-000067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4" name="Ellipse 103">
                              <a:extLst>
                                <a:ext uri="{FF2B5EF4-FFF2-40B4-BE49-F238E27FC236}">
                                  <a16:creationId xmlns:a16="http://schemas.microsoft.com/office/drawing/2014/main" id="{00000000-0008-0000-0900-000068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5" name="Ellipse 104">
                              <a:extLst>
                                <a:ext uri="{FF2B5EF4-FFF2-40B4-BE49-F238E27FC236}">
                                  <a16:creationId xmlns:a16="http://schemas.microsoft.com/office/drawing/2014/main" id="{00000000-0008-0000-0900-000069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6" name="Ellipse 105">
                              <a:extLst>
                                <a:ext uri="{FF2B5EF4-FFF2-40B4-BE49-F238E27FC236}">
                                  <a16:creationId xmlns:a16="http://schemas.microsoft.com/office/drawing/2014/main" id="{00000000-0008-0000-0900-00006A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7" name="Ellipse 106">
                              <a:extLst>
                                <a:ext uri="{FF2B5EF4-FFF2-40B4-BE49-F238E27FC236}">
                                  <a16:creationId xmlns:a16="http://schemas.microsoft.com/office/drawing/2014/main" id="{00000000-0008-0000-0900-00006B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8" name="Ellipse 107">
                              <a:extLst>
                                <a:ext uri="{FF2B5EF4-FFF2-40B4-BE49-F238E27FC236}">
                                  <a16:creationId xmlns:a16="http://schemas.microsoft.com/office/drawing/2014/main" id="{00000000-0008-0000-0900-00006C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09" name="Ellipse 108">
                              <a:extLst>
                                <a:ext uri="{FF2B5EF4-FFF2-40B4-BE49-F238E27FC236}">
                                  <a16:creationId xmlns:a16="http://schemas.microsoft.com/office/drawing/2014/main" id="{00000000-0008-0000-0900-00006D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10" name="ZoneTexte 122">
                              <a:extLst>
                                <a:ext uri="{FF2B5EF4-FFF2-40B4-BE49-F238E27FC236}">
                                  <a16:creationId xmlns:a16="http://schemas.microsoft.com/office/drawing/2014/main" id="{00000000-0008-0000-0900-00006E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111" name="ZoneTexte 123">
                              <a:extLst>
                                <a:ext uri="{FF2B5EF4-FFF2-40B4-BE49-F238E27FC236}">
                                  <a16:creationId xmlns:a16="http://schemas.microsoft.com/office/drawing/2014/main" id="{00000000-0008-0000-0900-00006F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112" name="ZoneTexte 124">
                              <a:extLst>
                                <a:ext uri="{FF2B5EF4-FFF2-40B4-BE49-F238E27FC236}">
                                  <a16:creationId xmlns:a16="http://schemas.microsoft.com/office/drawing/2014/main" id="{00000000-0008-0000-0900-000070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113" name="ZoneTexte 125">
                              <a:extLst>
                                <a:ext uri="{FF2B5EF4-FFF2-40B4-BE49-F238E27FC236}">
                                  <a16:creationId xmlns:a16="http://schemas.microsoft.com/office/drawing/2014/main" id="{00000000-0008-0000-0900-000071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114" name="ZoneTexte 126">
                              <a:extLst>
                                <a:ext uri="{FF2B5EF4-FFF2-40B4-BE49-F238E27FC236}">
                                  <a16:creationId xmlns:a16="http://schemas.microsoft.com/office/drawing/2014/main" id="{00000000-0008-0000-0900-000072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115" name="Connecteur droit 114">
                              <a:extLst>
                                <a:ext uri="{FF2B5EF4-FFF2-40B4-BE49-F238E27FC236}">
                                  <a16:creationId xmlns:a16="http://schemas.microsoft.com/office/drawing/2014/main" id="{00000000-0008-0000-0900-000073000000}"/>
                                </a:ext>
                              </a:extLst>
                            </xdr:cNvPr>
                            <xdr:cNvCxnSpPr>
                              <a:cxnSpLocks/>
                              <a:stCxn id="129"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116" name="ZoneTexte 128">
                              <a:extLst>
                                <a:ext uri="{FF2B5EF4-FFF2-40B4-BE49-F238E27FC236}">
                                  <a16:creationId xmlns:a16="http://schemas.microsoft.com/office/drawing/2014/main" id="{00000000-0008-0000-0900-000074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117" name="ZoneTexte 129">
                              <a:extLst>
                                <a:ext uri="{FF2B5EF4-FFF2-40B4-BE49-F238E27FC236}">
                                  <a16:creationId xmlns:a16="http://schemas.microsoft.com/office/drawing/2014/main" id="{00000000-0008-0000-0900-000075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118" name="Connecteur droit 117">
                              <a:extLst>
                                <a:ext uri="{FF2B5EF4-FFF2-40B4-BE49-F238E27FC236}">
                                  <a16:creationId xmlns:a16="http://schemas.microsoft.com/office/drawing/2014/main" id="{00000000-0008-0000-0900-000076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119" name="Ellipse 118">
                              <a:extLst>
                                <a:ext uri="{FF2B5EF4-FFF2-40B4-BE49-F238E27FC236}">
                                  <a16:creationId xmlns:a16="http://schemas.microsoft.com/office/drawing/2014/main" id="{00000000-0008-0000-0900-000077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120" name="Groupe 119">
                              <a:extLst>
                                <a:ext uri="{FF2B5EF4-FFF2-40B4-BE49-F238E27FC236}">
                                  <a16:creationId xmlns:a16="http://schemas.microsoft.com/office/drawing/2014/main" id="{00000000-0008-0000-0900-000078000000}"/>
                                </a:ext>
                              </a:extLst>
                            </xdr:cNvPr>
                            <xdr:cNvGrpSpPr/>
                          </xdr:nvGrpSpPr>
                          <xdr:grpSpPr>
                            <a:xfrm>
                              <a:off x="9023280" y="1584899"/>
                              <a:ext cx="165827" cy="126059"/>
                              <a:chOff x="3146989" y="1579602"/>
                              <a:chExt cx="165827" cy="126059"/>
                            </a:xfrm>
                          </xdr:grpSpPr>
                          <xdr:sp macro="" textlink="">
                            <xdr:nvSpPr>
                              <xdr:cNvPr id="127" name="Ellipse 126">
                                <a:extLst>
                                  <a:ext uri="{FF2B5EF4-FFF2-40B4-BE49-F238E27FC236}">
                                    <a16:creationId xmlns:a16="http://schemas.microsoft.com/office/drawing/2014/main" id="{00000000-0008-0000-0900-00007F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8" name="Ellipse 127">
                                <a:extLst>
                                  <a:ext uri="{FF2B5EF4-FFF2-40B4-BE49-F238E27FC236}">
                                    <a16:creationId xmlns:a16="http://schemas.microsoft.com/office/drawing/2014/main" id="{00000000-0008-0000-0900-000080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121" name="Ellipse 120">
                              <a:extLst>
                                <a:ext uri="{FF2B5EF4-FFF2-40B4-BE49-F238E27FC236}">
                                  <a16:creationId xmlns:a16="http://schemas.microsoft.com/office/drawing/2014/main" id="{00000000-0008-0000-0900-000079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2" name="Ellipse 121">
                              <a:extLst>
                                <a:ext uri="{FF2B5EF4-FFF2-40B4-BE49-F238E27FC236}">
                                  <a16:creationId xmlns:a16="http://schemas.microsoft.com/office/drawing/2014/main" id="{00000000-0008-0000-0900-00007A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3" name="Ellipse 122">
                              <a:extLst>
                                <a:ext uri="{FF2B5EF4-FFF2-40B4-BE49-F238E27FC236}">
                                  <a16:creationId xmlns:a16="http://schemas.microsoft.com/office/drawing/2014/main" id="{00000000-0008-0000-0900-00007B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4" name="Ellipse 123">
                              <a:extLst>
                                <a:ext uri="{FF2B5EF4-FFF2-40B4-BE49-F238E27FC236}">
                                  <a16:creationId xmlns:a16="http://schemas.microsoft.com/office/drawing/2014/main" id="{00000000-0008-0000-0900-00007C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25" name="ZoneTexte 138">
                              <a:extLst>
                                <a:ext uri="{FF2B5EF4-FFF2-40B4-BE49-F238E27FC236}">
                                  <a16:creationId xmlns:a16="http://schemas.microsoft.com/office/drawing/2014/main" id="{00000000-0008-0000-0900-00007D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126" name="Connecteur droit 125">
                              <a:extLst>
                                <a:ext uri="{FF2B5EF4-FFF2-40B4-BE49-F238E27FC236}">
                                  <a16:creationId xmlns:a16="http://schemas.microsoft.com/office/drawing/2014/main" id="{00000000-0008-0000-0900-00007E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96" name="ZoneTexte 149">
                          <a:extLst>
                            <a:ext uri="{FF2B5EF4-FFF2-40B4-BE49-F238E27FC236}">
                              <a16:creationId xmlns:a16="http://schemas.microsoft.com/office/drawing/2014/main" id="{00000000-0008-0000-0900-000060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97" name="ZoneTexte 150">
                          <a:extLst>
                            <a:ext uri="{FF2B5EF4-FFF2-40B4-BE49-F238E27FC236}">
                              <a16:creationId xmlns:a16="http://schemas.microsoft.com/office/drawing/2014/main" id="{00000000-0008-0000-0900-000061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98" name="ZoneTexte 151">
                          <a:extLst>
                            <a:ext uri="{FF2B5EF4-FFF2-40B4-BE49-F238E27FC236}">
                              <a16:creationId xmlns:a16="http://schemas.microsoft.com/office/drawing/2014/main" id="{00000000-0008-0000-0900-000062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94" name="ZoneTexte 152">
                        <a:extLst>
                          <a:ext uri="{FF2B5EF4-FFF2-40B4-BE49-F238E27FC236}">
                            <a16:creationId xmlns:a16="http://schemas.microsoft.com/office/drawing/2014/main" id="{00000000-0008-0000-0900-00005E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92" name="Étoile à 5 branches 158">
                      <a:extLst>
                        <a:ext uri="{FF2B5EF4-FFF2-40B4-BE49-F238E27FC236}">
                          <a16:creationId xmlns:a16="http://schemas.microsoft.com/office/drawing/2014/main" id="{00000000-0008-0000-0900-00005C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169">
                <xdr:nvSpPr>
                  <xdr:cNvPr id="80" name="Organigramme : Connecteur 79">
                    <a:extLst>
                      <a:ext uri="{FF2B5EF4-FFF2-40B4-BE49-F238E27FC236}">
                        <a16:creationId xmlns:a16="http://schemas.microsoft.com/office/drawing/2014/main" id="{00000000-0008-0000-0900-000050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B98959-293D-43E1-8231-3AB3256258BF}" type="TxLink">
                      <a:rPr lang="en-US" sz="1100" b="0" i="0" u="none" strike="noStrike">
                        <a:solidFill>
                          <a:srgbClr val="000000"/>
                        </a:solidFill>
                        <a:latin typeface="Calibri"/>
                        <a:cs typeface="Calibri"/>
                      </a:rPr>
                      <a:pPr algn="ctr"/>
                      <a:t>2</a:t>
                    </a:fld>
                    <a:endParaRPr lang="fr-FR" sz="1100"/>
                  </a:p>
                </xdr:txBody>
              </xdr:sp>
              <xdr:sp macro="" textlink="$A$35">
                <xdr:nvSpPr>
                  <xdr:cNvPr id="81" name="Organigramme : Connecteur 80">
                    <a:extLst>
                      <a:ext uri="{FF2B5EF4-FFF2-40B4-BE49-F238E27FC236}">
                        <a16:creationId xmlns:a16="http://schemas.microsoft.com/office/drawing/2014/main" id="{00000000-0008-0000-0900-000051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82" name="Organigramme : Connecteur 81">
                    <a:extLst>
                      <a:ext uri="{FF2B5EF4-FFF2-40B4-BE49-F238E27FC236}">
                        <a16:creationId xmlns:a16="http://schemas.microsoft.com/office/drawing/2014/main" id="{00000000-0008-0000-0900-000052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83" name="Organigramme : Connecteur 82">
                    <a:extLst>
                      <a:ext uri="{FF2B5EF4-FFF2-40B4-BE49-F238E27FC236}">
                        <a16:creationId xmlns:a16="http://schemas.microsoft.com/office/drawing/2014/main" id="{00000000-0008-0000-0900-000053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84" name="Organigramme : Connecteur 83">
                    <a:extLst>
                      <a:ext uri="{FF2B5EF4-FFF2-40B4-BE49-F238E27FC236}">
                        <a16:creationId xmlns:a16="http://schemas.microsoft.com/office/drawing/2014/main" id="{00000000-0008-0000-0900-000054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85" name="Organigramme : Connecteur 84">
                    <a:extLst>
                      <a:ext uri="{FF2B5EF4-FFF2-40B4-BE49-F238E27FC236}">
                        <a16:creationId xmlns:a16="http://schemas.microsoft.com/office/drawing/2014/main" id="{00000000-0008-0000-0900-000055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86" name="Organigramme : Connecteur 85">
                    <a:extLst>
                      <a:ext uri="{FF2B5EF4-FFF2-40B4-BE49-F238E27FC236}">
                        <a16:creationId xmlns:a16="http://schemas.microsoft.com/office/drawing/2014/main" id="{00000000-0008-0000-0900-000056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87" name="Organigramme : Connecteur 86">
                    <a:extLst>
                      <a:ext uri="{FF2B5EF4-FFF2-40B4-BE49-F238E27FC236}">
                        <a16:creationId xmlns:a16="http://schemas.microsoft.com/office/drawing/2014/main" id="{00000000-0008-0000-0900-000057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88" name="Organigramme : Connecteur 87">
                    <a:extLst>
                      <a:ext uri="{FF2B5EF4-FFF2-40B4-BE49-F238E27FC236}">
                        <a16:creationId xmlns:a16="http://schemas.microsoft.com/office/drawing/2014/main" id="{00000000-0008-0000-0900-000058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89" name="Organigramme : Connecteur 88">
                    <a:extLst>
                      <a:ext uri="{FF2B5EF4-FFF2-40B4-BE49-F238E27FC236}">
                        <a16:creationId xmlns:a16="http://schemas.microsoft.com/office/drawing/2014/main" id="{00000000-0008-0000-0900-000059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90" name="Organigramme : Connecteur 89">
                    <a:extLst>
                      <a:ext uri="{FF2B5EF4-FFF2-40B4-BE49-F238E27FC236}">
                        <a16:creationId xmlns:a16="http://schemas.microsoft.com/office/drawing/2014/main" id="{00000000-0008-0000-0900-00005A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75" name="Étoile à 5 branches 158">
                <a:extLst>
                  <a:ext uri="{FF2B5EF4-FFF2-40B4-BE49-F238E27FC236}">
                    <a16:creationId xmlns:a16="http://schemas.microsoft.com/office/drawing/2014/main" id="{00000000-0008-0000-0900-00004B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76" name="Organigramme : Connecteur 75">
                <a:extLst>
                  <a:ext uri="{FF2B5EF4-FFF2-40B4-BE49-F238E27FC236}">
                    <a16:creationId xmlns:a16="http://schemas.microsoft.com/office/drawing/2014/main" id="{00000000-0008-0000-0900-00004C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Mesures!B23">
          <xdr:nvSpPr>
            <xdr:cNvPr id="61" name="Organigramme : Connecteur 60">
              <a:extLst>
                <a:ext uri="{FF2B5EF4-FFF2-40B4-BE49-F238E27FC236}">
                  <a16:creationId xmlns:a16="http://schemas.microsoft.com/office/drawing/2014/main" id="{00000000-0008-0000-0900-00003D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E47DB61-5F99-4ACC-8FD8-3A6D359DE2A3}" type="TxLink">
                <a:rPr lang="en-US" sz="1100" b="0" i="0" u="none" strike="noStrike">
                  <a:solidFill>
                    <a:srgbClr val="000000"/>
                  </a:solidFill>
                  <a:latin typeface="Calibri"/>
                  <a:cs typeface="Calibri"/>
                </a:rPr>
                <a:pPr algn="ctr"/>
                <a:t> </a:t>
              </a:fld>
              <a:endParaRPr lang="fr-FR" sz="1100"/>
            </a:p>
          </xdr:txBody>
        </xdr:sp>
        <xdr:sp macro="" textlink="$B$24">
          <xdr:nvSpPr>
            <xdr:cNvPr id="62" name="Organigramme : Connecteur 61">
              <a:extLst>
                <a:ext uri="{FF2B5EF4-FFF2-40B4-BE49-F238E27FC236}">
                  <a16:creationId xmlns:a16="http://schemas.microsoft.com/office/drawing/2014/main" id="{00000000-0008-0000-0900-00003E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729A028-0094-45A4-BFF4-431DCD0FCF95}" type="TxLink">
                <a:rPr lang="en-US" sz="1100" b="0" i="0" u="none" strike="noStrike">
                  <a:solidFill>
                    <a:srgbClr val="000000"/>
                  </a:solidFill>
                  <a:latin typeface="Calibri"/>
                  <a:cs typeface="Calibri"/>
                </a:rPr>
                <a:pPr algn="ctr"/>
                <a:t> </a:t>
              </a:fld>
              <a:endParaRPr lang="fr-FR" sz="1100"/>
            </a:p>
          </xdr:txBody>
        </xdr:sp>
        <xdr:sp macro="" textlink="$B$25">
          <xdr:nvSpPr>
            <xdr:cNvPr id="63" name="Organigramme : Connecteur 62">
              <a:extLst>
                <a:ext uri="{FF2B5EF4-FFF2-40B4-BE49-F238E27FC236}">
                  <a16:creationId xmlns:a16="http://schemas.microsoft.com/office/drawing/2014/main" id="{00000000-0008-0000-0900-00003F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E923EEA-5868-4120-BD1D-05316D0D04B1}" type="TxLink">
                <a:rPr lang="en-US" sz="1100" b="0" i="0" u="none" strike="noStrike">
                  <a:solidFill>
                    <a:srgbClr val="000000"/>
                  </a:solidFill>
                  <a:latin typeface="Calibri"/>
                  <a:cs typeface="Calibri"/>
                </a:rPr>
                <a:pPr algn="ctr"/>
                <a:t> </a:t>
              </a:fld>
              <a:endParaRPr lang="fr-FR" sz="1100"/>
            </a:p>
          </xdr:txBody>
        </xdr:sp>
        <xdr:sp macro="" textlink="$B$26">
          <xdr:nvSpPr>
            <xdr:cNvPr id="64" name="Organigramme : Connecteur 63">
              <a:extLst>
                <a:ext uri="{FF2B5EF4-FFF2-40B4-BE49-F238E27FC236}">
                  <a16:creationId xmlns:a16="http://schemas.microsoft.com/office/drawing/2014/main" id="{00000000-0008-0000-0900-000040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E3C0EE9-3C5A-447F-B5B0-4A71CE4DEA36}" type="TxLink">
                <a:rPr lang="en-US" sz="1100" b="0" i="0" u="none" strike="noStrike">
                  <a:solidFill>
                    <a:srgbClr val="000000"/>
                  </a:solidFill>
                  <a:latin typeface="Calibri"/>
                  <a:cs typeface="Calibri"/>
                </a:rPr>
                <a:pPr algn="ctr"/>
                <a:t> </a:t>
              </a:fld>
              <a:endParaRPr lang="fr-FR" sz="1100"/>
            </a:p>
          </xdr:txBody>
        </xdr:sp>
        <xdr:sp macro="" textlink="$B$27">
          <xdr:nvSpPr>
            <xdr:cNvPr id="65" name="Organigramme : Connecteur 64">
              <a:extLst>
                <a:ext uri="{FF2B5EF4-FFF2-40B4-BE49-F238E27FC236}">
                  <a16:creationId xmlns:a16="http://schemas.microsoft.com/office/drawing/2014/main" id="{00000000-0008-0000-0900-000041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217CDB8-BFB0-4CAB-8134-600D8C9083EF}" type="TxLink">
                <a:rPr lang="en-US" sz="1100" b="0" i="0" u="none" strike="noStrike">
                  <a:solidFill>
                    <a:srgbClr val="000000"/>
                  </a:solidFill>
                  <a:latin typeface="Calibri"/>
                  <a:cs typeface="Calibri"/>
                </a:rPr>
                <a:pPr algn="ctr"/>
                <a:t> </a:t>
              </a:fld>
              <a:endParaRPr lang="fr-FR" sz="1100"/>
            </a:p>
          </xdr:txBody>
        </xdr:sp>
        <xdr:sp macro="" textlink="$B$28">
          <xdr:nvSpPr>
            <xdr:cNvPr id="66" name="Organigramme : Connecteur 65">
              <a:extLst>
                <a:ext uri="{FF2B5EF4-FFF2-40B4-BE49-F238E27FC236}">
                  <a16:creationId xmlns:a16="http://schemas.microsoft.com/office/drawing/2014/main" id="{00000000-0008-0000-0900-000042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1DB9829-AE13-491F-930A-A357A663CC93}" type="TxLink">
                <a:rPr lang="en-US" sz="1100" b="0" i="0" u="none" strike="noStrike">
                  <a:solidFill>
                    <a:srgbClr val="000000"/>
                  </a:solidFill>
                  <a:latin typeface="Calibri"/>
                  <a:cs typeface="Calibri"/>
                </a:rPr>
                <a:pPr algn="ctr"/>
                <a:t> </a:t>
              </a:fld>
              <a:endParaRPr lang="fr-FR" sz="1100"/>
            </a:p>
          </xdr:txBody>
        </xdr:sp>
        <xdr:sp macro="" textlink="$B$29">
          <xdr:nvSpPr>
            <xdr:cNvPr id="67" name="Organigramme : Connecteur 66">
              <a:extLst>
                <a:ext uri="{FF2B5EF4-FFF2-40B4-BE49-F238E27FC236}">
                  <a16:creationId xmlns:a16="http://schemas.microsoft.com/office/drawing/2014/main" id="{00000000-0008-0000-0900-000043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EB83186-73E9-47BB-A786-6F9E10120800}" type="TxLink">
                <a:rPr lang="en-US" sz="1100" b="0" i="0" u="none" strike="noStrike">
                  <a:solidFill>
                    <a:srgbClr val="000000"/>
                  </a:solidFill>
                  <a:latin typeface="Calibri"/>
                  <a:cs typeface="Calibri"/>
                </a:rPr>
                <a:pPr algn="ctr"/>
                <a:t> </a:t>
              </a:fld>
              <a:endParaRPr lang="fr-FR" sz="1100"/>
            </a:p>
          </xdr:txBody>
        </xdr:sp>
        <xdr:sp macro="" textlink="$B$30">
          <xdr:nvSpPr>
            <xdr:cNvPr id="68" name="Organigramme : Connecteur 67">
              <a:extLst>
                <a:ext uri="{FF2B5EF4-FFF2-40B4-BE49-F238E27FC236}">
                  <a16:creationId xmlns:a16="http://schemas.microsoft.com/office/drawing/2014/main" id="{00000000-0008-0000-0900-000044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198F86-FD8F-4847-805C-425ED6258BF4}" type="TxLink">
                <a:rPr lang="en-US" sz="1100" b="0" i="0" u="none" strike="noStrike">
                  <a:solidFill>
                    <a:srgbClr val="000000"/>
                  </a:solidFill>
                  <a:latin typeface="Calibri"/>
                  <a:cs typeface="Calibri"/>
                </a:rPr>
                <a:pPr algn="ctr"/>
                <a:t> </a:t>
              </a:fld>
              <a:endParaRPr lang="fr-FR" sz="1100"/>
            </a:p>
          </xdr:txBody>
        </xdr:sp>
        <xdr:sp macro="" textlink="$B$31">
          <xdr:nvSpPr>
            <xdr:cNvPr id="69" name="Organigramme : Connecteur 68">
              <a:extLst>
                <a:ext uri="{FF2B5EF4-FFF2-40B4-BE49-F238E27FC236}">
                  <a16:creationId xmlns:a16="http://schemas.microsoft.com/office/drawing/2014/main" id="{00000000-0008-0000-0900-000045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0A5A6FA-85D0-464A-A75E-D22777AF539C}" type="TxLink">
                <a:rPr lang="en-US" sz="1100" b="0" i="0" u="none" strike="noStrike">
                  <a:solidFill>
                    <a:srgbClr val="000000"/>
                  </a:solidFill>
                  <a:latin typeface="Calibri"/>
                  <a:cs typeface="Calibri"/>
                </a:rPr>
                <a:pPr algn="ctr"/>
                <a:t> </a:t>
              </a:fld>
              <a:endParaRPr lang="fr-FR" sz="1100"/>
            </a:p>
          </xdr:txBody>
        </xdr:sp>
        <xdr:sp macro="" textlink="$B$32">
          <xdr:nvSpPr>
            <xdr:cNvPr id="70" name="Organigramme : Connecteur 69">
              <a:extLst>
                <a:ext uri="{FF2B5EF4-FFF2-40B4-BE49-F238E27FC236}">
                  <a16:creationId xmlns:a16="http://schemas.microsoft.com/office/drawing/2014/main" id="{00000000-0008-0000-0900-000046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1F9CB5E-40D6-463A-8AC9-DB950C15DF8C}" type="TxLink">
                <a:rPr lang="en-US" sz="1100" b="0" i="0" u="none" strike="noStrike">
                  <a:solidFill>
                    <a:srgbClr val="000000"/>
                  </a:solidFill>
                  <a:latin typeface="Calibri"/>
                  <a:cs typeface="Calibri"/>
                </a:rPr>
                <a:pPr algn="ctr"/>
                <a:t> </a:t>
              </a:fld>
              <a:endParaRPr lang="fr-FR" sz="1100"/>
            </a:p>
          </xdr:txBody>
        </xdr:sp>
        <xdr:sp macro="" textlink="$B$33">
          <xdr:nvSpPr>
            <xdr:cNvPr id="71" name="Organigramme : Connecteur 70">
              <a:extLst>
                <a:ext uri="{FF2B5EF4-FFF2-40B4-BE49-F238E27FC236}">
                  <a16:creationId xmlns:a16="http://schemas.microsoft.com/office/drawing/2014/main" id="{00000000-0008-0000-0900-000047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397ECB3-D812-4C00-9349-692297887205}" type="TxLink">
                <a:rPr lang="en-US" sz="1100" b="0" i="0" u="none" strike="noStrike">
                  <a:solidFill>
                    <a:srgbClr val="000000"/>
                  </a:solidFill>
                  <a:latin typeface="Calibri"/>
                  <a:cs typeface="Calibri"/>
                </a:rPr>
                <a:pPr algn="ctr"/>
                <a:t> </a:t>
              </a:fld>
              <a:endParaRPr lang="fr-FR" sz="1100"/>
            </a:p>
          </xdr:txBody>
        </xdr:sp>
        <xdr:sp macro="" textlink="$B$34">
          <xdr:nvSpPr>
            <xdr:cNvPr id="72" name="Organigramme : Connecteur 71">
              <a:extLst>
                <a:ext uri="{FF2B5EF4-FFF2-40B4-BE49-F238E27FC236}">
                  <a16:creationId xmlns:a16="http://schemas.microsoft.com/office/drawing/2014/main" id="{00000000-0008-0000-0900-000048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A45BC04-9FE4-496A-AED4-087C2F8D958A}" type="TxLink">
                <a:rPr lang="en-US" sz="1100" b="0" i="0" u="none" strike="noStrike">
                  <a:solidFill>
                    <a:srgbClr val="000000"/>
                  </a:solidFill>
                  <a:latin typeface="Calibri"/>
                  <a:cs typeface="Calibri"/>
                </a:rPr>
                <a:pPr algn="ctr"/>
                <a:t> </a:t>
              </a:fld>
              <a:endParaRPr lang="fr-FR" sz="1100"/>
            </a:p>
          </xdr:txBody>
        </xdr:sp>
        <xdr:sp macro="" textlink="$B$35">
          <xdr:nvSpPr>
            <xdr:cNvPr id="73" name="Organigramme : Connecteur 72">
              <a:extLst>
                <a:ext uri="{FF2B5EF4-FFF2-40B4-BE49-F238E27FC236}">
                  <a16:creationId xmlns:a16="http://schemas.microsoft.com/office/drawing/2014/main" id="{00000000-0008-0000-0900-000049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D9DA3BF-5798-44DC-A370-3D5627BA3F9E}" type="TxLink">
                <a:rPr lang="en-US" sz="1100" b="0" i="0" u="none" strike="noStrike">
                  <a:solidFill>
                    <a:srgbClr val="000000"/>
                  </a:solidFill>
                  <a:latin typeface="Calibri"/>
                  <a:cs typeface="Calibri"/>
                </a:rPr>
                <a:pPr algn="ctr"/>
                <a:t> </a:t>
              </a:fld>
              <a:endParaRPr lang="fr-FR" sz="1100"/>
            </a:p>
          </xdr:txBody>
        </xdr:sp>
      </xdr:grpSp>
      <xdr:sp macro="" textlink="$C$23">
        <xdr:nvSpPr>
          <xdr:cNvPr id="47" name="Organigramme : Connecteur 46">
            <a:extLst>
              <a:ext uri="{FF2B5EF4-FFF2-40B4-BE49-F238E27FC236}">
                <a16:creationId xmlns:a16="http://schemas.microsoft.com/office/drawing/2014/main" id="{00000000-0008-0000-0900-00002F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DB13FF-73D7-4A48-A5AB-97F5AE65C3E8}" type="TxLink">
              <a:rPr lang="en-US" sz="1100" b="0" i="0" u="none" strike="noStrike">
                <a:solidFill>
                  <a:srgbClr val="000000"/>
                </a:solidFill>
                <a:latin typeface="Calibri"/>
                <a:cs typeface="Calibri"/>
              </a:rPr>
              <a:pPr algn="ctr"/>
              <a:t> </a:t>
            </a:fld>
            <a:endParaRPr lang="fr-FR" sz="1100"/>
          </a:p>
        </xdr:txBody>
      </xdr:sp>
      <xdr:sp macro="" textlink="$C$24">
        <xdr:nvSpPr>
          <xdr:cNvPr id="48" name="Organigramme : Connecteur 47">
            <a:extLst>
              <a:ext uri="{FF2B5EF4-FFF2-40B4-BE49-F238E27FC236}">
                <a16:creationId xmlns:a16="http://schemas.microsoft.com/office/drawing/2014/main" id="{00000000-0008-0000-0900-000030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D002511-3AE3-40B4-88E9-9AC353005BAE}" type="TxLink">
              <a:rPr lang="en-US" sz="1100" b="0" i="0" u="none" strike="noStrike">
                <a:solidFill>
                  <a:srgbClr val="000000"/>
                </a:solidFill>
                <a:latin typeface="Calibri"/>
                <a:cs typeface="Calibri"/>
              </a:rPr>
              <a:pPr algn="ctr"/>
              <a:t> </a:t>
            </a:fld>
            <a:endParaRPr lang="fr-FR" sz="1100"/>
          </a:p>
        </xdr:txBody>
      </xdr:sp>
      <xdr:sp macro="" textlink="$C$25">
        <xdr:nvSpPr>
          <xdr:cNvPr id="49" name="Organigramme : Connecteur 48">
            <a:extLst>
              <a:ext uri="{FF2B5EF4-FFF2-40B4-BE49-F238E27FC236}">
                <a16:creationId xmlns:a16="http://schemas.microsoft.com/office/drawing/2014/main" id="{00000000-0008-0000-0900-000031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78CB482-23FF-4D31-8E3C-932288BFBFE2}" type="TxLink">
              <a:rPr lang="en-US" sz="1100" b="0" i="0" u="none" strike="noStrike">
                <a:solidFill>
                  <a:srgbClr val="000000"/>
                </a:solidFill>
                <a:latin typeface="Calibri"/>
                <a:cs typeface="Calibri"/>
              </a:rPr>
              <a:pPr algn="ctr"/>
              <a:t> </a:t>
            </a:fld>
            <a:endParaRPr lang="fr-FR" sz="1100"/>
          </a:p>
        </xdr:txBody>
      </xdr:sp>
      <xdr:sp macro="" textlink="$C$26">
        <xdr:nvSpPr>
          <xdr:cNvPr id="50" name="Organigramme : Connecteur 49">
            <a:extLst>
              <a:ext uri="{FF2B5EF4-FFF2-40B4-BE49-F238E27FC236}">
                <a16:creationId xmlns:a16="http://schemas.microsoft.com/office/drawing/2014/main" id="{00000000-0008-0000-0900-000032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0D2988B-D08F-4219-8411-7F0858BA66E9}" type="TxLink">
              <a:rPr lang="en-US" sz="1100" b="0" i="0" u="none" strike="noStrike">
                <a:solidFill>
                  <a:srgbClr val="000000"/>
                </a:solidFill>
                <a:latin typeface="Calibri"/>
                <a:cs typeface="Calibri"/>
              </a:rPr>
              <a:pPr algn="ctr"/>
              <a:t> </a:t>
            </a:fld>
            <a:endParaRPr lang="fr-FR" sz="1100"/>
          </a:p>
        </xdr:txBody>
      </xdr:sp>
      <xdr:sp macro="" textlink="$C$27">
        <xdr:nvSpPr>
          <xdr:cNvPr id="51" name="Organigramme : Connecteur 50">
            <a:extLst>
              <a:ext uri="{FF2B5EF4-FFF2-40B4-BE49-F238E27FC236}">
                <a16:creationId xmlns:a16="http://schemas.microsoft.com/office/drawing/2014/main" id="{00000000-0008-0000-0900-000033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348393E-5592-4FD7-A5FE-9BA1DD2C8640}" type="TxLink">
              <a:rPr lang="en-US" sz="1100" b="0" i="0" u="none" strike="noStrike">
                <a:solidFill>
                  <a:srgbClr val="000000"/>
                </a:solidFill>
                <a:latin typeface="Calibri"/>
                <a:cs typeface="Calibri"/>
              </a:rPr>
              <a:pPr algn="ctr"/>
              <a:t> </a:t>
            </a:fld>
            <a:endParaRPr lang="fr-FR" sz="1100"/>
          </a:p>
        </xdr:txBody>
      </xdr:sp>
      <xdr:sp macro="" textlink="$C$29">
        <xdr:nvSpPr>
          <xdr:cNvPr id="52" name="Organigramme : Connecteur 51">
            <a:extLst>
              <a:ext uri="{FF2B5EF4-FFF2-40B4-BE49-F238E27FC236}">
                <a16:creationId xmlns:a16="http://schemas.microsoft.com/office/drawing/2014/main" id="{00000000-0008-0000-0900-000034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647D325-81FE-4241-B12C-64A9BB037A0B}" type="TxLink">
              <a:rPr lang="en-US" sz="1100" b="0" i="0" u="none" strike="noStrike">
                <a:solidFill>
                  <a:srgbClr val="000000"/>
                </a:solidFill>
                <a:latin typeface="Calibri"/>
                <a:cs typeface="Calibri"/>
              </a:rPr>
              <a:pPr algn="ctr"/>
              <a:t> </a:t>
            </a:fld>
            <a:endParaRPr lang="fr-FR" sz="1100"/>
          </a:p>
        </xdr:txBody>
      </xdr:sp>
      <xdr:sp macro="" textlink="$C$28">
        <xdr:nvSpPr>
          <xdr:cNvPr id="53" name="Organigramme : Connecteur 52">
            <a:extLst>
              <a:ext uri="{FF2B5EF4-FFF2-40B4-BE49-F238E27FC236}">
                <a16:creationId xmlns:a16="http://schemas.microsoft.com/office/drawing/2014/main" id="{00000000-0008-0000-0900-000035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F42238-A83D-40D1-8EEF-DB472B3A0E5F}" type="TxLink">
              <a:rPr lang="en-US" sz="1100" b="0" i="0" u="none" strike="noStrike">
                <a:solidFill>
                  <a:srgbClr val="000000"/>
                </a:solidFill>
                <a:latin typeface="Calibri"/>
                <a:cs typeface="Calibri"/>
              </a:rPr>
              <a:pPr algn="ctr"/>
              <a:t> </a:t>
            </a:fld>
            <a:endParaRPr lang="fr-FR" sz="1100"/>
          </a:p>
        </xdr:txBody>
      </xdr:sp>
      <xdr:sp macro="" textlink="$C$31">
        <xdr:nvSpPr>
          <xdr:cNvPr id="54" name="Organigramme : Connecteur 53">
            <a:extLst>
              <a:ext uri="{FF2B5EF4-FFF2-40B4-BE49-F238E27FC236}">
                <a16:creationId xmlns:a16="http://schemas.microsoft.com/office/drawing/2014/main" id="{00000000-0008-0000-0900-000036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B5C8821-D2F1-4D56-9D71-3EBAD736A89A}" type="TxLink">
              <a:rPr lang="en-US" sz="1100" b="0" i="0" u="none" strike="noStrike">
                <a:solidFill>
                  <a:srgbClr val="000000"/>
                </a:solidFill>
                <a:latin typeface="Calibri"/>
                <a:cs typeface="Calibri"/>
              </a:rPr>
              <a:pPr algn="ctr"/>
              <a:t> </a:t>
            </a:fld>
            <a:endParaRPr lang="fr-FR" sz="1100"/>
          </a:p>
        </xdr:txBody>
      </xdr:sp>
      <xdr:sp macro="" textlink="$C$30">
        <xdr:nvSpPr>
          <xdr:cNvPr id="55" name="Organigramme : Connecteur 54">
            <a:extLst>
              <a:ext uri="{FF2B5EF4-FFF2-40B4-BE49-F238E27FC236}">
                <a16:creationId xmlns:a16="http://schemas.microsoft.com/office/drawing/2014/main" id="{00000000-0008-0000-0900-000037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7387DF8-D76F-48F0-B3F7-1BC353AA5052}" type="TxLink">
              <a:rPr lang="en-US" sz="1100" b="0" i="0" u="none" strike="noStrike">
                <a:solidFill>
                  <a:srgbClr val="000000"/>
                </a:solidFill>
                <a:latin typeface="Calibri"/>
                <a:cs typeface="Calibri"/>
              </a:rPr>
              <a:pPr algn="ctr"/>
              <a:t> </a:t>
            </a:fld>
            <a:endParaRPr lang="fr-FR" sz="1100"/>
          </a:p>
        </xdr:txBody>
      </xdr:sp>
      <xdr:sp macro="" textlink="$C$32">
        <xdr:nvSpPr>
          <xdr:cNvPr id="56" name="Organigramme : Connecteur 55">
            <a:extLst>
              <a:ext uri="{FF2B5EF4-FFF2-40B4-BE49-F238E27FC236}">
                <a16:creationId xmlns:a16="http://schemas.microsoft.com/office/drawing/2014/main" id="{00000000-0008-0000-0900-000038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81362DD-2DB7-43B1-9CF4-15336E61E288}" type="TxLink">
              <a:rPr lang="en-US" sz="1100" b="0" i="0" u="none" strike="noStrike">
                <a:solidFill>
                  <a:srgbClr val="000000"/>
                </a:solidFill>
                <a:latin typeface="Calibri"/>
                <a:cs typeface="Calibri"/>
              </a:rPr>
              <a:pPr algn="ctr"/>
              <a:t> </a:t>
            </a:fld>
            <a:endParaRPr lang="fr-FR" sz="1100"/>
          </a:p>
        </xdr:txBody>
      </xdr:sp>
      <xdr:sp macro="" textlink="$C$33">
        <xdr:nvSpPr>
          <xdr:cNvPr id="57" name="Organigramme : Connecteur 56">
            <a:extLst>
              <a:ext uri="{FF2B5EF4-FFF2-40B4-BE49-F238E27FC236}">
                <a16:creationId xmlns:a16="http://schemas.microsoft.com/office/drawing/2014/main" id="{00000000-0008-0000-0900-000039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BDF59D-A87A-4F6B-A661-BF1A3EC46C22}" type="TxLink">
              <a:rPr lang="en-US" sz="1100" b="0" i="0" u="none" strike="noStrike">
                <a:solidFill>
                  <a:srgbClr val="000000"/>
                </a:solidFill>
                <a:latin typeface="Calibri"/>
                <a:cs typeface="Calibri"/>
              </a:rPr>
              <a:pPr algn="ctr"/>
              <a:t> </a:t>
            </a:fld>
            <a:endParaRPr lang="fr-FR" sz="1100"/>
          </a:p>
        </xdr:txBody>
      </xdr:sp>
      <xdr:sp macro="" textlink="$C$34">
        <xdr:nvSpPr>
          <xdr:cNvPr id="58" name="Organigramme : Connecteur 57">
            <a:extLst>
              <a:ext uri="{FF2B5EF4-FFF2-40B4-BE49-F238E27FC236}">
                <a16:creationId xmlns:a16="http://schemas.microsoft.com/office/drawing/2014/main" id="{00000000-0008-0000-0900-00003A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21D1696-35B6-4EB9-B390-1A7D701242CC}" type="TxLink">
              <a:rPr lang="en-US" sz="1100" b="0" i="0" u="none" strike="noStrike">
                <a:solidFill>
                  <a:srgbClr val="000000"/>
                </a:solidFill>
                <a:latin typeface="Calibri"/>
                <a:cs typeface="Calibri"/>
              </a:rPr>
              <a:pPr algn="ctr"/>
              <a:t> </a:t>
            </a:fld>
            <a:endParaRPr lang="fr-FR" sz="1100"/>
          </a:p>
        </xdr:txBody>
      </xdr:sp>
      <xdr:sp macro="" textlink="$C$35">
        <xdr:nvSpPr>
          <xdr:cNvPr id="59" name="Organigramme : Connecteur 58">
            <a:extLst>
              <a:ext uri="{FF2B5EF4-FFF2-40B4-BE49-F238E27FC236}">
                <a16:creationId xmlns:a16="http://schemas.microsoft.com/office/drawing/2014/main" id="{00000000-0008-0000-0900-00003B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01F6DF7-C3D4-4E55-B9A0-64DB103836C5}"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255</xdr:row>
      <xdr:rowOff>174625</xdr:rowOff>
    </xdr:from>
    <xdr:to>
      <xdr:col>12</xdr:col>
      <xdr:colOff>381000</xdr:colOff>
      <xdr:row>286</xdr:row>
      <xdr:rowOff>127000</xdr:rowOff>
    </xdr:to>
    <xdr:graphicFrame macro="">
      <xdr:nvGraphicFramePr>
        <xdr:cNvPr id="136" name="Graphique 135">
          <a:extLst>
            <a:ext uri="{FF2B5EF4-FFF2-40B4-BE49-F238E27FC236}">
              <a16:creationId xmlns:a16="http://schemas.microsoft.com/office/drawing/2014/main" id="{00000000-0008-0000-0900-00008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288</xdr:row>
      <xdr:rowOff>0</xdr:rowOff>
    </xdr:from>
    <xdr:to>
      <xdr:col>0</xdr:col>
      <xdr:colOff>3222625</xdr:colOff>
      <xdr:row>293</xdr:row>
      <xdr:rowOff>142875</xdr:rowOff>
    </xdr:to>
    <xdr:pic>
      <xdr:nvPicPr>
        <xdr:cNvPr id="137" name="Image 136" descr="fregate">
          <a:extLst>
            <a:ext uri="{FF2B5EF4-FFF2-40B4-BE49-F238E27FC236}">
              <a16:creationId xmlns:a16="http://schemas.microsoft.com/office/drawing/2014/main" id="{00000000-0008-0000-0900-00008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61087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42" name="Image 141" descr="fregate">
          <a:extLst>
            <a:ext uri="{FF2B5EF4-FFF2-40B4-BE49-F238E27FC236}">
              <a16:creationId xmlns:a16="http://schemas.microsoft.com/office/drawing/2014/main" id="{00000000-0008-0000-0900-00008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8117124"/>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43" name="Image 142" descr="fregate">
          <a:extLst>
            <a:ext uri="{FF2B5EF4-FFF2-40B4-BE49-F238E27FC236}">
              <a16:creationId xmlns:a16="http://schemas.microsoft.com/office/drawing/2014/main" id="{00000000-0008-0000-0900-00008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439812"/>
          <a:ext cx="3254375" cy="1093313"/>
        </a:xfrm>
        <a:prstGeom prst="rect">
          <a:avLst/>
        </a:prstGeom>
        <a:noFill/>
        <a:ln>
          <a:noFill/>
        </a:ln>
      </xdr:spPr>
    </xdr:pic>
    <xdr:clientData/>
  </xdr:oneCellAnchor>
  <xdr:twoCellAnchor>
    <xdr:from>
      <xdr:col>0</xdr:col>
      <xdr:colOff>3270250</xdr:colOff>
      <xdr:row>355</xdr:row>
      <xdr:rowOff>47624</xdr:rowOff>
    </xdr:from>
    <xdr:to>
      <xdr:col>11</xdr:col>
      <xdr:colOff>968375</xdr:colOff>
      <xdr:row>389</xdr:row>
      <xdr:rowOff>158749</xdr:rowOff>
    </xdr:to>
    <xdr:graphicFrame macro="">
      <xdr:nvGraphicFramePr>
        <xdr:cNvPr id="145" name="Graphique 144">
          <a:extLst>
            <a:ext uri="{FF2B5EF4-FFF2-40B4-BE49-F238E27FC236}">
              <a16:creationId xmlns:a16="http://schemas.microsoft.com/office/drawing/2014/main" id="{00000000-0008-0000-09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31750</xdr:colOff>
      <xdr:row>452</xdr:row>
      <xdr:rowOff>17937</xdr:rowOff>
    </xdr:from>
    <xdr:ext cx="3254375" cy="1093313"/>
    <xdr:pic>
      <xdr:nvPicPr>
        <xdr:cNvPr id="146" name="Image 145" descr="fregate">
          <a:extLst>
            <a:ext uri="{FF2B5EF4-FFF2-40B4-BE49-F238E27FC236}">
              <a16:creationId xmlns:a16="http://schemas.microsoft.com/office/drawing/2014/main" id="{00000000-0008-0000-0900-000092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439812"/>
          <a:ext cx="3254375" cy="1093313"/>
        </a:xfrm>
        <a:prstGeom prst="rect">
          <a:avLst/>
        </a:prstGeom>
        <a:noFill/>
        <a:ln>
          <a:noFill/>
        </a:ln>
      </xdr:spPr>
    </xdr:pic>
    <xdr:clientData/>
  </xdr:oneCellAnchor>
  <xdr:twoCellAnchor>
    <xdr:from>
      <xdr:col>0</xdr:col>
      <xdr:colOff>2794000</xdr:colOff>
      <xdr:row>460</xdr:row>
      <xdr:rowOff>63500</xdr:rowOff>
    </xdr:from>
    <xdr:to>
      <xdr:col>12</xdr:col>
      <xdr:colOff>301625</xdr:colOff>
      <xdr:row>490</xdr:row>
      <xdr:rowOff>127000</xdr:rowOff>
    </xdr:to>
    <xdr:graphicFrame macro="">
      <xdr:nvGraphicFramePr>
        <xdr:cNvPr id="148" name="Graphique 147">
          <a:extLst>
            <a:ext uri="{FF2B5EF4-FFF2-40B4-BE49-F238E27FC236}">
              <a16:creationId xmlns:a16="http://schemas.microsoft.com/office/drawing/2014/main" id="{00000000-0008-0000-0900-00009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0</xdr:colOff>
      <xdr:row>398</xdr:row>
      <xdr:rowOff>0</xdr:rowOff>
    </xdr:from>
    <xdr:ext cx="3222625" cy="1095375"/>
    <xdr:pic>
      <xdr:nvPicPr>
        <xdr:cNvPr id="149" name="Image 148" descr="fregate">
          <a:extLst>
            <a:ext uri="{FF2B5EF4-FFF2-40B4-BE49-F238E27FC236}">
              <a16:creationId xmlns:a16="http://schemas.microsoft.com/office/drawing/2014/main" id="{00000000-0008-0000-0900-00009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610875"/>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50" name="Image 149" descr="fregate">
          <a:extLst>
            <a:ext uri="{FF2B5EF4-FFF2-40B4-BE49-F238E27FC236}">
              <a16:creationId xmlns:a16="http://schemas.microsoft.com/office/drawing/2014/main" id="{00000000-0008-0000-0900-00009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627499"/>
          <a:ext cx="3302000" cy="1031875"/>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US_Congel_V.2(vierg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sures"/>
      <sheetName val="Valeurs brutes"/>
      <sheetName val="Entete"/>
      <sheetName val="-30°C"/>
      <sheetName val="PV"/>
      <sheetName val="Verif_periodique"/>
    </sheetNames>
    <sheetDataSet>
      <sheetData sheetId="0">
        <row r="19">
          <cell r="A19" t="str">
            <v>Consignes</v>
          </cell>
        </row>
        <row r="20">
          <cell r="A20" t="str">
            <v>Tolérances +/-</v>
          </cell>
        </row>
        <row r="22">
          <cell r="A22" t="str">
            <v>Positions</v>
          </cell>
          <cell r="B22" t="str">
            <v>Thermocouples</v>
          </cell>
          <cell r="C22" t="str">
            <v>N° voie Enregistreur</v>
          </cell>
        </row>
        <row r="23">
          <cell r="A23">
            <v>1</v>
          </cell>
        </row>
        <row r="24">
          <cell r="A24">
            <v>2</v>
          </cell>
        </row>
        <row r="25">
          <cell r="A25">
            <v>3</v>
          </cell>
        </row>
        <row r="26">
          <cell r="A26">
            <v>4</v>
          </cell>
        </row>
        <row r="27">
          <cell r="A27">
            <v>5</v>
          </cell>
        </row>
        <row r="28">
          <cell r="A28">
            <v>6</v>
          </cell>
        </row>
        <row r="29">
          <cell r="A29">
            <v>7</v>
          </cell>
        </row>
        <row r="30">
          <cell r="A30">
            <v>8</v>
          </cell>
        </row>
        <row r="31">
          <cell r="A31">
            <v>9</v>
          </cell>
        </row>
        <row r="32">
          <cell r="A32">
            <v>10</v>
          </cell>
        </row>
        <row r="33">
          <cell r="A33">
            <v>11</v>
          </cell>
        </row>
        <row r="34">
          <cell r="A34">
            <v>12</v>
          </cell>
        </row>
      </sheetData>
      <sheetData sheetId="1"/>
      <sheetData sheetId="2" refreshError="1"/>
      <sheetData sheetId="3"/>
      <sheetData sheetId="4"/>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4F1EB-E63B-4D1A-90DE-00B14E3A0772}" name="Donnees_Brutes_60" displayName="Donnees_Brutes_60" ref="A1:N2" totalsRowShown="0">
  <autoFilter ref="A1:N2" xr:uid="{62F4F1EB-E63B-4D1A-90DE-00B14E3A0772}"/>
  <tableColumns count="14">
    <tableColumn id="1" xr3:uid="{9E014467-F023-44D0-9FCB-4192EC1F0669}" name="Date/Heure"/>
    <tableColumn id="2" xr3:uid="{6056FAA9-2645-40BA-B63F-B456CA30B146}" name="Connecteur 1"/>
    <tableColumn id="3" xr3:uid="{59F85517-3380-4806-9C27-7C7770880659}" name="Connecteur 2"/>
    <tableColumn id="4" xr3:uid="{BB060673-7EA3-4BCE-89E9-81C1B9965D14}" name="Connecteur 3"/>
    <tableColumn id="5" xr3:uid="{C9088CEE-2A5F-4875-8F97-0F0C011A7C0C}" name="Connecteur 4"/>
    <tableColumn id="6" xr3:uid="{99DC141D-9F38-41F7-A157-3474FE2A28B1}" name="Connecteur 5"/>
    <tableColumn id="7" xr3:uid="{69358E36-4D54-4926-8CA2-35CF1FE99A8C}" name="Connecteur 6"/>
    <tableColumn id="8" xr3:uid="{0433C98B-A37E-4BC6-8FE2-7DC2B5CFF982}" name="Connecteur 7"/>
    <tableColumn id="9" xr3:uid="{E388FBA5-CA44-4D42-A399-1A0AE200E8EC}" name="Connecteur 8"/>
    <tableColumn id="10" xr3:uid="{3FCCD3C9-B204-4567-91D4-F283F5F00E5A}" name="Connecteur 9"/>
    <tableColumn id="11" xr3:uid="{E9F47355-A4E9-40C4-8D26-B5CB90F57048}" name="Connecteur 10"/>
    <tableColumn id="12" xr3:uid="{5B40A56F-8AD5-4D51-8429-5DAFCBA49EDB}" name="Connecteur 11"/>
    <tableColumn id="13" xr3:uid="{504482B1-8C9A-48CA-BB8B-3FC80CAE4224}" name="Connecteur 12"/>
    <tableColumn id="14" xr3:uid="{AC578D2E-B25F-4777-9B45-D3D091E39C41}" name="Connecteur 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49FA80-DD67-4FFD-9D04-21444CA1D3DE}" name="Donnees_Brutes_150" displayName="Donnees_Brutes_150" ref="A1:N2" totalsRowShown="0">
  <autoFilter ref="A1:N2" xr:uid="{2149FA80-DD67-4FFD-9D04-21444CA1D3DE}"/>
  <tableColumns count="14">
    <tableColumn id="1" xr3:uid="{1CEB59CF-246C-426B-8581-25B0C5D3F327}" name="Date/Heure"/>
    <tableColumn id="2" xr3:uid="{80799F64-9071-4088-AA7A-408353057793}" name="Connecteur 1"/>
    <tableColumn id="3" xr3:uid="{82CC79F4-6A88-46DA-9DA8-A7F56CE49880}" name="Connecteur 2"/>
    <tableColumn id="4" xr3:uid="{BD368A7E-8224-47B5-8F34-6EFDF3B91CF1}" name="Connecteur 3"/>
    <tableColumn id="5" xr3:uid="{813BA0E5-512D-4ADC-B265-F8D5AD37372B}" name="Connecteur 4"/>
    <tableColumn id="6" xr3:uid="{C0269907-7BA9-4BBB-AB96-8610609C3E8A}" name="Connecteur 5"/>
    <tableColumn id="7" xr3:uid="{6918141D-6277-4460-B43B-2AA5FE4ABAC9}" name="Connecteur 6"/>
    <tableColumn id="8" xr3:uid="{57941DD3-24F1-462B-A48E-CA4CEBC444C7}" name="Connecteur 7"/>
    <tableColumn id="9" xr3:uid="{E9DCE5D7-2151-43B4-9BFB-2A4F30D23581}" name="Connecteur 8"/>
    <tableColumn id="10" xr3:uid="{6B04F04A-03BC-4B19-A24C-D2166EAE51D2}" name="Connecteur 9"/>
    <tableColumn id="11" xr3:uid="{45EF8154-BDB4-4BB4-8B8B-491619BD1B2B}" name="Connecteur 10"/>
    <tableColumn id="12" xr3:uid="{FA762741-5699-4DFE-8320-8F455462BE40}" name="Connecteur 11"/>
    <tableColumn id="13" xr3:uid="{BE62697F-D67C-4356-9729-5C4CFB1C6154}" name="Connecteur 12"/>
    <tableColumn id="14" xr3:uid="{22F32A45-5F0C-4C05-A285-E7F56476B832}" name="Connecteur 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34219E-95B3-43B3-8F6A-0BFD9118C79A}" name="Donnees_Brutes_190" displayName="Donnees_Brutes_190" ref="A1:N2" totalsRowShown="0">
  <autoFilter ref="A1:N2" xr:uid="{9534219E-95B3-43B3-8F6A-0BFD9118C79A}"/>
  <tableColumns count="14">
    <tableColumn id="1" xr3:uid="{10A601C2-9C32-4A89-8D6B-BA2C8B6D5405}" name="Date/Heure"/>
    <tableColumn id="2" xr3:uid="{F8014ECE-5A84-4038-A752-AA3CB4384D43}" name="Connecteur 1"/>
    <tableColumn id="3" xr3:uid="{970F1E9B-BBD6-403C-955A-E88860C910A6}" name="Connecteur 2"/>
    <tableColumn id="4" xr3:uid="{2160AEA3-DD3E-46F2-80B1-0EEB1B342679}" name="Connecteur 3"/>
    <tableColumn id="5" xr3:uid="{4FC817AB-4032-4A88-BD03-A447A17A2084}" name="Connecteur 4"/>
    <tableColumn id="6" xr3:uid="{B254E006-93EA-4AFF-981F-A395D5C0A9B4}" name="Connecteur 5"/>
    <tableColumn id="7" xr3:uid="{FE70B339-BCA9-4892-A4A4-5862B9CBA9D0}" name="Connecteur 6"/>
    <tableColumn id="8" xr3:uid="{52D94016-2305-4E1F-9B64-9A2B991222FB}" name="Connecteur 7"/>
    <tableColumn id="9" xr3:uid="{2B9B4B74-7521-49FB-A130-62ED43F46F7A}" name="Connecteur 8"/>
    <tableColumn id="10" xr3:uid="{1D515884-9A6C-4B3C-BF29-7A6143B69F26}" name="Connecteur 9"/>
    <tableColumn id="11" xr3:uid="{CA7BD807-50C6-4602-8FB2-E3D8AA21E06F}" name="Connecteur 10"/>
    <tableColumn id="12" xr3:uid="{DF555B6A-A865-47C9-8AF2-B0B529E5ED27}" name="Connecteur 11"/>
    <tableColumn id="13" xr3:uid="{E0B31AEE-3418-4FDA-B583-87CD12187C0F}" name="Connecteur 12"/>
    <tableColumn id="14" xr3:uid="{263BAAA3-8109-4AAC-926D-1C370AD7EEF7}" name="Connecteur 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O56"/>
  <sheetViews>
    <sheetView tabSelected="1" topLeftCell="A13" zoomScale="85" zoomScaleNormal="85" workbookViewId="0">
      <selection activeCell="H40" sqref="H40"/>
    </sheetView>
  </sheetViews>
  <sheetFormatPr baseColWidth="10" defaultColWidth="9.140625" defaultRowHeight="15" x14ac:dyDescent="0.25"/>
  <cols>
    <col min="1" max="1" width="13.5703125" bestFit="1" customWidth="1"/>
    <col min="2" max="2" width="14.7109375" bestFit="1" customWidth="1"/>
    <col min="3" max="3" width="18.85546875" bestFit="1" customWidth="1"/>
    <col min="4" max="4" width="21.42578125" customWidth="1"/>
    <col min="5" max="5" width="23.42578125" customWidth="1"/>
    <col min="6" max="7" width="20.42578125" bestFit="1" customWidth="1"/>
    <col min="8" max="8" width="16.7109375" customWidth="1"/>
    <col min="9" max="9" width="15.42578125" customWidth="1"/>
    <col min="10" max="11" width="25.140625" customWidth="1"/>
    <col min="12" max="12" width="16.42578125" customWidth="1"/>
    <col min="13" max="13" width="27.7109375" bestFit="1" customWidth="1"/>
  </cols>
  <sheetData>
    <row r="2" spans="1:13" ht="36.75" customHeight="1" x14ac:dyDescent="0.25">
      <c r="B2" s="96" t="s">
        <v>145</v>
      </c>
      <c r="C2" s="97"/>
      <c r="D2" s="97"/>
      <c r="E2" s="97"/>
      <c r="F2" s="97"/>
      <c r="G2" s="97"/>
      <c r="H2" s="97"/>
      <c r="I2" s="97"/>
      <c r="J2" s="97"/>
      <c r="K2" s="97"/>
    </row>
    <row r="3" spans="1:13" ht="48.75" customHeight="1" x14ac:dyDescent="0.25">
      <c r="B3" s="97"/>
      <c r="C3" s="97"/>
      <c r="D3" s="97"/>
      <c r="E3" s="97"/>
      <c r="F3" s="97"/>
      <c r="G3" s="97"/>
      <c r="H3" s="97"/>
      <c r="I3" s="97"/>
      <c r="J3" s="97"/>
      <c r="K3" s="97"/>
    </row>
    <row r="4" spans="1:13" ht="57" x14ac:dyDescent="0.25">
      <c r="A4" s="17"/>
      <c r="B4" s="75"/>
      <c r="C4" s="75"/>
      <c r="D4" s="75"/>
      <c r="E4" s="75"/>
      <c r="F4" s="75"/>
      <c r="G4" s="75"/>
    </row>
    <row r="5" spans="1:13" x14ac:dyDescent="0.25">
      <c r="A5" s="93" t="s">
        <v>136</v>
      </c>
      <c r="B5" s="93"/>
      <c r="C5" s="93"/>
      <c r="D5" s="100"/>
      <c r="E5" s="101"/>
      <c r="F5" s="17"/>
      <c r="G5" s="17"/>
    </row>
    <row r="6" spans="1:13" x14ac:dyDescent="0.25">
      <c r="A6" s="17"/>
      <c r="B6" s="17"/>
      <c r="C6" s="17"/>
      <c r="D6" s="17"/>
      <c r="E6" s="17"/>
      <c r="F6" s="17"/>
      <c r="G6" s="17"/>
    </row>
    <row r="7" spans="1:13" x14ac:dyDescent="0.25">
      <c r="A7" s="93" t="s">
        <v>73</v>
      </c>
      <c r="B7" s="93"/>
      <c r="C7" s="76"/>
      <c r="D7" s="17"/>
      <c r="E7" s="93" t="s">
        <v>74</v>
      </c>
      <c r="F7" s="93"/>
      <c r="G7" s="76"/>
      <c r="M7" s="83"/>
    </row>
    <row r="8" spans="1:13" x14ac:dyDescent="0.25">
      <c r="A8" s="93" t="s">
        <v>75</v>
      </c>
      <c r="B8" s="93"/>
      <c r="C8" s="77"/>
      <c r="D8" s="17"/>
      <c r="E8" s="93" t="s">
        <v>76</v>
      </c>
      <c r="F8" s="93"/>
      <c r="G8" s="77"/>
      <c r="M8" s="83"/>
    </row>
    <row r="9" spans="1:13" x14ac:dyDescent="0.25">
      <c r="A9" s="17"/>
      <c r="B9" s="17"/>
      <c r="C9" s="17"/>
      <c r="D9" s="17"/>
      <c r="E9" s="17"/>
      <c r="F9" s="17"/>
      <c r="G9" s="17"/>
      <c r="M9" s="83"/>
    </row>
    <row r="10" spans="1:13" x14ac:dyDescent="0.25">
      <c r="A10" s="94" t="s">
        <v>137</v>
      </c>
      <c r="B10" s="95"/>
      <c r="C10" s="78"/>
      <c r="D10" s="17"/>
      <c r="E10" s="94" t="s">
        <v>138</v>
      </c>
      <c r="F10" s="95"/>
      <c r="G10" s="79"/>
    </row>
    <row r="11" spans="1:13" x14ac:dyDescent="0.25">
      <c r="A11" s="94" t="s">
        <v>139</v>
      </c>
      <c r="B11" s="95"/>
      <c r="C11" s="79"/>
      <c r="D11" s="17"/>
      <c r="E11" s="93" t="s">
        <v>140</v>
      </c>
      <c r="F11" s="93"/>
      <c r="G11" s="80">
        <v>15</v>
      </c>
    </row>
    <row r="12" spans="1:13" x14ac:dyDescent="0.25">
      <c r="A12" s="17"/>
      <c r="B12" s="17"/>
      <c r="C12" s="17"/>
      <c r="D12" s="17"/>
      <c r="E12" s="93" t="s">
        <v>141</v>
      </c>
      <c r="F12" s="93"/>
      <c r="G12" s="81"/>
    </row>
    <row r="13" spans="1:13" x14ac:dyDescent="0.25">
      <c r="A13" s="17"/>
      <c r="B13" s="17"/>
      <c r="C13" s="17"/>
      <c r="D13" s="17"/>
      <c r="E13" s="17"/>
      <c r="F13" s="17"/>
      <c r="G13" s="17"/>
    </row>
    <row r="14" spans="1:13" x14ac:dyDescent="0.25">
      <c r="A14" s="94" t="s">
        <v>142</v>
      </c>
      <c r="B14" s="95"/>
      <c r="C14" s="76"/>
      <c r="D14" s="17"/>
      <c r="E14" s="17"/>
      <c r="F14" s="17"/>
      <c r="G14" s="17"/>
    </row>
    <row r="15" spans="1:13" x14ac:dyDescent="0.25">
      <c r="A15" s="94" t="s">
        <v>143</v>
      </c>
      <c r="B15" s="95"/>
      <c r="C15" s="81"/>
      <c r="D15" s="17"/>
      <c r="E15" s="17"/>
      <c r="F15" s="17"/>
      <c r="G15" s="17"/>
    </row>
    <row r="16" spans="1:13" x14ac:dyDescent="0.25">
      <c r="A16" s="17"/>
      <c r="B16" s="17"/>
      <c r="C16" s="17"/>
      <c r="D16" s="83" t="s">
        <v>144</v>
      </c>
      <c r="E16" s="17"/>
      <c r="F16" s="17"/>
      <c r="G16" s="17"/>
    </row>
    <row r="17" spans="1:9" x14ac:dyDescent="0.25">
      <c r="A17" s="17"/>
      <c r="B17" s="17"/>
      <c r="C17" s="17"/>
      <c r="D17" s="83" t="s">
        <v>153</v>
      </c>
      <c r="E17" s="17"/>
      <c r="F17" s="17"/>
      <c r="G17" s="17"/>
      <c r="H17" s="17"/>
    </row>
    <row r="18" spans="1:9" x14ac:dyDescent="0.25">
      <c r="A18" s="17"/>
      <c r="B18" s="17"/>
      <c r="C18" s="17"/>
      <c r="D18" s="83" t="s">
        <v>154</v>
      </c>
      <c r="E18" s="17"/>
      <c r="F18" s="17"/>
      <c r="G18" s="17"/>
      <c r="H18" s="17"/>
    </row>
    <row r="19" spans="1:9" x14ac:dyDescent="0.25">
      <c r="A19" s="17"/>
      <c r="B19" s="17"/>
      <c r="C19" s="17"/>
      <c r="D19" s="17"/>
      <c r="E19" s="17"/>
    </row>
    <row r="20" spans="1:9" x14ac:dyDescent="0.25">
      <c r="A20" s="18" t="s">
        <v>61</v>
      </c>
      <c r="B20" s="19">
        <v>5</v>
      </c>
      <c r="C20" s="17"/>
      <c r="D20" s="17"/>
      <c r="E20" s="17"/>
      <c r="F20" s="17"/>
      <c r="G20" s="17"/>
    </row>
    <row r="21" spans="1:9" ht="18" customHeight="1" thickBot="1" x14ac:dyDescent="0.3">
      <c r="A21" s="17"/>
      <c r="B21" s="17"/>
      <c r="C21" s="17"/>
      <c r="D21" s="17"/>
      <c r="E21" s="17"/>
      <c r="F21" s="17"/>
      <c r="G21" s="17"/>
    </row>
    <row r="22" spans="1:9" ht="54.75" customHeight="1" thickBot="1" x14ac:dyDescent="0.3">
      <c r="A22" s="20" t="s">
        <v>62</v>
      </c>
      <c r="B22" s="21" t="s">
        <v>63</v>
      </c>
      <c r="C22" s="21" t="s">
        <v>64</v>
      </c>
      <c r="D22" s="29" t="s">
        <v>65</v>
      </c>
      <c r="E22" s="29" t="s">
        <v>67</v>
      </c>
      <c r="F22" s="29" t="s">
        <v>66</v>
      </c>
      <c r="G22" s="30" t="s">
        <v>68</v>
      </c>
      <c r="H22" s="30" t="s">
        <v>69</v>
      </c>
      <c r="I22" s="30" t="s">
        <v>70</v>
      </c>
    </row>
    <row r="23" spans="1:9" x14ac:dyDescent="0.25">
      <c r="A23" s="22">
        <v>1</v>
      </c>
      <c r="B23" s="23"/>
      <c r="C23" s="24"/>
      <c r="D23" s="25"/>
      <c r="E23" s="25"/>
      <c r="F23" s="25"/>
      <c r="G23" s="25"/>
      <c r="H23" s="25"/>
      <c r="I23" s="25"/>
    </row>
    <row r="24" spans="1:9" x14ac:dyDescent="0.25">
      <c r="A24" s="26">
        <v>2</v>
      </c>
      <c r="B24" s="23"/>
      <c r="C24" s="24"/>
      <c r="D24" s="25"/>
      <c r="E24" s="25"/>
      <c r="F24" s="25"/>
      <c r="G24" s="25"/>
      <c r="H24" s="25"/>
      <c r="I24" s="25"/>
    </row>
    <row r="25" spans="1:9" x14ac:dyDescent="0.25">
      <c r="A25" s="22">
        <v>3</v>
      </c>
      <c r="B25" s="23"/>
      <c r="C25" s="24"/>
      <c r="D25" s="25"/>
      <c r="E25" s="25"/>
      <c r="F25" s="25"/>
      <c r="G25" s="25"/>
      <c r="H25" s="25"/>
      <c r="I25" s="25"/>
    </row>
    <row r="26" spans="1:9" x14ac:dyDescent="0.25">
      <c r="A26" s="26">
        <v>4</v>
      </c>
      <c r="B26" s="23"/>
      <c r="C26" s="24"/>
      <c r="D26" s="25"/>
      <c r="E26" s="25"/>
      <c r="F26" s="25"/>
      <c r="G26" s="25"/>
      <c r="H26" s="25"/>
      <c r="I26" s="25"/>
    </row>
    <row r="27" spans="1:9" x14ac:dyDescent="0.25">
      <c r="A27" s="22">
        <v>5</v>
      </c>
      <c r="B27" s="23"/>
      <c r="C27" s="24"/>
      <c r="D27" s="25"/>
      <c r="E27" s="25"/>
      <c r="F27" s="25"/>
      <c r="G27" s="25"/>
      <c r="H27" s="25"/>
      <c r="I27" s="25"/>
    </row>
    <row r="28" spans="1:9" x14ac:dyDescent="0.25">
      <c r="A28" s="26">
        <v>6</v>
      </c>
      <c r="B28" s="23"/>
      <c r="C28" s="24"/>
      <c r="D28" s="25"/>
      <c r="E28" s="25"/>
      <c r="F28" s="25"/>
      <c r="G28" s="25"/>
      <c r="H28" s="25"/>
      <c r="I28" s="25"/>
    </row>
    <row r="29" spans="1:9" x14ac:dyDescent="0.25">
      <c r="A29" s="22">
        <v>7</v>
      </c>
      <c r="B29" s="23"/>
      <c r="C29" s="24"/>
      <c r="D29" s="25"/>
      <c r="E29" s="25"/>
      <c r="F29" s="25"/>
      <c r="G29" s="25"/>
      <c r="H29" s="25"/>
      <c r="I29" s="25"/>
    </row>
    <row r="30" spans="1:9" x14ac:dyDescent="0.25">
      <c r="A30" s="26">
        <v>8</v>
      </c>
      <c r="B30" s="23"/>
      <c r="C30" s="24"/>
      <c r="D30" s="25"/>
      <c r="E30" s="25"/>
      <c r="F30" s="25"/>
      <c r="G30" s="25"/>
      <c r="H30" s="25"/>
      <c r="I30" s="25"/>
    </row>
    <row r="31" spans="1:9" x14ac:dyDescent="0.25">
      <c r="A31" s="22">
        <v>9</v>
      </c>
      <c r="B31" s="23"/>
      <c r="C31" s="24"/>
      <c r="D31" s="25"/>
      <c r="E31" s="25"/>
      <c r="F31" s="25"/>
      <c r="G31" s="25"/>
      <c r="H31" s="25"/>
      <c r="I31" s="25"/>
    </row>
    <row r="32" spans="1:9" x14ac:dyDescent="0.25">
      <c r="A32" s="26">
        <v>10</v>
      </c>
      <c r="B32" s="23"/>
      <c r="C32" s="24"/>
      <c r="D32" s="25"/>
      <c r="E32" s="25"/>
      <c r="F32" s="25"/>
      <c r="G32" s="25"/>
      <c r="H32" s="25"/>
      <c r="I32" s="25"/>
    </row>
    <row r="33" spans="1:15" x14ac:dyDescent="0.25">
      <c r="A33" s="22">
        <v>11</v>
      </c>
      <c r="B33" s="23"/>
      <c r="C33" s="24"/>
      <c r="D33" s="25"/>
      <c r="E33" s="25"/>
      <c r="F33" s="25"/>
      <c r="G33" s="25"/>
      <c r="H33" s="25"/>
      <c r="I33" s="25"/>
    </row>
    <row r="34" spans="1:15" x14ac:dyDescent="0.25">
      <c r="A34" s="26">
        <v>12</v>
      </c>
      <c r="B34" s="23"/>
      <c r="C34" s="24"/>
      <c r="D34" s="25"/>
      <c r="E34" s="25"/>
      <c r="F34" s="25"/>
      <c r="G34" s="25"/>
      <c r="H34" s="25"/>
      <c r="I34" s="25"/>
    </row>
    <row r="35" spans="1:15" x14ac:dyDescent="0.25">
      <c r="A35" s="26">
        <v>13</v>
      </c>
      <c r="B35" s="23"/>
      <c r="C35" s="24"/>
      <c r="D35" s="25"/>
      <c r="E35" s="25"/>
      <c r="F35" s="25"/>
      <c r="G35" s="25"/>
      <c r="H35" s="25"/>
      <c r="I35" s="25"/>
    </row>
    <row r="40" spans="1:15" ht="26.25" x14ac:dyDescent="0.25">
      <c r="A40" s="17"/>
      <c r="B40" s="98" t="s">
        <v>146</v>
      </c>
      <c r="C40" s="98"/>
      <c r="D40" s="17"/>
      <c r="E40" s="17"/>
      <c r="F40" s="17"/>
      <c r="G40" s="17"/>
      <c r="H40" s="17"/>
      <c r="I40" s="17"/>
      <c r="J40" s="98" t="s">
        <v>147</v>
      </c>
      <c r="K40" s="98"/>
      <c r="L40" s="17"/>
      <c r="M40" s="17"/>
    </row>
    <row r="41" spans="1:15" x14ac:dyDescent="0.25">
      <c r="A41" s="17"/>
      <c r="B41" s="17"/>
      <c r="C41" s="17"/>
      <c r="D41" s="17"/>
      <c r="E41" s="17"/>
      <c r="F41" s="17"/>
      <c r="G41" s="17"/>
      <c r="H41" s="17"/>
      <c r="I41" s="17"/>
      <c r="J41" s="17"/>
      <c r="K41" s="17"/>
      <c r="L41" s="17"/>
      <c r="M41" s="17"/>
      <c r="N41" s="17"/>
      <c r="O41" s="17"/>
    </row>
    <row r="42" spans="1:15" x14ac:dyDescent="0.25">
      <c r="A42" s="94" t="s">
        <v>93</v>
      </c>
      <c r="B42" s="99"/>
      <c r="C42" s="99"/>
      <c r="D42" s="99"/>
      <c r="E42" s="99"/>
      <c r="F42" s="95"/>
      <c r="G42" s="17"/>
      <c r="H42" s="17"/>
      <c r="I42" s="93" t="s">
        <v>148</v>
      </c>
      <c r="J42" s="93"/>
      <c r="K42" s="93"/>
      <c r="L42" s="93"/>
      <c r="M42" s="93"/>
    </row>
    <row r="43" spans="1:15" ht="30" x14ac:dyDescent="0.25">
      <c r="A43" s="93"/>
      <c r="B43" s="93"/>
      <c r="C43" s="18" t="s">
        <v>94</v>
      </c>
      <c r="D43" s="82" t="s">
        <v>95</v>
      </c>
      <c r="E43" s="82" t="s">
        <v>96</v>
      </c>
      <c r="F43" s="82" t="s">
        <v>97</v>
      </c>
      <c r="G43" s="17"/>
      <c r="H43" s="17"/>
      <c r="I43" s="102"/>
      <c r="J43" s="102"/>
      <c r="K43" s="18" t="s">
        <v>149</v>
      </c>
      <c r="L43" s="18" t="s">
        <v>150</v>
      </c>
      <c r="M43" s="18" t="s">
        <v>151</v>
      </c>
    </row>
    <row r="44" spans="1:15" x14ac:dyDescent="0.25">
      <c r="A44" s="94" t="str">
        <f>CONCATENATE("Sonde ", B23)</f>
        <v xml:space="preserve">Sonde </v>
      </c>
      <c r="B44" s="95"/>
      <c r="C44" s="81"/>
      <c r="D44" s="81"/>
      <c r="E44" s="81"/>
      <c r="F44" s="76"/>
      <c r="G44" s="17"/>
      <c r="H44" s="17"/>
      <c r="I44" s="103" t="s">
        <v>152</v>
      </c>
      <c r="J44" s="104"/>
      <c r="K44" s="81"/>
      <c r="L44" s="76"/>
      <c r="M44" s="76"/>
    </row>
    <row r="45" spans="1:15" x14ac:dyDescent="0.25">
      <c r="A45" s="94" t="str">
        <f t="shared" ref="A45:A56" si="0">CONCATENATE("Sonde ", B24)</f>
        <v xml:space="preserve">Sonde </v>
      </c>
      <c r="B45" s="95"/>
      <c r="C45" s="81"/>
      <c r="D45" s="81"/>
      <c r="E45" s="81"/>
      <c r="F45" s="76"/>
      <c r="G45" s="17"/>
      <c r="H45" s="17"/>
      <c r="I45" s="17"/>
      <c r="J45" s="17"/>
      <c r="K45" s="17"/>
      <c r="L45" s="17"/>
      <c r="M45" s="17"/>
    </row>
    <row r="46" spans="1:15" x14ac:dyDescent="0.25">
      <c r="A46" s="94" t="str">
        <f t="shared" si="0"/>
        <v xml:space="preserve">Sonde </v>
      </c>
      <c r="B46" s="95"/>
      <c r="C46" s="81"/>
      <c r="D46" s="81"/>
      <c r="E46" s="81"/>
      <c r="F46" s="76"/>
      <c r="G46" s="17"/>
      <c r="H46" s="17"/>
      <c r="I46" s="17"/>
      <c r="J46" s="17"/>
      <c r="K46" s="17"/>
      <c r="L46" s="17"/>
      <c r="M46" s="17"/>
    </row>
    <row r="47" spans="1:15" x14ac:dyDescent="0.25">
      <c r="A47" s="94" t="str">
        <f t="shared" si="0"/>
        <v xml:space="preserve">Sonde </v>
      </c>
      <c r="B47" s="95"/>
      <c r="C47" s="81"/>
      <c r="D47" s="81"/>
      <c r="E47" s="81"/>
      <c r="F47" s="76"/>
      <c r="G47" s="17"/>
      <c r="H47" s="17"/>
      <c r="I47" s="17"/>
      <c r="J47" s="17"/>
      <c r="K47" s="17"/>
      <c r="L47" s="17"/>
      <c r="M47" s="17"/>
    </row>
    <row r="48" spans="1:15" x14ac:dyDescent="0.25">
      <c r="A48" s="94" t="str">
        <f t="shared" si="0"/>
        <v xml:space="preserve">Sonde </v>
      </c>
      <c r="B48" s="95"/>
      <c r="C48" s="81"/>
      <c r="D48" s="81"/>
      <c r="E48" s="81"/>
      <c r="F48" s="76"/>
      <c r="G48" s="17"/>
      <c r="H48" s="17"/>
      <c r="I48" s="17"/>
      <c r="J48" s="17"/>
    </row>
    <row r="49" spans="1:15" ht="30.75" customHeight="1" x14ac:dyDescent="0.25">
      <c r="A49" s="94" t="str">
        <f t="shared" si="0"/>
        <v xml:space="preserve">Sonde </v>
      </c>
      <c r="B49" s="95"/>
      <c r="C49" s="81"/>
      <c r="D49" s="81"/>
      <c r="E49" s="81"/>
      <c r="F49" s="76"/>
      <c r="G49" s="17"/>
      <c r="H49" s="17"/>
      <c r="I49" s="17"/>
      <c r="J49" s="17"/>
    </row>
    <row r="50" spans="1:15" x14ac:dyDescent="0.25">
      <c r="A50" s="94" t="str">
        <f t="shared" si="0"/>
        <v xml:space="preserve">Sonde </v>
      </c>
      <c r="B50" s="95"/>
      <c r="C50" s="81"/>
      <c r="D50" s="81"/>
      <c r="E50" s="81"/>
      <c r="F50" s="76"/>
      <c r="G50" s="17"/>
      <c r="H50" s="17"/>
      <c r="I50" s="17"/>
      <c r="J50" s="17"/>
    </row>
    <row r="51" spans="1:15" x14ac:dyDescent="0.25">
      <c r="A51" s="94" t="str">
        <f t="shared" si="0"/>
        <v xml:space="preserve">Sonde </v>
      </c>
      <c r="B51" s="95"/>
      <c r="C51" s="81"/>
      <c r="D51" s="81"/>
      <c r="E51" s="81"/>
      <c r="F51" s="76"/>
      <c r="G51" s="17"/>
      <c r="H51" s="17"/>
      <c r="I51" s="17"/>
      <c r="J51" s="17"/>
    </row>
    <row r="52" spans="1:15" x14ac:dyDescent="0.25">
      <c r="A52" s="94" t="str">
        <f t="shared" si="0"/>
        <v xml:space="preserve">Sonde </v>
      </c>
      <c r="B52" s="95"/>
      <c r="C52" s="81"/>
      <c r="D52" s="81"/>
      <c r="E52" s="81"/>
      <c r="F52" s="76"/>
      <c r="G52" s="17"/>
      <c r="H52" s="17"/>
      <c r="I52" s="17"/>
      <c r="J52" s="17"/>
    </row>
    <row r="53" spans="1:15" x14ac:dyDescent="0.25">
      <c r="A53" s="94" t="str">
        <f t="shared" si="0"/>
        <v xml:space="preserve">Sonde </v>
      </c>
      <c r="B53" s="95"/>
      <c r="C53" s="81"/>
      <c r="D53" s="81"/>
      <c r="E53" s="81"/>
      <c r="F53" s="76"/>
      <c r="G53" s="17"/>
      <c r="H53" s="17"/>
      <c r="I53" s="17"/>
      <c r="J53" s="17"/>
    </row>
    <row r="54" spans="1:15" x14ac:dyDescent="0.25">
      <c r="A54" s="94" t="str">
        <f t="shared" si="0"/>
        <v xml:space="preserve">Sonde </v>
      </c>
      <c r="B54" s="95"/>
      <c r="C54" s="81"/>
      <c r="D54" s="81"/>
      <c r="E54" s="81"/>
      <c r="F54" s="76"/>
      <c r="G54" s="17"/>
      <c r="H54" s="17"/>
      <c r="I54" s="17"/>
      <c r="J54" s="17"/>
      <c r="K54" s="17"/>
      <c r="L54" s="17"/>
      <c r="M54" s="17"/>
    </row>
    <row r="55" spans="1:15" x14ac:dyDescent="0.25">
      <c r="A55" s="94" t="str">
        <f t="shared" si="0"/>
        <v xml:space="preserve">Sonde </v>
      </c>
      <c r="B55" s="95"/>
      <c r="C55" s="81"/>
      <c r="D55" s="81"/>
      <c r="E55" s="81"/>
      <c r="F55" s="76"/>
      <c r="G55" s="17"/>
      <c r="H55" s="17"/>
      <c r="I55" s="17"/>
      <c r="J55" s="17"/>
      <c r="K55" s="17"/>
      <c r="L55" s="17"/>
      <c r="M55" s="17"/>
    </row>
    <row r="56" spans="1:15" x14ac:dyDescent="0.25">
      <c r="A56" s="94" t="str">
        <f t="shared" si="0"/>
        <v xml:space="preserve">Sonde </v>
      </c>
      <c r="B56" s="95"/>
      <c r="C56" s="81"/>
      <c r="D56" s="81"/>
      <c r="E56" s="81"/>
      <c r="F56" s="76"/>
      <c r="G56" s="17"/>
      <c r="H56" s="17"/>
      <c r="I56" s="17"/>
      <c r="J56" s="17"/>
      <c r="K56" s="17"/>
      <c r="L56" s="17"/>
      <c r="M56" s="17"/>
      <c r="N56" s="17"/>
      <c r="O56" s="17"/>
    </row>
  </sheetData>
  <sheetProtection algorithmName="SHA-512" hashValue="hQ9URLd9Ctyw/lqmY2nPqckeNLVjd8wh5nnh0j0NcxIt2jwysKOqHPrYjqwzgGhx+GZ+xCzXMFlH/U0Np+TWtQ==" saltValue="8Mx5NGKsiTvUYExkBLxLFA==" spinCount="100000" sheet="1" objects="1" scenarios="1" autoFilter="0"/>
  <protectedRanges>
    <protectedRange sqref="C10" name="Donnees controleur"/>
  </protectedRanges>
  <mergeCells count="34">
    <mergeCell ref="A55:B55"/>
    <mergeCell ref="A56:B56"/>
    <mergeCell ref="A51:B51"/>
    <mergeCell ref="A52:B52"/>
    <mergeCell ref="A53:B53"/>
    <mergeCell ref="A54:B54"/>
    <mergeCell ref="A47:B47"/>
    <mergeCell ref="A48:B48"/>
    <mergeCell ref="A49:B49"/>
    <mergeCell ref="A50:B50"/>
    <mergeCell ref="A43:B43"/>
    <mergeCell ref="I43:J43"/>
    <mergeCell ref="A44:B44"/>
    <mergeCell ref="I44:J44"/>
    <mergeCell ref="A45:B45"/>
    <mergeCell ref="A46:B46"/>
    <mergeCell ref="A42:F42"/>
    <mergeCell ref="I42:M42"/>
    <mergeCell ref="A10:B10"/>
    <mergeCell ref="E10:F10"/>
    <mergeCell ref="A11:B11"/>
    <mergeCell ref="E11:F11"/>
    <mergeCell ref="E12:F12"/>
    <mergeCell ref="A14:B14"/>
    <mergeCell ref="A8:B8"/>
    <mergeCell ref="E8:F8"/>
    <mergeCell ref="A15:B15"/>
    <mergeCell ref="B2:K3"/>
    <mergeCell ref="B40:C40"/>
    <mergeCell ref="J40:K40"/>
    <mergeCell ref="A5:C5"/>
    <mergeCell ref="D5:E5"/>
    <mergeCell ref="A7:B7"/>
    <mergeCell ref="E7:F7"/>
  </mergeCells>
  <dataValidations disablePrompts="1" count="2">
    <dataValidation type="list" allowBlank="1" showInputMessage="1" showErrorMessage="1" sqref="C10" xr:uid="{9E6D306A-EEAF-4D68-AD68-C027513D036F}">
      <formula1>"BCH , LV"</formula1>
    </dataValidation>
    <dataValidation type="list" allowBlank="1" showInputMessage="1" showErrorMessage="1" sqref="C15" xr:uid="{BD10D3D1-8B5B-4D63-96FC-2607003E230E}">
      <formula1>$D$16:$D$18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Realisation_TUS">
                <anchor moveWithCells="1" sizeWithCells="1">
                  <from>
                    <xdr:col>8</xdr:col>
                    <xdr:colOff>142875</xdr:colOff>
                    <xdr:row>3</xdr:row>
                    <xdr:rowOff>247650</xdr:rowOff>
                  </from>
                  <to>
                    <xdr:col>9</xdr:col>
                    <xdr:colOff>1609725</xdr:colOff>
                    <xdr:row>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84DB4-40CC-446E-B1BD-D561AFEFC634}">
  <sheetPr codeName="Feuil9"/>
  <dimension ref="A1:O19"/>
  <sheetViews>
    <sheetView workbookViewId="0">
      <selection activeCell="C29" sqref="C29"/>
    </sheetView>
  </sheetViews>
  <sheetFormatPr baseColWidth="10" defaultRowHeight="15" x14ac:dyDescent="0.25"/>
  <sheetData>
    <row r="1" spans="1:15" x14ac:dyDescent="0.25">
      <c r="A1" s="105" t="s">
        <v>34</v>
      </c>
      <c r="B1" s="106"/>
      <c r="C1" s="106"/>
      <c r="D1" s="106"/>
      <c r="E1" s="106"/>
      <c r="F1" s="106"/>
      <c r="G1" s="106"/>
      <c r="H1" s="106"/>
      <c r="I1" s="106"/>
      <c r="J1" s="106"/>
      <c r="K1" s="106"/>
      <c r="L1" s="106"/>
      <c r="M1" s="106"/>
      <c r="N1" s="106"/>
      <c r="O1" s="107"/>
    </row>
    <row r="2" spans="1:15" x14ac:dyDescent="0.25">
      <c r="A2" s="2" t="s">
        <v>0</v>
      </c>
      <c r="B2" t="s">
        <v>1</v>
      </c>
      <c r="C2" t="s">
        <v>2</v>
      </c>
      <c r="E2" t="s">
        <v>3</v>
      </c>
      <c r="F2">
        <v>8480381</v>
      </c>
      <c r="H2" t="s">
        <v>4</v>
      </c>
      <c r="I2" t="s">
        <v>5</v>
      </c>
      <c r="O2" s="3"/>
    </row>
    <row r="3" spans="1:15" x14ac:dyDescent="0.25">
      <c r="A3" s="2"/>
      <c r="B3" t="s">
        <v>6</v>
      </c>
      <c r="C3" t="s">
        <v>7</v>
      </c>
      <c r="E3" t="s">
        <v>8</v>
      </c>
      <c r="F3" t="s">
        <v>9</v>
      </c>
      <c r="H3" t="s">
        <v>10</v>
      </c>
      <c r="I3" t="s">
        <v>11</v>
      </c>
      <c r="K3" t="s">
        <v>12</v>
      </c>
      <c r="L3" t="s">
        <v>13</v>
      </c>
      <c r="O3" s="3"/>
    </row>
    <row r="4" spans="1:15" x14ac:dyDescent="0.25">
      <c r="A4" s="2" t="s">
        <v>14</v>
      </c>
      <c r="B4" t="s">
        <v>15</v>
      </c>
      <c r="O4" s="3"/>
    </row>
    <row r="5" spans="1:15" x14ac:dyDescent="0.25">
      <c r="A5" s="2" t="s">
        <v>16</v>
      </c>
      <c r="B5" t="s">
        <v>17</v>
      </c>
      <c r="C5">
        <v>20</v>
      </c>
      <c r="D5" t="s">
        <v>18</v>
      </c>
      <c r="E5">
        <v>250</v>
      </c>
      <c r="F5" t="s">
        <v>19</v>
      </c>
      <c r="G5" t="s">
        <v>20</v>
      </c>
      <c r="O5" s="3"/>
    </row>
    <row r="6" spans="1:15" x14ac:dyDescent="0.25">
      <c r="A6" s="2" t="s">
        <v>21</v>
      </c>
      <c r="B6" t="s">
        <v>17</v>
      </c>
      <c r="C6">
        <v>20</v>
      </c>
      <c r="D6" t="s">
        <v>18</v>
      </c>
      <c r="E6">
        <v>250</v>
      </c>
      <c r="F6" t="s">
        <v>19</v>
      </c>
      <c r="G6" t="s">
        <v>20</v>
      </c>
      <c r="O6" s="3"/>
    </row>
    <row r="7" spans="1:15" x14ac:dyDescent="0.25">
      <c r="A7" s="2" t="s">
        <v>22</v>
      </c>
      <c r="B7" t="s">
        <v>17</v>
      </c>
      <c r="C7">
        <v>20</v>
      </c>
      <c r="D7" t="s">
        <v>18</v>
      </c>
      <c r="E7">
        <v>250</v>
      </c>
      <c r="F7" t="s">
        <v>19</v>
      </c>
      <c r="G7" t="s">
        <v>20</v>
      </c>
      <c r="O7" s="3"/>
    </row>
    <row r="8" spans="1:15" x14ac:dyDescent="0.25">
      <c r="A8" s="2" t="s">
        <v>23</v>
      </c>
      <c r="B8" t="s">
        <v>17</v>
      </c>
      <c r="C8">
        <v>20</v>
      </c>
      <c r="D8" t="s">
        <v>18</v>
      </c>
      <c r="E8">
        <v>250</v>
      </c>
      <c r="F8" t="s">
        <v>19</v>
      </c>
      <c r="G8" t="s">
        <v>20</v>
      </c>
      <c r="O8" s="3"/>
    </row>
    <row r="9" spans="1:15" x14ac:dyDescent="0.25">
      <c r="A9" s="2" t="s">
        <v>24</v>
      </c>
      <c r="B9" t="s">
        <v>17</v>
      </c>
      <c r="C9">
        <v>20</v>
      </c>
      <c r="D9" t="s">
        <v>18</v>
      </c>
      <c r="E9">
        <v>250</v>
      </c>
      <c r="F9" t="s">
        <v>19</v>
      </c>
      <c r="G9" t="s">
        <v>20</v>
      </c>
      <c r="O9" s="3"/>
    </row>
    <row r="10" spans="1:15" x14ac:dyDescent="0.25">
      <c r="A10" s="2" t="s">
        <v>25</v>
      </c>
      <c r="B10" t="s">
        <v>17</v>
      </c>
      <c r="C10">
        <v>20</v>
      </c>
      <c r="D10" t="s">
        <v>18</v>
      </c>
      <c r="E10">
        <v>250</v>
      </c>
      <c r="F10" t="s">
        <v>19</v>
      </c>
      <c r="G10" t="s">
        <v>20</v>
      </c>
      <c r="O10" s="3"/>
    </row>
    <row r="11" spans="1:15" x14ac:dyDescent="0.25">
      <c r="A11" s="2" t="s">
        <v>26</v>
      </c>
      <c r="B11" t="s">
        <v>17</v>
      </c>
      <c r="C11">
        <v>20</v>
      </c>
      <c r="D11" t="s">
        <v>18</v>
      </c>
      <c r="E11">
        <v>250</v>
      </c>
      <c r="F11" t="s">
        <v>19</v>
      </c>
      <c r="G11" t="s">
        <v>20</v>
      </c>
      <c r="O11" s="3"/>
    </row>
    <row r="12" spans="1:15" x14ac:dyDescent="0.25">
      <c r="A12" s="2" t="s">
        <v>27</v>
      </c>
      <c r="B12" t="s">
        <v>17</v>
      </c>
      <c r="C12">
        <v>20</v>
      </c>
      <c r="D12" t="s">
        <v>18</v>
      </c>
      <c r="E12">
        <v>250</v>
      </c>
      <c r="F12" t="s">
        <v>19</v>
      </c>
      <c r="G12" t="s">
        <v>20</v>
      </c>
      <c r="O12" s="3"/>
    </row>
    <row r="13" spans="1:15" x14ac:dyDescent="0.25">
      <c r="A13" s="2" t="s">
        <v>28</v>
      </c>
      <c r="B13" t="s">
        <v>17</v>
      </c>
      <c r="C13">
        <v>20</v>
      </c>
      <c r="D13" t="s">
        <v>18</v>
      </c>
      <c r="E13">
        <v>250</v>
      </c>
      <c r="F13" t="s">
        <v>19</v>
      </c>
      <c r="G13" t="s">
        <v>20</v>
      </c>
      <c r="O13" s="3"/>
    </row>
    <row r="14" spans="1:15" x14ac:dyDescent="0.25">
      <c r="A14" s="2" t="s">
        <v>29</v>
      </c>
      <c r="B14" t="s">
        <v>17</v>
      </c>
      <c r="C14">
        <v>0</v>
      </c>
      <c r="D14" t="s">
        <v>18</v>
      </c>
      <c r="E14">
        <v>250</v>
      </c>
      <c r="F14" t="s">
        <v>19</v>
      </c>
      <c r="G14" t="s">
        <v>20</v>
      </c>
      <c r="O14" s="3"/>
    </row>
    <row r="15" spans="1:15" x14ac:dyDescent="0.25">
      <c r="A15" s="2" t="s">
        <v>30</v>
      </c>
      <c r="B15" t="s">
        <v>17</v>
      </c>
      <c r="C15">
        <v>0</v>
      </c>
      <c r="D15" t="s">
        <v>18</v>
      </c>
      <c r="E15">
        <v>250</v>
      </c>
      <c r="F15" t="s">
        <v>19</v>
      </c>
      <c r="G15" t="s">
        <v>20</v>
      </c>
      <c r="O15" s="3"/>
    </row>
    <row r="16" spans="1:15" x14ac:dyDescent="0.25">
      <c r="A16" s="2" t="s">
        <v>31</v>
      </c>
      <c r="B16" t="s">
        <v>17</v>
      </c>
      <c r="C16">
        <v>0</v>
      </c>
      <c r="D16" t="s">
        <v>18</v>
      </c>
      <c r="E16">
        <v>250</v>
      </c>
      <c r="F16" t="s">
        <v>19</v>
      </c>
      <c r="G16" t="s">
        <v>20</v>
      </c>
      <c r="O16" s="3"/>
    </row>
    <row r="17" spans="1:15" x14ac:dyDescent="0.25">
      <c r="A17" s="2" t="s">
        <v>32</v>
      </c>
      <c r="B17" t="s">
        <v>17</v>
      </c>
      <c r="C17">
        <v>0</v>
      </c>
      <c r="D17" t="s">
        <v>18</v>
      </c>
      <c r="E17">
        <v>250</v>
      </c>
      <c r="F17" t="s">
        <v>19</v>
      </c>
      <c r="G17" t="s">
        <v>20</v>
      </c>
      <c r="O17" s="3"/>
    </row>
    <row r="18" spans="1:15" x14ac:dyDescent="0.25">
      <c r="A18" s="2" t="s">
        <v>33</v>
      </c>
      <c r="C18" t="s">
        <v>16</v>
      </c>
      <c r="D18" t="s">
        <v>21</v>
      </c>
      <c r="E18" t="s">
        <v>22</v>
      </c>
      <c r="F18" t="s">
        <v>23</v>
      </c>
      <c r="G18" t="s">
        <v>24</v>
      </c>
      <c r="H18" t="s">
        <v>25</v>
      </c>
      <c r="I18" t="s">
        <v>26</v>
      </c>
      <c r="J18" t="s">
        <v>27</v>
      </c>
      <c r="K18" t="s">
        <v>28</v>
      </c>
      <c r="L18" t="s">
        <v>29</v>
      </c>
      <c r="M18" t="s">
        <v>30</v>
      </c>
      <c r="N18" t="s">
        <v>31</v>
      </c>
      <c r="O18" s="3" t="s">
        <v>32</v>
      </c>
    </row>
    <row r="19" spans="1:15" ht="15.75" thickBot="1" x14ac:dyDescent="0.3">
      <c r="A19" s="4"/>
      <c r="B19" s="5"/>
      <c r="C19" s="5" t="s">
        <v>20</v>
      </c>
      <c r="D19" s="5" t="s">
        <v>20</v>
      </c>
      <c r="E19" s="5" t="s">
        <v>20</v>
      </c>
      <c r="F19" s="5" t="s">
        <v>20</v>
      </c>
      <c r="G19" s="5" t="s">
        <v>20</v>
      </c>
      <c r="H19" s="5" t="s">
        <v>20</v>
      </c>
      <c r="I19" s="5" t="s">
        <v>20</v>
      </c>
      <c r="J19" s="5" t="s">
        <v>20</v>
      </c>
      <c r="K19" s="5" t="s">
        <v>20</v>
      </c>
      <c r="L19" s="5" t="s">
        <v>20</v>
      </c>
      <c r="M19" s="5" t="s">
        <v>20</v>
      </c>
      <c r="N19" s="5" t="s">
        <v>20</v>
      </c>
      <c r="O19" s="6" t="s">
        <v>20</v>
      </c>
    </row>
  </sheetData>
  <sheetProtection algorithmName="SHA-512" hashValue="Sd+c7O3AC+8Gc8pe1Dm3IdxHBekXxc95BEk93J0dKNdpK6SNG4mOfLgRIIJK5JNTxmyd/p+OBfpmRNn0AOmSOQ==" saltValue="vF0QqEMrldNWwjuVJ8czRg==" spinCount="100000" sheet="1" objects="1" scenarios="1" autoFilter="0"/>
  <mergeCells count="1">
    <mergeCell ref="A1:O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2A772-43C2-4200-9B3C-598A2ABD51F6}">
  <sheetPr codeName="Feuil10"/>
  <dimension ref="A1:O1"/>
  <sheetViews>
    <sheetView workbookViewId="0">
      <selection activeCell="O144" sqref="O144"/>
    </sheetView>
  </sheetViews>
  <sheetFormatPr baseColWidth="10" defaultRowHeight="15" x14ac:dyDescent="0.25"/>
  <sheetData>
    <row r="1" spans="1:15" x14ac:dyDescent="0.25">
      <c r="A1" s="31">
        <v>45072.627083333333</v>
      </c>
      <c r="C1">
        <v>31.23</v>
      </c>
      <c r="D1">
        <v>31.02</v>
      </c>
      <c r="E1">
        <v>31.04</v>
      </c>
      <c r="F1">
        <v>31.23</v>
      </c>
      <c r="G1">
        <v>31.3</v>
      </c>
      <c r="H1">
        <v>31.29</v>
      </c>
      <c r="I1">
        <v>31.27</v>
      </c>
      <c r="J1">
        <v>31.19</v>
      </c>
      <c r="K1">
        <v>30.85</v>
      </c>
      <c r="L1">
        <v>31.26</v>
      </c>
      <c r="M1">
        <v>30.95</v>
      </c>
      <c r="N1">
        <v>31.01</v>
      </c>
      <c r="O1">
        <v>31.28</v>
      </c>
    </row>
  </sheetData>
  <sheetProtection algorithmName="SHA-512" hashValue="TJl1ncXYfql/8CfgE8OyK7l3Gnqpxi7dubB+lsVu1oIjappakDZREnhO/CunuKT/OO3BbMyeq25fezheyhz6mw==" saltValue="lht1XC0CN8h6YAdJYOsu0A==" spinCount="100000" sheet="1" objects="1" scenarios="1"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D3EB0-3A07-4EBF-8C5C-0497CA6F5831}">
  <sheetPr codeName="Feuil2"/>
  <dimension ref="A1:N1"/>
  <sheetViews>
    <sheetView workbookViewId="0">
      <selection activeCell="D9" sqref="D9"/>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33</v>
      </c>
      <c r="B1" t="s">
        <v>35</v>
      </c>
      <c r="C1" t="s">
        <v>36</v>
      </c>
      <c r="D1" t="s">
        <v>37</v>
      </c>
      <c r="E1" t="s">
        <v>38</v>
      </c>
      <c r="F1" t="s">
        <v>39</v>
      </c>
      <c r="G1" t="s">
        <v>40</v>
      </c>
      <c r="H1" t="s">
        <v>41</v>
      </c>
      <c r="I1" t="s">
        <v>42</v>
      </c>
      <c r="J1" t="s">
        <v>43</v>
      </c>
      <c r="K1" t="s">
        <v>44</v>
      </c>
      <c r="L1" t="s">
        <v>45</v>
      </c>
      <c r="M1" t="s">
        <v>46</v>
      </c>
      <c r="N1" t="s">
        <v>71</v>
      </c>
    </row>
  </sheetData>
  <sheetProtection algorithmName="SHA-512" hashValue="0hbFJxVx94YC26dEOHXSDKxYhqKqHg064sWGUGxron4qZXsJ21HtEHcDEz8Xk7RKqsvMUQeP58kvkwHUHZW7Ig==" saltValue="Z+YZzRPkfCI27tHCh9zSTQ==" spinCount="100000" sheet="1" objects="1" scenarios="1" autoFilter="0"/>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31DE1-1D05-443A-9BB6-328AB64E8568}">
  <sheetPr codeName="Feuil3"/>
  <dimension ref="A1:N1"/>
  <sheetViews>
    <sheetView topLeftCell="F1" workbookViewId="0">
      <selection activeCell="N17" sqref="N1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33</v>
      </c>
      <c r="B1" t="s">
        <v>35</v>
      </c>
      <c r="C1" t="s">
        <v>36</v>
      </c>
      <c r="D1" t="s">
        <v>37</v>
      </c>
      <c r="E1" t="s">
        <v>38</v>
      </c>
      <c r="F1" t="s">
        <v>39</v>
      </c>
      <c r="G1" t="s">
        <v>40</v>
      </c>
      <c r="H1" t="s">
        <v>41</v>
      </c>
      <c r="I1" t="s">
        <v>42</v>
      </c>
      <c r="J1" t="s">
        <v>43</v>
      </c>
      <c r="K1" t="s">
        <v>44</v>
      </c>
      <c r="L1" t="s">
        <v>45</v>
      </c>
      <c r="M1" t="s">
        <v>46</v>
      </c>
      <c r="N1" t="s">
        <v>71</v>
      </c>
    </row>
  </sheetData>
  <sheetProtection algorithmName="SHA-512" hashValue="3i1pe3rgmBzlFHwLGNWvAaet53c/FRS7AwyWHr9UKAtm3RtV1MeK8/+LbAi/LUvu4gkP/OgfK3ogxKb76H8wuw==" saltValue="Ra2r+Kv5+FG8nRkWdfQ0qw==" spinCount="100000" sheet="1" objects="1" scenarios="1" autoFilter="0"/>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50AD-0EA8-4D4C-BA94-C9AE10BA0D76}">
  <sheetPr codeName="Feuil4"/>
  <dimension ref="A1:N1"/>
  <sheetViews>
    <sheetView workbookViewId="0">
      <selection activeCell="C1" sqref="C1"/>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33</v>
      </c>
      <c r="B1" t="s">
        <v>35</v>
      </c>
      <c r="C1" t="s">
        <v>36</v>
      </c>
      <c r="D1" t="s">
        <v>37</v>
      </c>
      <c r="E1" t="s">
        <v>38</v>
      </c>
      <c r="F1" t="s">
        <v>39</v>
      </c>
      <c r="G1" t="s">
        <v>40</v>
      </c>
      <c r="H1" t="s">
        <v>41</v>
      </c>
      <c r="I1" t="s">
        <v>42</v>
      </c>
      <c r="J1" t="s">
        <v>43</v>
      </c>
      <c r="K1" t="s">
        <v>44</v>
      </c>
      <c r="L1" t="s">
        <v>45</v>
      </c>
      <c r="M1" t="s">
        <v>46</v>
      </c>
      <c r="N1" t="s">
        <v>71</v>
      </c>
    </row>
  </sheetData>
  <sheetProtection algorithmName="SHA-512" hashValue="MSxyR7xu4MB9V9RouC80jmdNtdbD+JnZNOo/7FwLP+p6IbWsMXGoiJ1wJaP4P37+zc4+RvN5J2hbaP/QJSUV1g==" saltValue="U4Zw9RdqXhNTapQpo1gM6A==" spinCount="100000" sheet="1" objects="1" scenarios="1" autoFilter="0"/>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9D9A0-936F-428F-859B-5B10848515C0}">
  <sheetPr codeName="Feuil5"/>
  <dimension ref="A1:S55"/>
  <sheetViews>
    <sheetView zoomScale="80" zoomScaleNormal="80" workbookViewId="0">
      <selection activeCell="P25" sqref="P25"/>
    </sheetView>
  </sheetViews>
  <sheetFormatPr baseColWidth="10" defaultRowHeight="15" x14ac:dyDescent="0.25"/>
  <cols>
    <col min="1" max="1" width="15" bestFit="1" customWidth="1"/>
    <col min="2" max="2" width="16.7109375" customWidth="1"/>
    <col min="3" max="11" width="13.7109375" bestFit="1" customWidth="1"/>
    <col min="12" max="15" width="14.85546875" bestFit="1" customWidth="1"/>
    <col min="17" max="18" width="17.42578125" bestFit="1" customWidth="1"/>
  </cols>
  <sheetData>
    <row r="1" spans="1:19" s="1" customFormat="1" x14ac:dyDescent="0.25">
      <c r="A1" s="108" t="str">
        <f>"60°C"</f>
        <v>60°C</v>
      </c>
      <c r="B1" s="108"/>
      <c r="C1" s="108"/>
      <c r="D1" s="108"/>
      <c r="E1" s="108"/>
      <c r="F1" s="108"/>
      <c r="G1" s="108"/>
      <c r="H1" s="108"/>
      <c r="I1" s="108"/>
      <c r="J1" s="108"/>
      <c r="K1" s="108"/>
      <c r="L1" s="108"/>
      <c r="M1" s="108"/>
      <c r="N1" s="108"/>
      <c r="O1" s="108"/>
      <c r="P1" s="108"/>
      <c r="Q1" s="108"/>
      <c r="R1" s="108"/>
      <c r="S1" s="108"/>
    </row>
    <row r="2" spans="1:19" s="1" customFormat="1" x14ac:dyDescent="0.25">
      <c r="A2" s="108"/>
      <c r="B2" s="108"/>
      <c r="C2" s="108"/>
      <c r="D2" s="108"/>
      <c r="E2" s="108"/>
      <c r="F2" s="108"/>
      <c r="G2" s="108"/>
      <c r="H2" s="108"/>
      <c r="I2" s="108"/>
      <c r="J2" s="108"/>
      <c r="K2" s="108"/>
      <c r="L2" s="108"/>
      <c r="M2" s="108"/>
      <c r="N2" s="108"/>
      <c r="O2" s="108"/>
      <c r="P2" s="108"/>
      <c r="Q2" s="108"/>
      <c r="R2" s="108"/>
      <c r="S2" s="108"/>
    </row>
    <row r="3" spans="1:19" s="1" customFormat="1" x14ac:dyDescent="0.25">
      <c r="A3" s="108"/>
      <c r="B3" s="108"/>
      <c r="C3" s="108"/>
      <c r="D3" s="108"/>
      <c r="E3" s="108"/>
      <c r="F3" s="108"/>
      <c r="G3" s="108"/>
      <c r="H3" s="108"/>
      <c r="I3" s="108"/>
      <c r="J3" s="108"/>
      <c r="K3" s="108"/>
      <c r="L3" s="108"/>
      <c r="M3" s="108"/>
      <c r="N3" s="108"/>
      <c r="O3" s="108"/>
      <c r="P3" s="108"/>
      <c r="Q3" s="108"/>
      <c r="R3" s="108"/>
      <c r="S3" s="108"/>
    </row>
    <row r="4" spans="1:19" s="1" customFormat="1" x14ac:dyDescent="0.25">
      <c r="P4" s="7"/>
    </row>
    <row r="5" spans="1:19" s="1" customFormat="1" x14ac:dyDescent="0.25">
      <c r="B5" s="8" t="s">
        <v>47</v>
      </c>
      <c r="C5" s="9" t="e">
        <f>_xlfn.XLOOKUP(INT(SUBSTITUTE(C47,"Connecteur ","")),Mesures!C23:C35,Mesures!G23:G35)</f>
        <v>#N/A</v>
      </c>
      <c r="D5" s="9" t="e">
        <f>_xlfn.XLOOKUP(INT(SUBSTITUTE(D47,"Connecteur ","")),Mesures!C23:C35,Mesures!G23:G35)</f>
        <v>#N/A</v>
      </c>
      <c r="E5" s="9" t="e">
        <f>_xlfn.XLOOKUP(INT(SUBSTITUTE(E47,"Connecteur ","")),Mesures!C23:C35,Mesures!G23:G35)</f>
        <v>#N/A</v>
      </c>
      <c r="F5" s="9" t="e">
        <f>_xlfn.XLOOKUP(INT(SUBSTITUTE(F47,"Connecteur ","")),Mesures!C23:C35,Mesures!G23:G35)</f>
        <v>#N/A</v>
      </c>
      <c r="G5" s="9" t="e">
        <f>_xlfn.XLOOKUP(INT(SUBSTITUTE(G47,"Connecteur ","")),Mesures!C23:C35,Mesures!G23:G35)</f>
        <v>#N/A</v>
      </c>
      <c r="H5" s="9" t="e">
        <f>_xlfn.XLOOKUP(INT(SUBSTITUTE(H47,"Connecteur ","")),Mesures!C23:C35,Mesures!G23:G35)</f>
        <v>#N/A</v>
      </c>
      <c r="I5" s="9" t="e">
        <f>_xlfn.XLOOKUP(INT(SUBSTITUTE(I47,"Connecteur ","")),Mesures!C23:C35,Mesures!G23:G35)</f>
        <v>#N/A</v>
      </c>
      <c r="J5" s="9" t="e">
        <f>_xlfn.XLOOKUP(INT(SUBSTITUTE(J47,"Connecteur ","")),Mesures!C23:C35,Mesures!G23:G35)</f>
        <v>#N/A</v>
      </c>
      <c r="K5" s="9" t="e">
        <f>_xlfn.XLOOKUP(INT(SUBSTITUTE(K47,"Connecteur ","")),Mesures!C23:C35,Mesures!G23:G35)</f>
        <v>#N/A</v>
      </c>
      <c r="L5" s="9" t="e">
        <f>_xlfn.XLOOKUP(INT(SUBSTITUTE(L47,"Connecteur ","")),Mesures!C23:C35,Mesures!G23:G35)</f>
        <v>#N/A</v>
      </c>
      <c r="M5" s="9" t="e">
        <f>_xlfn.XLOOKUP(INT(SUBSTITUTE(M47,"Connecteur ","")),Mesures!C23:C35,Mesures!G23:G35)</f>
        <v>#N/A</v>
      </c>
      <c r="N5" s="9" t="e">
        <f>_xlfn.XLOOKUP(INT(SUBSTITUTE(N47,"Connecteur ","")),Mesures!C23:C35,Mesures!G23:G35)</f>
        <v>#N/A</v>
      </c>
      <c r="O5" s="9" t="e">
        <f>_xlfn.XLOOKUP(INT(SUBSTITUTE(O47,"Connecteur ","")),Mesures!C23:C35,Mesures!G23:G35)</f>
        <v>#N/A</v>
      </c>
      <c r="P5" s="7"/>
    </row>
    <row r="6" spans="1:19" s="1" customFormat="1" x14ac:dyDescent="0.25">
      <c r="B6" s="8" t="s">
        <v>48</v>
      </c>
      <c r="C6" s="9" t="e">
        <f>_xlfn.XLOOKUP(INT(SUBSTITUTE(C47,"Connecteur ","")),Mesures!C23:C35,Mesures!D23:D35)</f>
        <v>#N/A</v>
      </c>
      <c r="D6" s="9" t="e">
        <f>_xlfn.XLOOKUP(INT(SUBSTITUTE(D47,"Connecteur ","")),Mesures!C23:C35,Mesures!D23:D35)</f>
        <v>#N/A</v>
      </c>
      <c r="E6" s="9" t="e">
        <f>_xlfn.XLOOKUP(INT(SUBSTITUTE(E47,"Connecteur ","")),Mesures!C23:C35,Mesures!D23:D35)</f>
        <v>#N/A</v>
      </c>
      <c r="F6" s="9" t="e">
        <f>_xlfn.XLOOKUP(INT(SUBSTITUTE(F47,"Connecteur ","")),Mesures!C23:C35,Mesures!D23:D35)</f>
        <v>#N/A</v>
      </c>
      <c r="G6" s="9" t="e">
        <f>_xlfn.XLOOKUP(INT(SUBSTITUTE(G47,"Connecteur ","")),Mesures!C23:C35,Mesures!D23:D35)</f>
        <v>#N/A</v>
      </c>
      <c r="H6" s="9" t="e">
        <f>_xlfn.XLOOKUP(INT(SUBSTITUTE(H47,"Connecteur ","")),Mesures!C23:C35,Mesures!D23:D35)</f>
        <v>#N/A</v>
      </c>
      <c r="I6" s="9" t="e">
        <f>_xlfn.XLOOKUP(INT(SUBSTITUTE(I47,"Connecteur ","")),Mesures!C23:C35,Mesures!D23:D35)</f>
        <v>#N/A</v>
      </c>
      <c r="J6" s="9" t="e">
        <f>_xlfn.XLOOKUP(INT(SUBSTITUTE(J47,"Connecteur ","")),Mesures!C23:C35,Mesures!D23:D35)</f>
        <v>#N/A</v>
      </c>
      <c r="K6" s="9" t="e">
        <f>_xlfn.XLOOKUP(INT(SUBSTITUTE(K47,"Connecteur ","")),Mesures!C23:C35,Mesures!D23:D35)</f>
        <v>#N/A</v>
      </c>
      <c r="L6" s="9" t="e">
        <f>_xlfn.XLOOKUP(INT(SUBSTITUTE(L47,"Connecteur ","")),Mesures!C23:C35,Mesures!D23:D35)</f>
        <v>#N/A</v>
      </c>
      <c r="M6" s="9" t="e">
        <f>_xlfn.XLOOKUP(INT(SUBSTITUTE(M47,"Connecteur ","")),Mesures!C23:C35,Mesures!D23:D35)</f>
        <v>#N/A</v>
      </c>
      <c r="N6" s="9" t="e">
        <f>_xlfn.XLOOKUP(INT(SUBSTITUTE(N47,"Connecteur ","")),Mesures!C23:C35,Mesures!D23:D35)</f>
        <v>#N/A</v>
      </c>
      <c r="O6" s="9" t="e">
        <f>_xlfn.XLOOKUP(INT(SUBSTITUTE(O47,"Connecteur ","")),Mesures!C23:C35,Mesures!D23:D35)</f>
        <v>#N/A</v>
      </c>
      <c r="P6" s="7"/>
    </row>
    <row r="7" spans="1:19" s="1" customFormat="1" x14ac:dyDescent="0.25">
      <c r="P7" s="7"/>
    </row>
    <row r="8" spans="1:19" s="1" customFormat="1" x14ac:dyDescent="0.25">
      <c r="P8" s="7"/>
    </row>
    <row r="9" spans="1:19" s="1" customFormat="1" x14ac:dyDescent="0.25">
      <c r="A9" s="109" t="s">
        <v>49</v>
      </c>
      <c r="B9" s="109"/>
      <c r="C9" s="109"/>
      <c r="D9" s="109"/>
      <c r="E9" s="109"/>
      <c r="F9" s="109"/>
      <c r="G9" s="109"/>
      <c r="H9" s="109"/>
      <c r="I9" s="109"/>
      <c r="J9" s="109"/>
      <c r="K9" s="109"/>
      <c r="L9" s="109"/>
      <c r="M9" s="109"/>
      <c r="N9" s="109"/>
      <c r="P9" s="7"/>
    </row>
    <row r="10" spans="1:19" s="1" customFormat="1" x14ac:dyDescent="0.25">
      <c r="A10" s="7"/>
      <c r="B10" s="8" t="str">
        <f>Donnees_Brutes_60[[#Headers],[Date/Heure]]</f>
        <v>Date/Heure</v>
      </c>
      <c r="C10" s="10" t="str" cm="1">
        <f t="array" ref="C10:O10">Donnees_Brutes_60[[#Headers],[Connecteur 1]:[Connecteur 13]]</f>
        <v>Connecteur 1</v>
      </c>
      <c r="D10" s="10" t="str">
        <v>Connecteur 2</v>
      </c>
      <c r="E10" s="10" t="str">
        <v>Connecteur 3</v>
      </c>
      <c r="F10" s="10" t="str">
        <v>Connecteur 4</v>
      </c>
      <c r="G10" s="10" t="str">
        <v>Connecteur 5</v>
      </c>
      <c r="H10" s="10" t="str">
        <v>Connecteur 6</v>
      </c>
      <c r="I10" s="10" t="str">
        <v>Connecteur 7</v>
      </c>
      <c r="J10" s="10" t="str">
        <v>Connecteur 8</v>
      </c>
      <c r="K10" s="10" t="str">
        <v>Connecteur 9</v>
      </c>
      <c r="L10" s="10" t="str">
        <v>Connecteur 10</v>
      </c>
      <c r="M10" s="10" t="str">
        <v>Connecteur 11</v>
      </c>
      <c r="N10" s="10" t="str">
        <v>Connecteur 12</v>
      </c>
      <c r="O10" s="10" t="str">
        <v>Connecteur 13</v>
      </c>
      <c r="P10" s="7"/>
    </row>
    <row r="11" spans="1:19" s="1" customFormat="1" ht="13.5" customHeight="1" x14ac:dyDescent="0.25">
      <c r="A11" s="112" t="s">
        <v>50</v>
      </c>
      <c r="B11" s="33" cm="1">
        <f t="array" ref="B11">Donnees_Brutes_60[Date/Heure]</f>
        <v>0</v>
      </c>
      <c r="C11" s="34" t="e" cm="1">
        <f t="array" ref="C11:O11">Donnees_Brutes_60[[Connecteur 1]:[Connecteur 13]] + C5:O5 +C6:O6</f>
        <v>#N/A</v>
      </c>
      <c r="D11" s="34" t="e">
        <v>#N/A</v>
      </c>
      <c r="E11" s="34" t="e">
        <v>#N/A</v>
      </c>
      <c r="F11" s="34" t="e">
        <v>#N/A</v>
      </c>
      <c r="G11" s="34" t="e">
        <v>#N/A</v>
      </c>
      <c r="H11" s="34" t="e">
        <v>#N/A</v>
      </c>
      <c r="I11" s="34" t="e">
        <v>#N/A</v>
      </c>
      <c r="J11" s="34" t="e">
        <v>#N/A</v>
      </c>
      <c r="K11" s="34" t="e">
        <v>#N/A</v>
      </c>
      <c r="L11" s="34" t="e">
        <v>#N/A</v>
      </c>
      <c r="M11" s="34" t="e">
        <v>#N/A</v>
      </c>
      <c r="N11" s="34" t="e">
        <v>#N/A</v>
      </c>
      <c r="O11" s="34" t="e">
        <v>#N/A</v>
      </c>
      <c r="P11" s="7"/>
    </row>
    <row r="12" spans="1:19" s="1" customFormat="1" x14ac:dyDescent="0.25">
      <c r="A12" s="112"/>
      <c r="B12" s="33"/>
      <c r="C12" s="34"/>
      <c r="D12" s="34"/>
      <c r="E12" s="34"/>
      <c r="F12" s="34"/>
      <c r="G12" s="34"/>
      <c r="H12" s="34"/>
      <c r="I12" s="34"/>
      <c r="J12" s="34"/>
      <c r="K12" s="34"/>
      <c r="L12" s="34"/>
      <c r="M12" s="34"/>
      <c r="N12" s="34"/>
      <c r="O12" s="34"/>
      <c r="P12" s="7"/>
    </row>
    <row r="13" spans="1:19" x14ac:dyDescent="0.25">
      <c r="A13" s="112"/>
      <c r="B13" s="33"/>
      <c r="C13" s="34"/>
      <c r="D13" s="34"/>
      <c r="E13" s="34"/>
      <c r="F13" s="34"/>
      <c r="G13" s="34"/>
      <c r="H13" s="34"/>
      <c r="I13" s="34"/>
      <c r="J13" s="34"/>
      <c r="K13" s="34"/>
      <c r="L13" s="34"/>
      <c r="M13" s="34"/>
      <c r="N13" s="34"/>
      <c r="O13" s="34"/>
    </row>
    <row r="14" spans="1:19" x14ac:dyDescent="0.25">
      <c r="A14" s="112"/>
      <c r="B14" s="33"/>
      <c r="C14" s="34"/>
      <c r="D14" s="34"/>
      <c r="E14" s="34"/>
      <c r="F14" s="34"/>
      <c r="G14" s="34"/>
      <c r="H14" s="34"/>
      <c r="I14" s="34"/>
      <c r="J14" s="34"/>
      <c r="K14" s="34"/>
      <c r="L14" s="34"/>
      <c r="M14" s="34"/>
      <c r="N14" s="34"/>
      <c r="O14" s="34"/>
    </row>
    <row r="15" spans="1:19" x14ac:dyDescent="0.25">
      <c r="A15" s="112"/>
      <c r="B15" s="33"/>
      <c r="C15" s="34"/>
      <c r="D15" s="34"/>
      <c r="E15" s="34"/>
      <c r="F15" s="34"/>
      <c r="G15" s="34"/>
      <c r="H15" s="34"/>
      <c r="I15" s="34"/>
      <c r="J15" s="34"/>
      <c r="K15" s="34"/>
      <c r="L15" s="34"/>
      <c r="M15" s="34"/>
      <c r="N15" s="34"/>
      <c r="O15" s="34"/>
    </row>
    <row r="16" spans="1:19" x14ac:dyDescent="0.25">
      <c r="A16" s="112"/>
      <c r="B16" s="33"/>
      <c r="C16" s="34"/>
      <c r="D16" s="34"/>
      <c r="E16" s="34"/>
      <c r="F16" s="34"/>
      <c r="G16" s="34"/>
      <c r="H16" s="34"/>
      <c r="I16" s="34"/>
      <c r="J16" s="34"/>
      <c r="K16" s="34"/>
      <c r="L16" s="34"/>
      <c r="M16" s="34"/>
      <c r="N16" s="34"/>
      <c r="O16" s="34"/>
    </row>
    <row r="17" spans="1:16" x14ac:dyDescent="0.25">
      <c r="A17" s="112"/>
      <c r="B17" s="33"/>
      <c r="C17" s="34"/>
      <c r="D17" s="34"/>
      <c r="E17" s="34"/>
      <c r="F17" s="34"/>
      <c r="G17" s="34"/>
      <c r="H17" s="34"/>
      <c r="I17" s="34"/>
      <c r="J17" s="34"/>
      <c r="K17" s="34"/>
      <c r="L17" s="34"/>
      <c r="M17" s="34"/>
      <c r="N17" s="34"/>
      <c r="O17" s="34"/>
    </row>
    <row r="18" spans="1:16" x14ac:dyDescent="0.25">
      <c r="A18" s="112"/>
      <c r="B18" s="33"/>
      <c r="C18" s="34"/>
      <c r="D18" s="34"/>
      <c r="E18" s="34"/>
      <c r="F18" s="34"/>
      <c r="G18" s="34"/>
      <c r="H18" s="34"/>
      <c r="I18" s="34"/>
      <c r="J18" s="34"/>
      <c r="K18" s="34"/>
      <c r="L18" s="34"/>
      <c r="M18" s="34"/>
      <c r="N18" s="34"/>
      <c r="O18" s="34"/>
    </row>
    <row r="19" spans="1:16" x14ac:dyDescent="0.25">
      <c r="A19" s="112"/>
      <c r="B19" s="33"/>
      <c r="C19" s="34"/>
      <c r="D19" s="34"/>
      <c r="E19" s="34"/>
      <c r="F19" s="34"/>
      <c r="G19" s="34"/>
      <c r="H19" s="34"/>
      <c r="I19" s="34"/>
      <c r="J19" s="34"/>
      <c r="K19" s="34"/>
      <c r="L19" s="34"/>
      <c r="M19" s="34"/>
      <c r="N19" s="34"/>
      <c r="O19" s="34"/>
    </row>
    <row r="20" spans="1:16" x14ac:dyDescent="0.25">
      <c r="A20" s="112"/>
      <c r="B20" s="33"/>
      <c r="C20" s="34"/>
      <c r="D20" s="34"/>
      <c r="E20" s="34"/>
      <c r="F20" s="34"/>
      <c r="G20" s="34"/>
      <c r="H20" s="34"/>
      <c r="I20" s="34"/>
      <c r="J20" s="34"/>
      <c r="K20" s="34"/>
      <c r="L20" s="34"/>
      <c r="M20" s="34"/>
      <c r="N20" s="34"/>
      <c r="O20" s="34"/>
    </row>
    <row r="21" spans="1:16" x14ac:dyDescent="0.25">
      <c r="A21" s="112"/>
      <c r="B21" s="33"/>
      <c r="C21" s="34"/>
      <c r="D21" s="34"/>
      <c r="E21" s="34"/>
      <c r="F21" s="34"/>
      <c r="G21" s="34"/>
      <c r="H21" s="34"/>
      <c r="I21" s="34"/>
      <c r="J21" s="34"/>
      <c r="K21" s="34"/>
      <c r="L21" s="34"/>
      <c r="M21" s="34"/>
      <c r="N21" s="34"/>
      <c r="O21" s="34"/>
    </row>
    <row r="22" spans="1:16" x14ac:dyDescent="0.25">
      <c r="A22" s="112"/>
      <c r="B22" s="33"/>
      <c r="C22" s="34"/>
      <c r="D22" s="34"/>
      <c r="E22" s="34"/>
      <c r="F22" s="34"/>
      <c r="G22" s="34"/>
      <c r="H22" s="34"/>
      <c r="I22" s="34"/>
      <c r="J22" s="34"/>
      <c r="K22" s="34"/>
      <c r="L22" s="34"/>
      <c r="M22" s="34"/>
      <c r="N22" s="34"/>
      <c r="O22" s="34"/>
    </row>
    <row r="23" spans="1:16" s="1" customFormat="1" x14ac:dyDescent="0.25">
      <c r="A23" s="112"/>
      <c r="B23" s="33"/>
      <c r="C23" s="34"/>
      <c r="D23" s="34"/>
      <c r="E23" s="34"/>
      <c r="F23" s="34"/>
      <c r="G23" s="34"/>
      <c r="H23" s="34"/>
      <c r="I23" s="34"/>
      <c r="J23" s="34"/>
      <c r="K23" s="34"/>
      <c r="L23" s="34"/>
      <c r="M23" s="34"/>
      <c r="N23" s="34"/>
      <c r="O23" s="34"/>
      <c r="P23" s="7"/>
    </row>
    <row r="24" spans="1:16" x14ac:dyDescent="0.25">
      <c r="A24" s="112"/>
      <c r="B24" s="33"/>
      <c r="C24" s="34"/>
      <c r="D24" s="34"/>
      <c r="E24" s="34"/>
      <c r="F24" s="34"/>
      <c r="G24" s="34"/>
      <c r="H24" s="34"/>
      <c r="I24" s="34"/>
      <c r="J24" s="34"/>
      <c r="K24" s="34"/>
      <c r="L24" s="34"/>
      <c r="M24" s="34"/>
      <c r="N24" s="34"/>
      <c r="O24" s="34"/>
    </row>
    <row r="25" spans="1:16" x14ac:dyDescent="0.25">
      <c r="A25" s="112"/>
      <c r="B25" s="33"/>
      <c r="C25" s="34"/>
      <c r="D25" s="34"/>
      <c r="E25" s="34"/>
      <c r="F25" s="34"/>
      <c r="G25" s="34"/>
      <c r="H25" s="34"/>
      <c r="I25" s="34"/>
      <c r="J25" s="34"/>
      <c r="K25" s="34"/>
      <c r="L25" s="34"/>
      <c r="M25" s="34"/>
      <c r="N25" s="34"/>
      <c r="O25" s="34"/>
    </row>
    <row r="26" spans="1:16" x14ac:dyDescent="0.25">
      <c r="A26" s="112"/>
      <c r="B26" s="33"/>
      <c r="C26" s="34"/>
      <c r="D26" s="34"/>
      <c r="E26" s="34"/>
      <c r="F26" s="34"/>
      <c r="G26" s="34"/>
      <c r="H26" s="34"/>
      <c r="I26" s="34"/>
      <c r="J26" s="34"/>
      <c r="K26" s="34"/>
      <c r="L26" s="34"/>
      <c r="M26" s="34"/>
      <c r="N26" s="34"/>
      <c r="O26" s="34"/>
    </row>
    <row r="27" spans="1:16" x14ac:dyDescent="0.25">
      <c r="A27" s="112"/>
      <c r="B27" s="33"/>
      <c r="C27" s="34"/>
      <c r="D27" s="34"/>
      <c r="E27" s="34"/>
      <c r="F27" s="34"/>
      <c r="G27" s="34"/>
      <c r="H27" s="34"/>
      <c r="I27" s="34"/>
      <c r="J27" s="34"/>
      <c r="K27" s="34"/>
      <c r="L27" s="34"/>
      <c r="M27" s="34"/>
      <c r="N27" s="34"/>
      <c r="O27" s="34"/>
    </row>
    <row r="28" spans="1:16" x14ac:dyDescent="0.25">
      <c r="A28" s="112"/>
      <c r="B28" s="33"/>
      <c r="C28" s="34"/>
      <c r="D28" s="34"/>
      <c r="E28" s="34"/>
      <c r="F28" s="34"/>
      <c r="G28" s="34"/>
      <c r="H28" s="34"/>
      <c r="I28" s="34"/>
      <c r="J28" s="34"/>
      <c r="K28" s="34"/>
      <c r="L28" s="34"/>
      <c r="M28" s="34"/>
      <c r="N28" s="34"/>
      <c r="O28" s="34"/>
    </row>
    <row r="29" spans="1:16" x14ac:dyDescent="0.25">
      <c r="A29" s="112"/>
      <c r="B29" s="33"/>
      <c r="C29" s="34"/>
      <c r="D29" s="34"/>
      <c r="E29" s="34"/>
      <c r="F29" s="34"/>
      <c r="G29" s="34"/>
      <c r="H29" s="34"/>
      <c r="I29" s="34"/>
      <c r="J29" s="34"/>
      <c r="K29" s="34"/>
      <c r="L29" s="34"/>
      <c r="M29" s="34"/>
      <c r="N29" s="34"/>
      <c r="O29" s="34"/>
    </row>
    <row r="30" spans="1:16" x14ac:dyDescent="0.25">
      <c r="A30" s="112"/>
      <c r="B30" s="33"/>
      <c r="C30" s="34"/>
      <c r="D30" s="34"/>
      <c r="E30" s="34"/>
      <c r="F30" s="34"/>
      <c r="G30" s="34"/>
      <c r="H30" s="34"/>
      <c r="I30" s="34"/>
      <c r="J30" s="34"/>
      <c r="K30" s="34"/>
      <c r="L30" s="34"/>
      <c r="M30" s="34"/>
      <c r="N30" s="34"/>
      <c r="O30" s="34"/>
    </row>
    <row r="31" spans="1:16" x14ac:dyDescent="0.25">
      <c r="A31" s="112"/>
      <c r="B31" s="33"/>
      <c r="C31" s="34"/>
      <c r="D31" s="34"/>
      <c r="E31" s="34"/>
      <c r="F31" s="34"/>
      <c r="G31" s="34"/>
      <c r="H31" s="34"/>
      <c r="I31" s="34"/>
      <c r="J31" s="34"/>
      <c r="K31" s="34"/>
      <c r="L31" s="34"/>
      <c r="M31" s="34"/>
      <c r="N31" s="34"/>
      <c r="O31" s="34"/>
    </row>
    <row r="32" spans="1:16" x14ac:dyDescent="0.25">
      <c r="A32" s="112"/>
      <c r="B32" s="33"/>
      <c r="C32" s="34"/>
      <c r="D32" s="34"/>
      <c r="E32" s="34"/>
      <c r="F32" s="34"/>
      <c r="G32" s="34"/>
      <c r="H32" s="34"/>
      <c r="I32" s="34"/>
      <c r="J32" s="34"/>
      <c r="K32" s="34"/>
      <c r="L32" s="34"/>
      <c r="M32" s="34"/>
      <c r="N32" s="34"/>
      <c r="O32" s="34"/>
    </row>
    <row r="33" spans="1:19" x14ac:dyDescent="0.25">
      <c r="A33" s="112"/>
      <c r="B33" s="33"/>
      <c r="C33" s="34"/>
      <c r="D33" s="34"/>
      <c r="E33" s="34"/>
      <c r="F33" s="34"/>
      <c r="G33" s="34"/>
      <c r="H33" s="34"/>
      <c r="I33" s="34"/>
      <c r="J33" s="34"/>
      <c r="K33" s="34"/>
      <c r="L33" s="34"/>
      <c r="M33" s="34"/>
      <c r="N33" s="34"/>
      <c r="O33" s="34"/>
    </row>
    <row r="34" spans="1:19" x14ac:dyDescent="0.25">
      <c r="A34" s="112"/>
      <c r="B34" s="33"/>
      <c r="C34" s="34"/>
      <c r="D34" s="34"/>
      <c r="E34" s="34"/>
      <c r="F34" s="34"/>
      <c r="G34" s="34"/>
      <c r="H34" s="34"/>
      <c r="I34" s="34"/>
      <c r="J34" s="34"/>
      <c r="K34" s="34"/>
      <c r="L34" s="34"/>
      <c r="M34" s="34"/>
      <c r="N34" s="34"/>
      <c r="O34" s="34"/>
    </row>
    <row r="35" spans="1:19" x14ac:dyDescent="0.25">
      <c r="A35" s="112"/>
      <c r="B35" s="33"/>
      <c r="C35" s="34"/>
      <c r="D35" s="34"/>
      <c r="E35" s="34"/>
      <c r="F35" s="34"/>
      <c r="G35" s="34"/>
      <c r="H35" s="34"/>
      <c r="I35" s="34"/>
      <c r="J35" s="34"/>
      <c r="K35" s="34"/>
      <c r="L35" s="34"/>
      <c r="M35" s="34"/>
      <c r="N35" s="34"/>
      <c r="O35" s="34"/>
    </row>
    <row r="36" spans="1:19" x14ac:dyDescent="0.25">
      <c r="A36" s="112"/>
      <c r="B36" s="33"/>
      <c r="C36" s="34"/>
      <c r="D36" s="34"/>
      <c r="E36" s="34"/>
      <c r="F36" s="34"/>
      <c r="G36" s="34"/>
      <c r="H36" s="34"/>
      <c r="I36" s="34"/>
      <c r="J36" s="34"/>
      <c r="K36" s="34"/>
      <c r="L36" s="34"/>
      <c r="M36" s="34"/>
      <c r="N36" s="34"/>
      <c r="O36" s="34"/>
    </row>
    <row r="37" spans="1:19" x14ac:dyDescent="0.25">
      <c r="A37" s="112"/>
      <c r="B37" s="33"/>
      <c r="C37" s="34"/>
      <c r="D37" s="34"/>
      <c r="E37" s="34"/>
      <c r="F37" s="34"/>
      <c r="G37" s="34"/>
      <c r="H37" s="34"/>
      <c r="I37" s="34"/>
      <c r="J37" s="34"/>
      <c r="K37" s="34"/>
      <c r="L37" s="34"/>
      <c r="M37" s="34"/>
      <c r="N37" s="34"/>
      <c r="O37" s="34"/>
    </row>
    <row r="38" spans="1:19" x14ac:dyDescent="0.25">
      <c r="A38" s="112"/>
      <c r="B38" s="33"/>
      <c r="C38" s="34"/>
      <c r="D38" s="34"/>
      <c r="E38" s="34"/>
      <c r="F38" s="34"/>
      <c r="G38" s="34"/>
      <c r="H38" s="34"/>
      <c r="I38" s="34"/>
      <c r="J38" s="34"/>
      <c r="K38" s="34"/>
      <c r="L38" s="34"/>
      <c r="M38" s="34"/>
      <c r="N38" s="34"/>
      <c r="O38" s="34"/>
    </row>
    <row r="39" spans="1:19" x14ac:dyDescent="0.25">
      <c r="A39" s="112"/>
      <c r="B39" s="33"/>
      <c r="C39" s="34"/>
      <c r="D39" s="34"/>
      <c r="E39" s="34"/>
      <c r="F39" s="34"/>
      <c r="G39" s="34"/>
      <c r="H39" s="34"/>
      <c r="I39" s="34"/>
      <c r="J39" s="34"/>
      <c r="K39" s="34"/>
      <c r="L39" s="34"/>
      <c r="M39" s="34"/>
      <c r="N39" s="34"/>
      <c r="O39" s="34"/>
    </row>
    <row r="40" spans="1:19" x14ac:dyDescent="0.25">
      <c r="A40" s="112"/>
      <c r="B40" s="33"/>
      <c r="C40" s="34"/>
      <c r="D40" s="34"/>
      <c r="E40" s="34"/>
      <c r="F40" s="34"/>
      <c r="G40" s="34"/>
      <c r="H40" s="34"/>
      <c r="I40" s="34"/>
      <c r="J40" s="34"/>
      <c r="K40" s="34"/>
      <c r="L40" s="34"/>
      <c r="M40" s="34"/>
      <c r="N40" s="34"/>
      <c r="O40" s="34"/>
    </row>
    <row r="41" spans="1:19" x14ac:dyDescent="0.25">
      <c r="A41" s="112"/>
      <c r="B41" s="33"/>
      <c r="C41" s="34"/>
      <c r="D41" s="34"/>
      <c r="E41" s="34"/>
      <c r="F41" s="34"/>
      <c r="G41" s="34"/>
      <c r="H41" s="34"/>
      <c r="I41" s="34"/>
      <c r="J41" s="34"/>
      <c r="K41" s="34"/>
      <c r="L41" s="34"/>
      <c r="M41" s="34"/>
      <c r="N41" s="34"/>
      <c r="O41" s="34"/>
    </row>
    <row r="46" spans="1:19" s="110" customFormat="1" x14ac:dyDescent="0.25"/>
    <row r="47" spans="1:19" s="1" customFormat="1" x14ac:dyDescent="0.25">
      <c r="C47" s="11" t="str" cm="1">
        <f t="array" ref="C47:O47">Donnees_Brutes_60[[#Headers],[Connecteur 1]:[Connecteur 13]]</f>
        <v>Connecteur 1</v>
      </c>
      <c r="D47" s="11" t="str">
        <v>Connecteur 2</v>
      </c>
      <c r="E47" s="11" t="str">
        <v>Connecteur 3</v>
      </c>
      <c r="F47" s="11" t="str">
        <v>Connecteur 4</v>
      </c>
      <c r="G47" s="11" t="str">
        <v>Connecteur 5</v>
      </c>
      <c r="H47" s="11" t="str">
        <v>Connecteur 6</v>
      </c>
      <c r="I47" s="11" t="str">
        <v>Connecteur 7</v>
      </c>
      <c r="J47" s="11" t="str">
        <v>Connecteur 8</v>
      </c>
      <c r="K47" s="11" t="str">
        <v>Connecteur 9</v>
      </c>
      <c r="L47" s="11" t="str">
        <v>Connecteur 10</v>
      </c>
      <c r="M47" s="11" t="str">
        <v>Connecteur 11</v>
      </c>
      <c r="N47" s="11" t="str">
        <v>Connecteur 12</v>
      </c>
      <c r="O47" s="11" t="str">
        <v>Connecteur 13</v>
      </c>
      <c r="Q47" s="7"/>
    </row>
    <row r="48" spans="1:19" s="1" customFormat="1" x14ac:dyDescent="0.25">
      <c r="B48" s="12" t="s">
        <v>52</v>
      </c>
      <c r="C48" s="13" t="e">
        <f>MAX(C11:C41)</f>
        <v>#N/A</v>
      </c>
      <c r="D48" s="13" t="e">
        <f>MAX(D11:D41)</f>
        <v>#N/A</v>
      </c>
      <c r="E48" s="13" t="e">
        <f t="shared" ref="E48:O48" si="0">MAX(E11:E41)</f>
        <v>#N/A</v>
      </c>
      <c r="F48" s="13" t="e">
        <f t="shared" si="0"/>
        <v>#N/A</v>
      </c>
      <c r="G48" s="13" t="e">
        <f t="shared" si="0"/>
        <v>#N/A</v>
      </c>
      <c r="H48" s="13" t="e">
        <f t="shared" si="0"/>
        <v>#N/A</v>
      </c>
      <c r="I48" s="13" t="e">
        <f t="shared" si="0"/>
        <v>#N/A</v>
      </c>
      <c r="J48" s="13" t="e">
        <f t="shared" si="0"/>
        <v>#N/A</v>
      </c>
      <c r="K48" s="13" t="e">
        <f t="shared" si="0"/>
        <v>#N/A</v>
      </c>
      <c r="L48" s="13" t="e">
        <f t="shared" si="0"/>
        <v>#N/A</v>
      </c>
      <c r="M48" s="13" t="e">
        <f t="shared" si="0"/>
        <v>#N/A</v>
      </c>
      <c r="N48" s="13" t="e">
        <f t="shared" si="0"/>
        <v>#N/A</v>
      </c>
      <c r="O48" s="13" t="e">
        <f t="shared" si="0"/>
        <v>#N/A</v>
      </c>
      <c r="P48" s="28">
        <f>60+Mesures!B20</f>
        <v>65</v>
      </c>
      <c r="Q48" s="7"/>
      <c r="R48" s="10" t="s">
        <v>51</v>
      </c>
      <c r="S48" s="28" t="str">
        <f>"60°C"</f>
        <v>60°C</v>
      </c>
    </row>
    <row r="49" spans="2:19" s="1" customFormat="1" x14ac:dyDescent="0.25">
      <c r="B49" s="12" t="s">
        <v>54</v>
      </c>
      <c r="C49" s="13" t="e">
        <f>MIN(C11:C41)</f>
        <v>#N/A</v>
      </c>
      <c r="D49" s="13" t="e">
        <f t="shared" ref="D49:O49" si="1">MIN(D11:D41)</f>
        <v>#N/A</v>
      </c>
      <c r="E49" s="13" t="e">
        <f t="shared" si="1"/>
        <v>#N/A</v>
      </c>
      <c r="F49" s="13" t="e">
        <f t="shared" si="1"/>
        <v>#N/A</v>
      </c>
      <c r="G49" s="13" t="e">
        <f t="shared" si="1"/>
        <v>#N/A</v>
      </c>
      <c r="H49" s="13" t="e">
        <f t="shared" si="1"/>
        <v>#N/A</v>
      </c>
      <c r="I49" s="13" t="e">
        <f t="shared" si="1"/>
        <v>#N/A</v>
      </c>
      <c r="J49" s="13" t="e">
        <f t="shared" si="1"/>
        <v>#N/A</v>
      </c>
      <c r="K49" s="13" t="e">
        <f t="shared" si="1"/>
        <v>#N/A</v>
      </c>
      <c r="L49" s="13" t="e">
        <f t="shared" si="1"/>
        <v>#N/A</v>
      </c>
      <c r="M49" s="13" t="e">
        <f t="shared" si="1"/>
        <v>#N/A</v>
      </c>
      <c r="N49" s="13" t="e">
        <f t="shared" si="1"/>
        <v>#N/A</v>
      </c>
      <c r="O49" s="13" t="e">
        <f t="shared" si="1"/>
        <v>#N/A</v>
      </c>
      <c r="P49" s="28">
        <f>60-Mesures!B20</f>
        <v>55</v>
      </c>
      <c r="Q49" s="7"/>
      <c r="R49" s="10" t="s">
        <v>53</v>
      </c>
      <c r="S49" s="9" t="str">
        <f>"+" &amp; Mesures!B20 &amp; "°C"</f>
        <v>+5°C</v>
      </c>
    </row>
    <row r="50" spans="2:19" s="1" customFormat="1" x14ac:dyDescent="0.25">
      <c r="B50" s="12" t="s">
        <v>56</v>
      </c>
      <c r="C50" s="13" t="e">
        <f>AVERAGE(C11:C41)</f>
        <v>#N/A</v>
      </c>
      <c r="D50" s="13" t="e">
        <f t="shared" ref="D50:O50" si="2">AVERAGE(D11:D41)</f>
        <v>#N/A</v>
      </c>
      <c r="E50" s="13" t="e">
        <f t="shared" si="2"/>
        <v>#N/A</v>
      </c>
      <c r="F50" s="13" t="e">
        <f t="shared" si="2"/>
        <v>#N/A</v>
      </c>
      <c r="G50" s="13" t="e">
        <f t="shared" si="2"/>
        <v>#N/A</v>
      </c>
      <c r="H50" s="13" t="e">
        <f t="shared" si="2"/>
        <v>#N/A</v>
      </c>
      <c r="I50" s="13" t="e">
        <f t="shared" si="2"/>
        <v>#N/A</v>
      </c>
      <c r="J50" s="13" t="e">
        <f t="shared" si="2"/>
        <v>#N/A</v>
      </c>
      <c r="K50" s="13" t="e">
        <f t="shared" si="2"/>
        <v>#N/A</v>
      </c>
      <c r="L50" s="13" t="e">
        <f t="shared" si="2"/>
        <v>#N/A</v>
      </c>
      <c r="M50" s="13" t="e">
        <f t="shared" si="2"/>
        <v>#N/A</v>
      </c>
      <c r="N50" s="13" t="e">
        <f t="shared" si="2"/>
        <v>#N/A</v>
      </c>
      <c r="O50" s="13" t="e">
        <f t="shared" si="2"/>
        <v>#N/A</v>
      </c>
      <c r="P50" s="7"/>
      <c r="Q50" s="7"/>
      <c r="R50" s="10" t="s">
        <v>55</v>
      </c>
      <c r="S50" s="9" t="str">
        <f>"-" &amp; Mesures!B20 &amp; "°C"</f>
        <v>-5°C</v>
      </c>
    </row>
    <row r="51" spans="2:19" s="1" customFormat="1" x14ac:dyDescent="0.25">
      <c r="B51" s="12" t="s">
        <v>57</v>
      </c>
      <c r="C51" s="15" t="e">
        <f>C48-C49</f>
        <v>#N/A</v>
      </c>
      <c r="D51" s="15" t="e">
        <f t="shared" ref="D51:O51" si="3">D48-D49</f>
        <v>#N/A</v>
      </c>
      <c r="E51" s="15" t="e">
        <f t="shared" si="3"/>
        <v>#N/A</v>
      </c>
      <c r="F51" s="15" t="e">
        <f t="shared" si="3"/>
        <v>#N/A</v>
      </c>
      <c r="G51" s="15" t="e">
        <f t="shared" si="3"/>
        <v>#N/A</v>
      </c>
      <c r="H51" s="15" t="e">
        <f t="shared" si="3"/>
        <v>#N/A</v>
      </c>
      <c r="I51" s="15" t="e">
        <f t="shared" si="3"/>
        <v>#N/A</v>
      </c>
      <c r="J51" s="15" t="e">
        <f t="shared" si="3"/>
        <v>#N/A</v>
      </c>
      <c r="K51" s="15" t="e">
        <f t="shared" si="3"/>
        <v>#N/A</v>
      </c>
      <c r="L51" s="15" t="e">
        <f t="shared" si="3"/>
        <v>#N/A</v>
      </c>
      <c r="M51" s="15" t="e">
        <f t="shared" si="3"/>
        <v>#N/A</v>
      </c>
      <c r="N51" s="15" t="e">
        <f t="shared" si="3"/>
        <v>#N/A</v>
      </c>
      <c r="O51" s="15" t="e">
        <f t="shared" si="3"/>
        <v>#N/A</v>
      </c>
      <c r="P51" s="7"/>
    </row>
    <row r="52" spans="2:19" s="1" customFormat="1" x14ac:dyDescent="0.25">
      <c r="B52" s="12" t="s">
        <v>58</v>
      </c>
      <c r="C52" s="111" t="e">
        <f>ABS(MAX(C48:O48)-MIN(C49:O49))</f>
        <v>#N/A</v>
      </c>
      <c r="D52" s="111"/>
      <c r="E52" s="111"/>
      <c r="F52" s="111"/>
      <c r="G52" s="111"/>
      <c r="H52" s="111"/>
      <c r="I52" s="111"/>
      <c r="J52" s="111"/>
      <c r="K52" s="111"/>
      <c r="L52" s="111"/>
      <c r="M52" s="111"/>
      <c r="N52" s="111"/>
      <c r="O52" s="111"/>
      <c r="P52" s="7"/>
    </row>
    <row r="53" spans="2:19" s="1" customFormat="1" x14ac:dyDescent="0.25">
      <c r="B53" s="12" t="s">
        <v>59</v>
      </c>
      <c r="C53" s="111" t="e">
        <f>AVERAGE(C50:O50)</f>
        <v>#N/A</v>
      </c>
      <c r="D53" s="111"/>
      <c r="E53" s="111"/>
      <c r="F53" s="111"/>
      <c r="G53" s="111"/>
      <c r="H53" s="111"/>
      <c r="I53" s="111"/>
      <c r="J53" s="111"/>
      <c r="K53" s="111"/>
      <c r="L53" s="111"/>
      <c r="M53" s="111"/>
      <c r="N53" s="111"/>
      <c r="O53" s="111"/>
      <c r="P53" s="7"/>
    </row>
    <row r="54" spans="2:19" s="1" customFormat="1" x14ac:dyDescent="0.25">
      <c r="B54" s="10" t="s">
        <v>60</v>
      </c>
      <c r="C54" s="16" t="e">
        <f ca="1">STDEV(OFFSET(INDEX(Donnees_Brutes_60[Connecteur 1],1),COUNT(Donnees_Brutes_60[Connecteur 1])-30,0,30))+C5+C6</f>
        <v>#REF!</v>
      </c>
      <c r="D54" s="16" t="e">
        <f ca="1">STDEV(OFFSET(INDEX(Donnees_Brutes_60[Connecteur 2],1),COUNT(Donnees_Brutes_60[Connecteur 2])-30,0,30))+D5+D6</f>
        <v>#REF!</v>
      </c>
      <c r="E54" s="16" t="e">
        <f ca="1">STDEV(OFFSET(INDEX(Donnees_Brutes_60[Connecteur 3],1),COUNT(Donnees_Brutes_60[Connecteur 3])-30,0,30))+E5+E6</f>
        <v>#REF!</v>
      </c>
      <c r="F54" s="16" t="e">
        <f ca="1">STDEV(OFFSET(INDEX(Donnees_Brutes_60[Connecteur 4],1),COUNT(Donnees_Brutes_60[Connecteur 4])-30,0,30))+F5+F6</f>
        <v>#REF!</v>
      </c>
      <c r="G54" s="16" t="e">
        <f ca="1">STDEV(OFFSET(INDEX(Donnees_Brutes_60[Connecteur 5],1),COUNT(Donnees_Brutes_60[Connecteur 5])-30,0,30))+G5+G6</f>
        <v>#REF!</v>
      </c>
      <c r="H54" s="16" t="e">
        <f ca="1">STDEV(OFFSET(INDEX(Donnees_Brutes_60[Connecteur 6],1),COUNT(Donnees_Brutes_60[Connecteur 6])-30,0,30))+H5+H6</f>
        <v>#REF!</v>
      </c>
      <c r="I54" s="16" t="e">
        <f ca="1">STDEV(OFFSET(INDEX(Donnees_Brutes_60[Connecteur 7],1),COUNT(Donnees_Brutes_60[Connecteur 7])-30,0,30))+I5+I6</f>
        <v>#REF!</v>
      </c>
      <c r="J54" s="16" t="e">
        <f ca="1">STDEV(OFFSET(INDEX(Donnees_Brutes_60[Connecteur 8],1),COUNT(Donnees_Brutes_60[Connecteur 8])-30,0,30))+J5+J6</f>
        <v>#REF!</v>
      </c>
      <c r="K54" s="16" t="e">
        <f ca="1">STDEV(OFFSET(INDEX(Donnees_Brutes_60[Connecteur 9],1),COUNT(Donnees_Brutes_60[Connecteur 9])-30,0,30))+K5+K6</f>
        <v>#REF!</v>
      </c>
      <c r="L54" s="16" t="e">
        <f ca="1">STDEV(OFFSET(INDEX(Donnees_Brutes_60[Connecteur 10],1),COUNT(Donnees_Brutes_60[Connecteur 10])-30,0,30))+L5+L6</f>
        <v>#REF!</v>
      </c>
      <c r="M54" s="16" t="e">
        <f ca="1">STDEV(OFFSET(INDEX(Donnees_Brutes_60[Connecteur 11],1),COUNT(Donnees_Brutes_60[Connecteur 11])-30,0,30))+M5+M6</f>
        <v>#REF!</v>
      </c>
      <c r="N54" s="16" t="e">
        <f ca="1">STDEV(OFFSET(INDEX(Donnees_Brutes_60[Connecteur 12],1),COUNT(Donnees_Brutes_60[Connecteur 12])-30,0,30))+N5+N6</f>
        <v>#REF!</v>
      </c>
      <c r="O54" s="16" t="e">
        <f ca="1">STDEV(OFFSET(INDEX(Donnees_Brutes_60[Connecteur 13],1),COUNT(Donnees_Brutes_60[Connecteur 13])-30,0,30))+O5+O6</f>
        <v>#REF!</v>
      </c>
      <c r="P54" s="7"/>
    </row>
    <row r="55" spans="2:19" s="1" customFormat="1" x14ac:dyDescent="0.25">
      <c r="B55"/>
      <c r="C55"/>
      <c r="D55"/>
      <c r="E55"/>
      <c r="F55"/>
      <c r="G55"/>
      <c r="H55"/>
      <c r="I55"/>
      <c r="J55"/>
      <c r="K55"/>
      <c r="L55"/>
      <c r="M55"/>
      <c r="N55"/>
      <c r="O55"/>
      <c r="P55"/>
    </row>
  </sheetData>
  <sheetProtection algorithmName="SHA-512" hashValue="Hpx9iF3mHHXAFmzhbp9UUMKp4ecwvKdf9iPwDj2AT4yHbyVA7S1rFB42sCuXHh5J76yO1Yu7L0xOht/Bmh1Dbw==" saltValue="XbLXepC1DDD1CS6uYzjDvQ==" spinCount="100000" sheet="1" autoFilter="0"/>
  <mergeCells count="6">
    <mergeCell ref="A1:S3"/>
    <mergeCell ref="A9:N9"/>
    <mergeCell ref="A46:XFD46"/>
    <mergeCell ref="C52:O52"/>
    <mergeCell ref="C53:O53"/>
    <mergeCell ref="A11:A41"/>
  </mergeCells>
  <conditionalFormatting sqref="C48:O48">
    <cfRule type="cellIs" dxfId="19" priority="5" operator="greaterThan">
      <formula>$P$48</formula>
    </cfRule>
  </conditionalFormatting>
  <conditionalFormatting sqref="C49:O49">
    <cfRule type="cellIs" dxfId="18" priority="6" operator="lessThan">
      <formula>$P$49</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3735C-E4CA-43B4-B77D-F7149ACF8322}">
  <sheetPr codeName="Feuil6"/>
  <dimension ref="A1:S56"/>
  <sheetViews>
    <sheetView topLeftCell="A31" zoomScaleNormal="100" workbookViewId="0">
      <selection activeCell="M56" sqref="M56"/>
    </sheetView>
  </sheetViews>
  <sheetFormatPr baseColWidth="10" defaultRowHeight="15" x14ac:dyDescent="0.25"/>
  <cols>
    <col min="2" max="2" width="15" bestFit="1" customWidth="1"/>
    <col min="3" max="11" width="12.7109375" bestFit="1" customWidth="1"/>
    <col min="12" max="15" width="13.7109375" bestFit="1" customWidth="1"/>
    <col min="16" max="16" width="8.28515625" customWidth="1"/>
    <col min="17" max="18" width="15.28515625" bestFit="1" customWidth="1"/>
  </cols>
  <sheetData>
    <row r="1" spans="1:19" s="1" customFormat="1" x14ac:dyDescent="0.25">
      <c r="A1" s="108" t="str">
        <f>"150°C"</f>
        <v>150°C</v>
      </c>
      <c r="B1" s="108"/>
      <c r="C1" s="108"/>
      <c r="D1" s="108"/>
      <c r="E1" s="108"/>
      <c r="F1" s="108"/>
      <c r="G1" s="108"/>
      <c r="H1" s="108"/>
      <c r="I1" s="108"/>
      <c r="J1" s="108"/>
      <c r="K1" s="108"/>
      <c r="L1" s="108"/>
      <c r="M1" s="108"/>
      <c r="N1" s="108"/>
      <c r="O1" s="108"/>
      <c r="P1" s="108"/>
      <c r="Q1" s="108"/>
      <c r="R1" s="108"/>
      <c r="S1" s="108"/>
    </row>
    <row r="2" spans="1:19" s="1" customFormat="1" x14ac:dyDescent="0.25">
      <c r="A2" s="108"/>
      <c r="B2" s="108"/>
      <c r="C2" s="108"/>
      <c r="D2" s="108"/>
      <c r="E2" s="108"/>
      <c r="F2" s="108"/>
      <c r="G2" s="108"/>
      <c r="H2" s="108"/>
      <c r="I2" s="108"/>
      <c r="J2" s="108"/>
      <c r="K2" s="108"/>
      <c r="L2" s="108"/>
      <c r="M2" s="108"/>
      <c r="N2" s="108"/>
      <c r="O2" s="108"/>
      <c r="P2" s="108"/>
      <c r="Q2" s="108"/>
      <c r="R2" s="108"/>
      <c r="S2" s="108"/>
    </row>
    <row r="3" spans="1:19" s="1" customFormat="1" x14ac:dyDescent="0.25">
      <c r="A3" s="108"/>
      <c r="B3" s="108"/>
      <c r="C3" s="108"/>
      <c r="D3" s="108"/>
      <c r="E3" s="108"/>
      <c r="F3" s="108"/>
      <c r="G3" s="108"/>
      <c r="H3" s="108"/>
      <c r="I3" s="108"/>
      <c r="J3" s="108"/>
      <c r="K3" s="108"/>
      <c r="L3" s="108"/>
      <c r="M3" s="108"/>
      <c r="N3" s="108"/>
      <c r="O3" s="108"/>
      <c r="P3" s="108"/>
      <c r="Q3" s="108"/>
      <c r="R3" s="108"/>
      <c r="S3" s="108"/>
    </row>
    <row r="4" spans="1:19" s="1" customFormat="1" x14ac:dyDescent="0.25">
      <c r="P4" s="7"/>
    </row>
    <row r="5" spans="1:19" s="1" customFormat="1" x14ac:dyDescent="0.25">
      <c r="B5" s="8" t="s">
        <v>47</v>
      </c>
      <c r="C5" s="9" t="e">
        <f>_xlfn.XLOOKUP(INT(SUBSTITUTE(C47,"Connecteur ","")),Mesures!C23:C35,Mesures!E23:E35)</f>
        <v>#N/A</v>
      </c>
      <c r="D5" s="9" t="e">
        <f>_xlfn.XLOOKUP(INT(SUBSTITUTE(D47,"Connecteur ","")),Mesures!C23:C35,Mesures!E23:E35)</f>
        <v>#N/A</v>
      </c>
      <c r="E5" s="9" t="e">
        <f>_xlfn.XLOOKUP(INT(SUBSTITUTE(E47,"Connecteur ","")),Mesures!C23:C35,Mesures!E23:E35)</f>
        <v>#N/A</v>
      </c>
      <c r="F5" s="9" t="e">
        <f>_xlfn.XLOOKUP(INT(SUBSTITUTE(F47,"Connecteur ","")),Mesures!C23:C35,Mesures!E23:E35)</f>
        <v>#N/A</v>
      </c>
      <c r="G5" s="9" t="e">
        <f>_xlfn.XLOOKUP(INT(SUBSTITUTE(G47,"Connecteur ","")),Mesures!C23:C35,Mesures!E23:E35)</f>
        <v>#N/A</v>
      </c>
      <c r="H5" s="9" t="e">
        <f>_xlfn.XLOOKUP(INT(SUBSTITUTE(H47,"Connecteur ","")),Mesures!C23:C35,Mesures!E23:E35)</f>
        <v>#N/A</v>
      </c>
      <c r="I5" s="9" t="e">
        <f>_xlfn.XLOOKUP(INT(SUBSTITUTE(I47,"Connecteur ","")),Mesures!C23:C35,Mesures!E23:E35)</f>
        <v>#N/A</v>
      </c>
      <c r="J5" s="9" t="e">
        <f>_xlfn.XLOOKUP(INT(SUBSTITUTE(J47,"Connecteur ","")),Mesures!C23:C35,Mesures!E23:E35)</f>
        <v>#N/A</v>
      </c>
      <c r="K5" s="9" t="e">
        <f>_xlfn.XLOOKUP(INT(SUBSTITUTE(K47,"Connecteur ","")),Mesures!C23:C35,Mesures!E23:E35)</f>
        <v>#N/A</v>
      </c>
      <c r="L5" s="9" t="e">
        <f>_xlfn.XLOOKUP(INT(SUBSTITUTE(L47,"Connecteur ","")),Mesures!C23:C35,Mesures!E23:E35)</f>
        <v>#N/A</v>
      </c>
      <c r="M5" s="9" t="e">
        <f>_xlfn.XLOOKUP(INT(SUBSTITUTE(M47,"Connecteur ","")),Mesures!C23:C35,Mesures!E23:E35)</f>
        <v>#N/A</v>
      </c>
      <c r="N5" s="9" t="e">
        <f>_xlfn.XLOOKUP(INT(SUBSTITUTE(N47,"Connecteur ","")),Mesures!C23:C35,Mesures!E23:E35)</f>
        <v>#N/A</v>
      </c>
      <c r="O5" s="9" t="e">
        <f>_xlfn.XLOOKUP(INT(SUBSTITUTE(O47,"Connecteur ","")),Mesures!C23:C35,Mesures!E23:E35)</f>
        <v>#N/A</v>
      </c>
      <c r="P5" s="7"/>
    </row>
    <row r="6" spans="1:19" s="1" customFormat="1" x14ac:dyDescent="0.25">
      <c r="B6" s="8" t="s">
        <v>48</v>
      </c>
      <c r="C6" s="9" t="e">
        <f>_xlfn.XLOOKUP(INT(SUBSTITUTE(C47,"Connecteur ","")),Mesures!C23:C35,Mesures!H23:H35)</f>
        <v>#N/A</v>
      </c>
      <c r="D6" s="9" t="e">
        <f>_xlfn.XLOOKUP(INT(SUBSTITUTE(D47,"Connecteur ","")),Mesures!C23:C35,Mesures!H23:H35)</f>
        <v>#N/A</v>
      </c>
      <c r="E6" s="9" t="e">
        <f>_xlfn.XLOOKUP(INT(SUBSTITUTE(E47,"Connecteur ","")),Mesures!C23:C35,Mesures!H23:H35)</f>
        <v>#N/A</v>
      </c>
      <c r="F6" s="9" t="e">
        <f>_xlfn.XLOOKUP(INT(SUBSTITUTE(F47,"Connecteur ","")),Mesures!C23:C35,Mesures!H23:H35)</f>
        <v>#N/A</v>
      </c>
      <c r="G6" s="9" t="e">
        <f>_xlfn.XLOOKUP(INT(SUBSTITUTE(G47,"Connecteur ","")),Mesures!C23:C35,Mesures!H23:H35)</f>
        <v>#N/A</v>
      </c>
      <c r="H6" s="9" t="e">
        <f>_xlfn.XLOOKUP(INT(SUBSTITUTE(H47,"Connecteur ","")),Mesures!C23:C35,Mesures!H23:H35)</f>
        <v>#N/A</v>
      </c>
      <c r="I6" s="9" t="e">
        <f>_xlfn.XLOOKUP(INT(SUBSTITUTE(I47,"Connecteur ","")),Mesures!C23:C35,Mesures!H23:H35)</f>
        <v>#N/A</v>
      </c>
      <c r="J6" s="9" t="e">
        <f>_xlfn.XLOOKUP(INT(SUBSTITUTE(J47,"Connecteur ","")),Mesures!C23:C35,Mesures!H23:H35)</f>
        <v>#N/A</v>
      </c>
      <c r="K6" s="9" t="e">
        <f>_xlfn.XLOOKUP(INT(SUBSTITUTE(K47,"Connecteur ","")),Mesures!C23:C35,Mesures!H23:H35)</f>
        <v>#N/A</v>
      </c>
      <c r="L6" s="9" t="e">
        <f>_xlfn.XLOOKUP(INT(SUBSTITUTE(L47,"Connecteur ","")),Mesures!C23:C35,Mesures!H23:H35)</f>
        <v>#N/A</v>
      </c>
      <c r="M6" s="9" t="e">
        <f>_xlfn.XLOOKUP(INT(SUBSTITUTE(M47,"Connecteur ","")),Mesures!C23:C35,Mesures!H23:H35)</f>
        <v>#N/A</v>
      </c>
      <c r="N6" s="9" t="e">
        <f>_xlfn.XLOOKUP(INT(SUBSTITUTE(N47,"Connecteur ","")),Mesures!C23:C35,Mesures!H23:H35)</f>
        <v>#N/A</v>
      </c>
      <c r="O6" s="9" t="e">
        <f>_xlfn.XLOOKUP(INT(SUBSTITUTE(O47,"Connecteur ","")),Mesures!C23:C35,Mesures!H23:H35)</f>
        <v>#N/A</v>
      </c>
      <c r="P6" s="7"/>
    </row>
    <row r="7" spans="1:19" s="1" customFormat="1" x14ac:dyDescent="0.25">
      <c r="P7" s="7"/>
    </row>
    <row r="8" spans="1:19" s="1" customFormat="1" x14ac:dyDescent="0.25">
      <c r="P8" s="7"/>
    </row>
    <row r="9" spans="1:19" s="1" customFormat="1" x14ac:dyDescent="0.25">
      <c r="A9" s="118" t="s">
        <v>49</v>
      </c>
      <c r="B9" s="118"/>
      <c r="C9" s="118"/>
      <c r="D9" s="118"/>
      <c r="E9" s="118"/>
      <c r="F9" s="118"/>
      <c r="G9" s="118"/>
      <c r="H9" s="118"/>
      <c r="I9" s="118"/>
      <c r="J9" s="118"/>
      <c r="K9" s="118"/>
      <c r="L9" s="118"/>
      <c r="M9" s="118"/>
      <c r="N9" s="118"/>
      <c r="P9" s="7"/>
    </row>
    <row r="10" spans="1:19" s="1" customFormat="1" x14ac:dyDescent="0.25">
      <c r="A10" s="7"/>
      <c r="B10" s="8" t="str">
        <f>Donnees_Brutes_150[[#Headers],[Date/Heure]]</f>
        <v>Date/Heure</v>
      </c>
      <c r="C10" s="10" t="str" cm="1">
        <f t="array" ref="C10:O10">Donnees_Brutes_150[[#Headers],[Connecteur 1]:[Connecteur 13]]</f>
        <v>Connecteur 1</v>
      </c>
      <c r="D10" s="10" t="str">
        <v>Connecteur 2</v>
      </c>
      <c r="E10" s="10" t="str">
        <v>Connecteur 3</v>
      </c>
      <c r="F10" s="10" t="str">
        <v>Connecteur 4</v>
      </c>
      <c r="G10" s="10" t="str">
        <v>Connecteur 5</v>
      </c>
      <c r="H10" s="10" t="str">
        <v>Connecteur 6</v>
      </c>
      <c r="I10" s="10" t="str">
        <v>Connecteur 7</v>
      </c>
      <c r="J10" s="10" t="str">
        <v>Connecteur 8</v>
      </c>
      <c r="K10" s="10" t="str">
        <v>Connecteur 9</v>
      </c>
      <c r="L10" s="10" t="str">
        <v>Connecteur 10</v>
      </c>
      <c r="M10" s="10" t="str">
        <v>Connecteur 11</v>
      </c>
      <c r="N10" s="10" t="str">
        <v>Connecteur 12</v>
      </c>
      <c r="O10" s="10" t="str">
        <v>Connecteur 13</v>
      </c>
      <c r="P10" s="7"/>
    </row>
    <row r="11" spans="1:19" s="1" customFormat="1" ht="13.5" customHeight="1" x14ac:dyDescent="0.25">
      <c r="A11" s="116" t="s">
        <v>50</v>
      </c>
      <c r="B11" s="33" cm="1">
        <f t="array" ref="B11">Donnees_Brutes_150[Date/Heure]</f>
        <v>0</v>
      </c>
      <c r="C11" s="34" t="e" cm="1">
        <f t="array" ref="C11:O11">Donnees_Brutes_150[[Connecteur 1]:[Connecteur 13]] + C5:O5 +C6:O6</f>
        <v>#N/A</v>
      </c>
      <c r="D11" s="34" t="e">
        <v>#N/A</v>
      </c>
      <c r="E11" s="34" t="e">
        <v>#N/A</v>
      </c>
      <c r="F11" s="34" t="e">
        <v>#N/A</v>
      </c>
      <c r="G11" s="34" t="e">
        <v>#N/A</v>
      </c>
      <c r="H11" s="34" t="e">
        <v>#N/A</v>
      </c>
      <c r="I11" s="34" t="e">
        <v>#N/A</v>
      </c>
      <c r="J11" s="34" t="e">
        <v>#N/A</v>
      </c>
      <c r="K11" s="34" t="e">
        <v>#N/A</v>
      </c>
      <c r="L11" s="34" t="e">
        <v>#N/A</v>
      </c>
      <c r="M11" s="34" t="e">
        <v>#N/A</v>
      </c>
      <c r="N11" s="34" t="e">
        <v>#N/A</v>
      </c>
      <c r="O11" s="34" t="e">
        <v>#N/A</v>
      </c>
      <c r="P11" s="7"/>
    </row>
    <row r="12" spans="1:19" s="1" customFormat="1" x14ac:dyDescent="0.25">
      <c r="A12" s="117"/>
      <c r="B12" s="33"/>
      <c r="C12" s="34"/>
      <c r="D12" s="34"/>
      <c r="E12" s="34"/>
      <c r="F12" s="34"/>
      <c r="G12" s="34"/>
      <c r="H12" s="34"/>
      <c r="I12" s="34"/>
      <c r="J12" s="34"/>
      <c r="K12" s="34"/>
      <c r="L12" s="34"/>
      <c r="M12" s="34"/>
      <c r="N12" s="34"/>
      <c r="O12" s="34"/>
      <c r="P12" s="7"/>
    </row>
    <row r="13" spans="1:19" x14ac:dyDescent="0.25">
      <c r="A13" s="117"/>
      <c r="B13" s="33"/>
      <c r="C13" s="34"/>
      <c r="D13" s="34"/>
      <c r="E13" s="34"/>
      <c r="F13" s="34"/>
      <c r="G13" s="34"/>
      <c r="H13" s="34"/>
      <c r="I13" s="34"/>
      <c r="J13" s="34"/>
      <c r="K13" s="34"/>
      <c r="L13" s="34"/>
      <c r="M13" s="34"/>
      <c r="N13" s="34"/>
      <c r="O13" s="34"/>
    </row>
    <row r="14" spans="1:19" x14ac:dyDescent="0.25">
      <c r="A14" s="117"/>
      <c r="B14" s="33"/>
      <c r="C14" s="34"/>
      <c r="D14" s="34"/>
      <c r="E14" s="34"/>
      <c r="F14" s="34"/>
      <c r="G14" s="34"/>
      <c r="H14" s="34"/>
      <c r="I14" s="34"/>
      <c r="J14" s="34"/>
      <c r="K14" s="34"/>
      <c r="L14" s="34"/>
      <c r="M14" s="34"/>
      <c r="N14" s="34"/>
      <c r="O14" s="34"/>
    </row>
    <row r="15" spans="1:19" x14ac:dyDescent="0.25">
      <c r="A15" s="117"/>
      <c r="B15" s="33"/>
      <c r="C15" s="34"/>
      <c r="D15" s="34"/>
      <c r="E15" s="34"/>
      <c r="F15" s="34"/>
      <c r="G15" s="34"/>
      <c r="H15" s="34"/>
      <c r="I15" s="34"/>
      <c r="J15" s="34"/>
      <c r="K15" s="34"/>
      <c r="L15" s="34"/>
      <c r="M15" s="34"/>
      <c r="N15" s="34"/>
      <c r="O15" s="34"/>
    </row>
    <row r="16" spans="1:19" x14ac:dyDescent="0.25">
      <c r="A16" s="117"/>
      <c r="B16" s="33"/>
      <c r="C16" s="34"/>
      <c r="D16" s="34"/>
      <c r="E16" s="34"/>
      <c r="F16" s="34"/>
      <c r="G16" s="34"/>
      <c r="H16" s="34"/>
      <c r="I16" s="34"/>
      <c r="J16" s="34"/>
      <c r="K16" s="34"/>
      <c r="L16" s="34"/>
      <c r="M16" s="34"/>
      <c r="N16" s="34"/>
      <c r="O16" s="34"/>
    </row>
    <row r="17" spans="1:16" x14ac:dyDescent="0.25">
      <c r="A17" s="117"/>
      <c r="B17" s="33"/>
      <c r="C17" s="34"/>
      <c r="D17" s="34"/>
      <c r="E17" s="34"/>
      <c r="F17" s="34"/>
      <c r="G17" s="34"/>
      <c r="H17" s="34"/>
      <c r="I17" s="34"/>
      <c r="J17" s="34"/>
      <c r="K17" s="34"/>
      <c r="L17" s="34"/>
      <c r="M17" s="34"/>
      <c r="N17" s="34"/>
      <c r="O17" s="34"/>
    </row>
    <row r="18" spans="1:16" x14ac:dyDescent="0.25">
      <c r="A18" s="117"/>
      <c r="B18" s="33"/>
      <c r="C18" s="34"/>
      <c r="D18" s="34"/>
      <c r="E18" s="34"/>
      <c r="F18" s="34"/>
      <c r="G18" s="34"/>
      <c r="H18" s="34"/>
      <c r="I18" s="34"/>
      <c r="J18" s="34"/>
      <c r="K18" s="34"/>
      <c r="L18" s="34"/>
      <c r="M18" s="34"/>
      <c r="N18" s="34"/>
      <c r="O18" s="34"/>
    </row>
    <row r="19" spans="1:16" x14ac:dyDescent="0.25">
      <c r="A19" s="117"/>
      <c r="B19" s="33"/>
      <c r="C19" s="34"/>
      <c r="D19" s="34"/>
      <c r="E19" s="34"/>
      <c r="F19" s="34"/>
      <c r="G19" s="34"/>
      <c r="H19" s="34"/>
      <c r="I19" s="34"/>
      <c r="J19" s="34"/>
      <c r="K19" s="34"/>
      <c r="L19" s="34"/>
      <c r="M19" s="34"/>
      <c r="N19" s="34"/>
      <c r="O19" s="34"/>
    </row>
    <row r="20" spans="1:16" x14ac:dyDescent="0.25">
      <c r="A20" s="117"/>
      <c r="B20" s="33"/>
      <c r="C20" s="34"/>
      <c r="D20" s="34"/>
      <c r="E20" s="34"/>
      <c r="F20" s="34"/>
      <c r="G20" s="34"/>
      <c r="H20" s="34"/>
      <c r="I20" s="34"/>
      <c r="J20" s="34"/>
      <c r="K20" s="34"/>
      <c r="L20" s="34"/>
      <c r="M20" s="34"/>
      <c r="N20" s="34"/>
      <c r="O20" s="34"/>
    </row>
    <row r="21" spans="1:16" x14ac:dyDescent="0.25">
      <c r="A21" s="117"/>
      <c r="B21" s="33"/>
      <c r="C21" s="34"/>
      <c r="D21" s="34"/>
      <c r="E21" s="34"/>
      <c r="F21" s="34"/>
      <c r="G21" s="34"/>
      <c r="H21" s="34"/>
      <c r="I21" s="34"/>
      <c r="J21" s="34"/>
      <c r="K21" s="34"/>
      <c r="L21" s="34"/>
      <c r="M21" s="34"/>
      <c r="N21" s="34"/>
      <c r="O21" s="34"/>
    </row>
    <row r="22" spans="1:16" s="1" customFormat="1" x14ac:dyDescent="0.25">
      <c r="A22" s="117"/>
      <c r="B22" s="33"/>
      <c r="C22" s="34"/>
      <c r="D22" s="34"/>
      <c r="E22" s="34"/>
      <c r="F22" s="34"/>
      <c r="G22" s="34"/>
      <c r="H22" s="34"/>
      <c r="I22" s="34"/>
      <c r="J22" s="34"/>
      <c r="K22" s="34"/>
      <c r="L22" s="34"/>
      <c r="M22" s="34"/>
      <c r="N22" s="34"/>
      <c r="O22" s="34"/>
      <c r="P22" s="7"/>
    </row>
    <row r="23" spans="1:16" s="1" customFormat="1" x14ac:dyDescent="0.25">
      <c r="A23" s="117"/>
      <c r="B23" s="33"/>
      <c r="C23" s="34"/>
      <c r="D23" s="34"/>
      <c r="E23" s="34"/>
      <c r="F23" s="34"/>
      <c r="G23" s="34"/>
      <c r="H23" s="34"/>
      <c r="I23" s="34"/>
      <c r="J23" s="34"/>
      <c r="K23" s="34"/>
      <c r="L23" s="34"/>
      <c r="M23" s="34"/>
      <c r="N23" s="34"/>
      <c r="O23" s="34"/>
      <c r="P23" s="7"/>
    </row>
    <row r="24" spans="1:16" x14ac:dyDescent="0.25">
      <c r="A24" s="117"/>
      <c r="B24" s="33"/>
      <c r="C24" s="34"/>
      <c r="D24" s="34"/>
      <c r="E24" s="34"/>
      <c r="F24" s="34"/>
      <c r="G24" s="34"/>
      <c r="H24" s="34"/>
      <c r="I24" s="34"/>
      <c r="J24" s="34"/>
      <c r="K24" s="34"/>
      <c r="L24" s="34"/>
      <c r="M24" s="34"/>
      <c r="N24" s="34"/>
      <c r="O24" s="34"/>
    </row>
    <row r="25" spans="1:16" x14ac:dyDescent="0.25">
      <c r="A25" s="117"/>
      <c r="B25" s="33"/>
      <c r="C25" s="34"/>
      <c r="D25" s="34"/>
      <c r="E25" s="34"/>
      <c r="F25" s="34"/>
      <c r="G25" s="34"/>
      <c r="H25" s="34"/>
      <c r="I25" s="34"/>
      <c r="J25" s="34"/>
      <c r="K25" s="34"/>
      <c r="L25" s="34"/>
      <c r="M25" s="34"/>
      <c r="N25" s="34"/>
      <c r="O25" s="34"/>
    </row>
    <row r="26" spans="1:16" x14ac:dyDescent="0.25">
      <c r="A26" s="117"/>
      <c r="B26" s="33"/>
      <c r="C26" s="34"/>
      <c r="D26" s="34"/>
      <c r="E26" s="34"/>
      <c r="F26" s="34"/>
      <c r="G26" s="34"/>
      <c r="H26" s="34"/>
      <c r="I26" s="34"/>
      <c r="J26" s="34"/>
      <c r="K26" s="34"/>
      <c r="L26" s="34"/>
      <c r="M26" s="34"/>
      <c r="N26" s="34"/>
      <c r="O26" s="34"/>
    </row>
    <row r="27" spans="1:16" x14ac:dyDescent="0.25">
      <c r="A27" s="117"/>
      <c r="B27" s="33"/>
      <c r="C27" s="34"/>
      <c r="D27" s="34"/>
      <c r="E27" s="34"/>
      <c r="F27" s="34"/>
      <c r="G27" s="34"/>
      <c r="H27" s="34"/>
      <c r="I27" s="34"/>
      <c r="J27" s="34"/>
      <c r="K27" s="34"/>
      <c r="L27" s="34"/>
      <c r="M27" s="34"/>
      <c r="N27" s="34"/>
      <c r="O27" s="34"/>
    </row>
    <row r="28" spans="1:16" x14ac:dyDescent="0.25">
      <c r="A28" s="117"/>
      <c r="B28" s="33"/>
      <c r="C28" s="34"/>
      <c r="D28" s="34"/>
      <c r="E28" s="34"/>
      <c r="F28" s="34"/>
      <c r="G28" s="34"/>
      <c r="H28" s="34"/>
      <c r="I28" s="34"/>
      <c r="J28" s="34"/>
      <c r="K28" s="34"/>
      <c r="L28" s="34"/>
      <c r="M28" s="34"/>
      <c r="N28" s="34"/>
      <c r="O28" s="34"/>
    </row>
    <row r="29" spans="1:16" x14ac:dyDescent="0.25">
      <c r="A29" s="117"/>
      <c r="B29" s="33"/>
      <c r="C29" s="34"/>
      <c r="D29" s="34"/>
      <c r="E29" s="34"/>
      <c r="F29" s="34"/>
      <c r="G29" s="34"/>
      <c r="H29" s="34"/>
      <c r="I29" s="34"/>
      <c r="J29" s="34"/>
      <c r="K29" s="34"/>
      <c r="L29" s="34"/>
      <c r="M29" s="34"/>
      <c r="N29" s="34"/>
      <c r="O29" s="34"/>
    </row>
    <row r="30" spans="1:16" x14ac:dyDescent="0.25">
      <c r="A30" s="117"/>
      <c r="B30" s="33"/>
      <c r="C30" s="34"/>
      <c r="D30" s="34"/>
      <c r="E30" s="34"/>
      <c r="F30" s="34"/>
      <c r="G30" s="34"/>
      <c r="H30" s="34"/>
      <c r="I30" s="34"/>
      <c r="J30" s="34"/>
      <c r="K30" s="34"/>
      <c r="L30" s="34"/>
      <c r="M30" s="34"/>
      <c r="N30" s="34"/>
      <c r="O30" s="34"/>
    </row>
    <row r="31" spans="1:16" x14ac:dyDescent="0.25">
      <c r="A31" s="117"/>
      <c r="B31" s="33"/>
      <c r="C31" s="34"/>
      <c r="D31" s="34"/>
      <c r="E31" s="34"/>
      <c r="F31" s="34"/>
      <c r="G31" s="34"/>
      <c r="H31" s="34"/>
      <c r="I31" s="34"/>
      <c r="J31" s="34"/>
      <c r="K31" s="34"/>
      <c r="L31" s="34"/>
      <c r="M31" s="34"/>
      <c r="N31" s="34"/>
      <c r="O31" s="34"/>
    </row>
    <row r="32" spans="1:16" x14ac:dyDescent="0.25">
      <c r="A32" s="117"/>
      <c r="B32" s="33"/>
      <c r="C32" s="34"/>
      <c r="D32" s="34"/>
      <c r="E32" s="34"/>
      <c r="F32" s="34"/>
      <c r="G32" s="34"/>
      <c r="H32" s="34"/>
      <c r="I32" s="34"/>
      <c r="J32" s="34"/>
      <c r="K32" s="34"/>
      <c r="L32" s="34"/>
      <c r="M32" s="34"/>
      <c r="N32" s="34"/>
      <c r="O32" s="34"/>
    </row>
    <row r="33" spans="1:19" x14ac:dyDescent="0.25">
      <c r="A33" s="117"/>
      <c r="B33" s="33"/>
      <c r="C33" s="34"/>
      <c r="D33" s="34"/>
      <c r="E33" s="34"/>
      <c r="F33" s="34"/>
      <c r="G33" s="34"/>
      <c r="H33" s="34"/>
      <c r="I33" s="34"/>
      <c r="J33" s="34"/>
      <c r="K33" s="34"/>
      <c r="L33" s="34"/>
      <c r="M33" s="34"/>
      <c r="N33" s="34"/>
      <c r="O33" s="34"/>
    </row>
    <row r="34" spans="1:19" x14ac:dyDescent="0.25">
      <c r="A34" s="117"/>
      <c r="B34" s="33"/>
      <c r="C34" s="34"/>
      <c r="D34" s="34"/>
      <c r="E34" s="34"/>
      <c r="F34" s="34"/>
      <c r="G34" s="34"/>
      <c r="H34" s="34"/>
      <c r="I34" s="34"/>
      <c r="J34" s="34"/>
      <c r="K34" s="34"/>
      <c r="L34" s="34"/>
      <c r="M34" s="34"/>
      <c r="N34" s="34"/>
      <c r="O34" s="34"/>
    </row>
    <row r="35" spans="1:19" x14ac:dyDescent="0.25">
      <c r="A35" s="117"/>
      <c r="B35" s="33"/>
      <c r="C35" s="34"/>
      <c r="D35" s="34"/>
      <c r="E35" s="34"/>
      <c r="F35" s="34"/>
      <c r="G35" s="34"/>
      <c r="H35" s="34"/>
      <c r="I35" s="34"/>
      <c r="J35" s="34"/>
      <c r="K35" s="34"/>
      <c r="L35" s="34"/>
      <c r="M35" s="34"/>
      <c r="N35" s="34"/>
      <c r="O35" s="34"/>
    </row>
    <row r="36" spans="1:19" x14ac:dyDescent="0.25">
      <c r="A36" s="117"/>
      <c r="B36" s="33"/>
      <c r="C36" s="34"/>
      <c r="D36" s="34"/>
      <c r="E36" s="34"/>
      <c r="F36" s="34"/>
      <c r="G36" s="34"/>
      <c r="H36" s="34"/>
      <c r="I36" s="34"/>
      <c r="J36" s="34"/>
      <c r="K36" s="34"/>
      <c r="L36" s="34"/>
      <c r="M36" s="34"/>
      <c r="N36" s="34"/>
      <c r="O36" s="34"/>
    </row>
    <row r="37" spans="1:19" x14ac:dyDescent="0.25">
      <c r="A37" s="117"/>
      <c r="B37" s="33"/>
      <c r="C37" s="34"/>
      <c r="D37" s="34"/>
      <c r="E37" s="34"/>
      <c r="F37" s="34"/>
      <c r="G37" s="34"/>
      <c r="H37" s="34"/>
      <c r="I37" s="34"/>
      <c r="J37" s="34"/>
      <c r="K37" s="34"/>
      <c r="L37" s="34"/>
      <c r="M37" s="34"/>
      <c r="N37" s="34"/>
      <c r="O37" s="34"/>
    </row>
    <row r="38" spans="1:19" x14ac:dyDescent="0.25">
      <c r="A38" s="117"/>
      <c r="B38" s="33"/>
      <c r="C38" s="34"/>
      <c r="D38" s="34"/>
      <c r="E38" s="34"/>
      <c r="F38" s="34"/>
      <c r="G38" s="34"/>
      <c r="H38" s="34"/>
      <c r="I38" s="34"/>
      <c r="J38" s="34"/>
      <c r="K38" s="34"/>
      <c r="L38" s="34"/>
      <c r="M38" s="34"/>
      <c r="N38" s="34"/>
      <c r="O38" s="34"/>
    </row>
    <row r="39" spans="1:19" x14ac:dyDescent="0.25">
      <c r="A39" s="117"/>
      <c r="B39" s="33"/>
      <c r="C39" s="34"/>
      <c r="D39" s="34"/>
      <c r="E39" s="34"/>
      <c r="F39" s="34"/>
      <c r="G39" s="34"/>
      <c r="H39" s="34"/>
      <c r="I39" s="34"/>
      <c r="J39" s="34"/>
      <c r="K39" s="34"/>
      <c r="L39" s="34"/>
      <c r="M39" s="34"/>
      <c r="N39" s="34"/>
      <c r="O39" s="34"/>
    </row>
    <row r="40" spans="1:19" x14ac:dyDescent="0.25">
      <c r="A40" s="117"/>
      <c r="B40" s="33"/>
      <c r="C40" s="34"/>
      <c r="D40" s="34"/>
      <c r="E40" s="34"/>
      <c r="F40" s="34"/>
      <c r="G40" s="34"/>
      <c r="H40" s="34"/>
      <c r="I40" s="34"/>
      <c r="J40" s="34"/>
      <c r="K40" s="34"/>
      <c r="L40" s="34"/>
      <c r="M40" s="34"/>
      <c r="N40" s="34"/>
      <c r="O40" s="34"/>
    </row>
    <row r="41" spans="1:19" x14ac:dyDescent="0.25">
      <c r="A41" s="117"/>
      <c r="B41" s="33"/>
      <c r="C41" s="34"/>
      <c r="D41" s="34"/>
      <c r="E41" s="34"/>
      <c r="F41" s="34"/>
      <c r="G41" s="34"/>
      <c r="H41" s="34"/>
      <c r="I41" s="34"/>
      <c r="J41" s="34"/>
      <c r="K41" s="34"/>
      <c r="L41" s="34"/>
      <c r="M41" s="34"/>
      <c r="N41" s="34"/>
      <c r="O41" s="34"/>
    </row>
    <row r="46" spans="1:19" s="110" customFormat="1" x14ac:dyDescent="0.25"/>
    <row r="47" spans="1:19" x14ac:dyDescent="0.25">
      <c r="A47" s="1"/>
      <c r="B47" s="1"/>
      <c r="C47" s="11" t="str" cm="1">
        <f t="array" ref="C47:O47">Donnees_Brutes_150[[#Headers],[Connecteur 1]:[Connecteur 13]]</f>
        <v>Connecteur 1</v>
      </c>
      <c r="D47" s="11" t="str">
        <v>Connecteur 2</v>
      </c>
      <c r="E47" s="11" t="str">
        <v>Connecteur 3</v>
      </c>
      <c r="F47" s="11" t="str">
        <v>Connecteur 4</v>
      </c>
      <c r="G47" s="11" t="str">
        <v>Connecteur 5</v>
      </c>
      <c r="H47" s="11" t="str">
        <v>Connecteur 6</v>
      </c>
      <c r="I47" s="11" t="str">
        <v>Connecteur 7</v>
      </c>
      <c r="J47" s="11" t="str">
        <v>Connecteur 8</v>
      </c>
      <c r="K47" s="11" t="str">
        <v>Connecteur 9</v>
      </c>
      <c r="L47" s="11" t="str">
        <v>Connecteur 10</v>
      </c>
      <c r="M47" s="11" t="str">
        <v>Connecteur 11</v>
      </c>
      <c r="N47" s="11" t="str">
        <v>Connecteur 12</v>
      </c>
      <c r="O47" s="10" t="str">
        <v>Connecteur 13</v>
      </c>
      <c r="P47" s="7"/>
      <c r="Q47" s="1"/>
      <c r="R47" s="1"/>
    </row>
    <row r="48" spans="1:19" x14ac:dyDescent="0.25">
      <c r="A48" s="1"/>
      <c r="B48" s="12" t="s">
        <v>52</v>
      </c>
      <c r="C48" s="13" t="e">
        <f>MAX(C11:C41)</f>
        <v>#N/A</v>
      </c>
      <c r="D48" s="13" t="e">
        <f t="shared" ref="D48:O48" si="0">MAX(D11:D41)</f>
        <v>#N/A</v>
      </c>
      <c r="E48" s="13" t="e">
        <f t="shared" si="0"/>
        <v>#N/A</v>
      </c>
      <c r="F48" s="13" t="e">
        <f t="shared" si="0"/>
        <v>#N/A</v>
      </c>
      <c r="G48" s="13" t="e">
        <f t="shared" si="0"/>
        <v>#N/A</v>
      </c>
      <c r="H48" s="13" t="e">
        <f t="shared" si="0"/>
        <v>#N/A</v>
      </c>
      <c r="I48" s="13" t="e">
        <f t="shared" si="0"/>
        <v>#N/A</v>
      </c>
      <c r="J48" s="13" t="e">
        <f t="shared" si="0"/>
        <v>#N/A</v>
      </c>
      <c r="K48" s="13" t="e">
        <f t="shared" si="0"/>
        <v>#N/A</v>
      </c>
      <c r="L48" s="13" t="e">
        <f t="shared" si="0"/>
        <v>#N/A</v>
      </c>
      <c r="M48" s="13" t="e">
        <f t="shared" si="0"/>
        <v>#N/A</v>
      </c>
      <c r="N48" s="13" t="e">
        <f t="shared" si="0"/>
        <v>#N/A</v>
      </c>
      <c r="O48" s="13" t="e">
        <f t="shared" si="0"/>
        <v>#N/A</v>
      </c>
      <c r="P48" s="28">
        <f>150+Mesures!B20</f>
        <v>155</v>
      </c>
      <c r="Q48" s="7"/>
      <c r="R48" s="10" t="s">
        <v>51</v>
      </c>
      <c r="S48" s="28" t="str">
        <f>"150°C"</f>
        <v>150°C</v>
      </c>
    </row>
    <row r="49" spans="1:19" s="1" customFormat="1" x14ac:dyDescent="0.25">
      <c r="B49" s="12" t="s">
        <v>54</v>
      </c>
      <c r="C49" s="13" t="e">
        <f>MIN(C11:C41)</f>
        <v>#N/A</v>
      </c>
      <c r="D49" s="13" t="e">
        <f t="shared" ref="D49:O49" si="1">MIN(D11:D41)</f>
        <v>#N/A</v>
      </c>
      <c r="E49" s="13" t="e">
        <f t="shared" si="1"/>
        <v>#N/A</v>
      </c>
      <c r="F49" s="13" t="e">
        <f t="shared" si="1"/>
        <v>#N/A</v>
      </c>
      <c r="G49" s="13" t="e">
        <f t="shared" si="1"/>
        <v>#N/A</v>
      </c>
      <c r="H49" s="13" t="e">
        <f t="shared" si="1"/>
        <v>#N/A</v>
      </c>
      <c r="I49" s="13" t="e">
        <f t="shared" si="1"/>
        <v>#N/A</v>
      </c>
      <c r="J49" s="13" t="e">
        <f t="shared" si="1"/>
        <v>#N/A</v>
      </c>
      <c r="K49" s="13" t="e">
        <f t="shared" si="1"/>
        <v>#N/A</v>
      </c>
      <c r="L49" s="13" t="e">
        <f t="shared" si="1"/>
        <v>#N/A</v>
      </c>
      <c r="M49" s="13" t="e">
        <f t="shared" si="1"/>
        <v>#N/A</v>
      </c>
      <c r="N49" s="13" t="e">
        <f t="shared" si="1"/>
        <v>#N/A</v>
      </c>
      <c r="O49" s="13" t="e">
        <f t="shared" si="1"/>
        <v>#N/A</v>
      </c>
      <c r="P49" s="28">
        <f>150-Mesures!B20</f>
        <v>145</v>
      </c>
      <c r="Q49" s="7"/>
      <c r="R49" s="10" t="s">
        <v>53</v>
      </c>
      <c r="S49" s="9" t="str">
        <f>"+" &amp; Mesures!B20 &amp; "°C"</f>
        <v>+5°C</v>
      </c>
    </row>
    <row r="50" spans="1:19" s="1" customFormat="1" x14ac:dyDescent="0.25">
      <c r="B50" s="12" t="s">
        <v>56</v>
      </c>
      <c r="C50" s="13" t="e">
        <f>AVERAGE(C11:C41)</f>
        <v>#N/A</v>
      </c>
      <c r="D50" s="13" t="e">
        <f t="shared" ref="D50:O50" si="2">AVERAGE(D11:D41)</f>
        <v>#N/A</v>
      </c>
      <c r="E50" s="13" t="e">
        <f t="shared" si="2"/>
        <v>#N/A</v>
      </c>
      <c r="F50" s="13" t="e">
        <f t="shared" si="2"/>
        <v>#N/A</v>
      </c>
      <c r="G50" s="13" t="e">
        <f t="shared" si="2"/>
        <v>#N/A</v>
      </c>
      <c r="H50" s="13" t="e">
        <f t="shared" si="2"/>
        <v>#N/A</v>
      </c>
      <c r="I50" s="13" t="e">
        <f t="shared" si="2"/>
        <v>#N/A</v>
      </c>
      <c r="J50" s="13" t="e">
        <f t="shared" si="2"/>
        <v>#N/A</v>
      </c>
      <c r="K50" s="13" t="e">
        <f t="shared" si="2"/>
        <v>#N/A</v>
      </c>
      <c r="L50" s="13" t="e">
        <f t="shared" si="2"/>
        <v>#N/A</v>
      </c>
      <c r="M50" s="13" t="e">
        <f t="shared" si="2"/>
        <v>#N/A</v>
      </c>
      <c r="N50" s="13" t="e">
        <f t="shared" si="2"/>
        <v>#N/A</v>
      </c>
      <c r="O50" s="13" t="e">
        <f t="shared" si="2"/>
        <v>#N/A</v>
      </c>
      <c r="P50" s="14"/>
      <c r="Q50" s="7"/>
      <c r="R50" s="10" t="s">
        <v>55</v>
      </c>
      <c r="S50" s="9" t="str">
        <f>"-" &amp; Mesures!B20 &amp; "°C"</f>
        <v>-5°C</v>
      </c>
    </row>
    <row r="51" spans="1:19" s="1" customFormat="1" x14ac:dyDescent="0.25">
      <c r="B51" s="12" t="s">
        <v>57</v>
      </c>
      <c r="C51" s="15" t="e">
        <f>C48-C49</f>
        <v>#N/A</v>
      </c>
      <c r="D51" s="15" t="e">
        <f t="shared" ref="D51:N51" si="3">D48-D49</f>
        <v>#N/A</v>
      </c>
      <c r="E51" s="15" t="e">
        <f t="shared" si="3"/>
        <v>#N/A</v>
      </c>
      <c r="F51" s="15" t="e">
        <f t="shared" si="3"/>
        <v>#N/A</v>
      </c>
      <c r="G51" s="15" t="e">
        <f t="shared" si="3"/>
        <v>#N/A</v>
      </c>
      <c r="H51" s="15" t="e">
        <f t="shared" si="3"/>
        <v>#N/A</v>
      </c>
      <c r="I51" s="15" t="e">
        <f t="shared" si="3"/>
        <v>#N/A</v>
      </c>
      <c r="J51" s="15" t="e">
        <f t="shared" si="3"/>
        <v>#N/A</v>
      </c>
      <c r="K51" s="15" t="e">
        <f t="shared" si="3"/>
        <v>#N/A</v>
      </c>
      <c r="L51" s="15" t="e">
        <f t="shared" si="3"/>
        <v>#N/A</v>
      </c>
      <c r="M51" s="15" t="e">
        <f t="shared" si="3"/>
        <v>#N/A</v>
      </c>
      <c r="N51" s="15" t="e">
        <f t="shared" si="3"/>
        <v>#N/A</v>
      </c>
      <c r="O51" s="15" t="e">
        <f t="shared" ref="O51" si="4">O48-O49</f>
        <v>#N/A</v>
      </c>
      <c r="P51" s="7"/>
    </row>
    <row r="52" spans="1:19" s="1" customFormat="1" x14ac:dyDescent="0.25">
      <c r="B52" s="12" t="s">
        <v>58</v>
      </c>
      <c r="C52" s="113" t="e">
        <f>ABS(MAX(C48:N48)-MIN(C49:N49))</f>
        <v>#N/A</v>
      </c>
      <c r="D52" s="114"/>
      <c r="E52" s="114"/>
      <c r="F52" s="114"/>
      <c r="G52" s="114"/>
      <c r="H52" s="114"/>
      <c r="I52" s="114"/>
      <c r="J52" s="114"/>
      <c r="K52" s="114"/>
      <c r="L52" s="114"/>
      <c r="M52" s="114"/>
      <c r="N52" s="114"/>
      <c r="O52" s="115"/>
      <c r="P52" s="7"/>
    </row>
    <row r="53" spans="1:19" s="1" customFormat="1" x14ac:dyDescent="0.25">
      <c r="B53" s="12" t="s">
        <v>59</v>
      </c>
      <c r="C53" s="113" t="e">
        <f>AVERAGE(C50:N50)</f>
        <v>#N/A</v>
      </c>
      <c r="D53" s="114"/>
      <c r="E53" s="114"/>
      <c r="F53" s="114"/>
      <c r="G53" s="114"/>
      <c r="H53" s="114"/>
      <c r="I53" s="114"/>
      <c r="J53" s="114"/>
      <c r="K53" s="114"/>
      <c r="L53" s="114"/>
      <c r="M53" s="114"/>
      <c r="N53" s="114"/>
      <c r="O53" s="115"/>
      <c r="P53" s="7"/>
    </row>
    <row r="54" spans="1:19" s="1" customFormat="1" x14ac:dyDescent="0.25">
      <c r="B54" s="10" t="s">
        <v>60</v>
      </c>
      <c r="C54" s="16" t="e">
        <f ca="1">STDEV(OFFSET(INDEX(Donnees_Brutes_150[Connecteur 1],1),COUNT(Donnees_Brutes_150[Connecteur 1])-30,0,30))+C5+C6</f>
        <v>#REF!</v>
      </c>
      <c r="D54" s="16" t="e">
        <f ca="1">STDEV(OFFSET(INDEX(Donnees_Brutes_150[Connecteur 2],1),COUNT(Donnees_Brutes_150[Connecteur 2])-30,0,30))+D5+D6</f>
        <v>#REF!</v>
      </c>
      <c r="E54" s="16" t="e">
        <f ca="1">STDEV(OFFSET(INDEX(Donnees_Brutes_150[Connecteur 3],1),COUNT(Donnees_Brutes_150[Connecteur 3])-30,0,30))+E5+E6</f>
        <v>#REF!</v>
      </c>
      <c r="F54" s="16" t="e">
        <f ca="1">STDEV(OFFSET(INDEX(Donnees_Brutes_150[Connecteur 4],1),COUNT(Donnees_Brutes_150[Connecteur 4])-30,0,30))+F5+F6</f>
        <v>#REF!</v>
      </c>
      <c r="G54" s="16" t="e">
        <f ca="1">STDEV(OFFSET(INDEX(Donnees_Brutes_150[Connecteur 5],1),COUNT(Donnees_Brutes_150[Connecteur 5])-30,0,30))+G5+G6</f>
        <v>#REF!</v>
      </c>
      <c r="H54" s="16" t="e">
        <f ca="1">STDEV(OFFSET(INDEX(Donnees_Brutes_150[Connecteur 6],1),COUNT(Donnees_Brutes_150[Connecteur 6])-30,0,30))+H5+H6</f>
        <v>#REF!</v>
      </c>
      <c r="I54" s="16" t="e">
        <f ca="1">STDEV(OFFSET(INDEX(Donnees_Brutes_150[Connecteur 7],1),COUNT(Donnees_Brutes_150[Connecteur 7])-30,0,30))+I5+I6</f>
        <v>#REF!</v>
      </c>
      <c r="J54" s="16" t="e">
        <f ca="1">STDEV(OFFSET(INDEX(Donnees_Brutes_150[Connecteur 8],1),COUNT(Donnees_Brutes_150[Connecteur 8])-30,0,30))+J5+J6</f>
        <v>#REF!</v>
      </c>
      <c r="K54" s="16" t="e">
        <f ca="1">STDEV(OFFSET(INDEX(Donnees_Brutes_150[Connecteur 9],1),COUNT(Donnees_Brutes_150[Connecteur 9])-30,0,30))+K5+K6</f>
        <v>#REF!</v>
      </c>
      <c r="L54" s="16" t="e">
        <f ca="1">STDEV(OFFSET(INDEX(Donnees_Brutes_150[Connecteur 10],1),COUNT(Donnees_Brutes_150[Connecteur 10])-30,0,30))+L5+L6</f>
        <v>#REF!</v>
      </c>
      <c r="M54" s="16" t="e">
        <f ca="1">STDEV(OFFSET(INDEX(Donnees_Brutes_150[Connecteur 11],1),COUNT(Donnees_Brutes_150[Connecteur 11])-30,0,30))+M5+M6</f>
        <v>#REF!</v>
      </c>
      <c r="N54" s="16" t="e">
        <f ca="1">STDEV(OFFSET(INDEX(Donnees_Brutes_150[Connecteur 12],1),COUNT(Donnees_Brutes_150[Connecteur 12])-30,0,30))+N5+N6</f>
        <v>#REF!</v>
      </c>
      <c r="O54" s="16" t="e">
        <f ca="1">STDEV(OFFSET(INDEX(Donnees_Brutes_150[Connecteur 13],1),COUNT(Donnees_Brutes_150[Connecteur 13])-30,0,30))+O5+O6</f>
        <v>#REF!</v>
      </c>
      <c r="P54" s="7"/>
    </row>
    <row r="55" spans="1:19" s="1" customFormat="1" x14ac:dyDescent="0.25">
      <c r="A55"/>
      <c r="B55"/>
      <c r="C55"/>
      <c r="D55"/>
      <c r="E55"/>
      <c r="F55"/>
      <c r="G55"/>
      <c r="H55"/>
      <c r="I55"/>
      <c r="J55"/>
      <c r="K55"/>
      <c r="L55"/>
      <c r="M55"/>
      <c r="N55"/>
      <c r="O55"/>
      <c r="P55"/>
      <c r="Q55"/>
      <c r="R55"/>
    </row>
    <row r="56" spans="1:19" s="1" customFormat="1" x14ac:dyDescent="0.25"/>
  </sheetData>
  <sheetProtection algorithmName="SHA-512" hashValue="ylouvp7ZKFe0V/kwRCqxMW+rZ/1gUqvFf1i5HzP16Vl0hfh8C/bEAbQzKmPMjAB33FOdH9ZO0rX3MgKGFIsw5A==" saltValue="6C4hdh+LHeq3PZ9PqIElUw==" spinCount="100000" sheet="1" objects="1" scenarios="1" autoFilter="0"/>
  <mergeCells count="6">
    <mergeCell ref="C52:O52"/>
    <mergeCell ref="C53:O53"/>
    <mergeCell ref="A11:A41"/>
    <mergeCell ref="A1:S3"/>
    <mergeCell ref="A9:N9"/>
    <mergeCell ref="A46:XFD46"/>
  </mergeCells>
  <conditionalFormatting sqref="C48:O48">
    <cfRule type="cellIs" dxfId="17" priority="2" operator="greaterThan">
      <formula>$P$48</formula>
    </cfRule>
    <cfRule type="cellIs" dxfId="16" priority="9" operator="greaterThan">
      <formula>$P$48</formula>
    </cfRule>
  </conditionalFormatting>
  <conditionalFormatting sqref="C49:O49">
    <cfRule type="cellIs" dxfId="15" priority="1" operator="lessThan">
      <formula>$P$49</formula>
    </cfRule>
    <cfRule type="cellIs" dxfId="14" priority="10" operator="lessThan">
      <formula>$P$49</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6B67-C602-4548-907E-C783A21FB4A6}">
  <sheetPr codeName="Feuil7"/>
  <dimension ref="A1:S55"/>
  <sheetViews>
    <sheetView topLeftCell="A13" zoomScaleNormal="100" workbookViewId="0">
      <selection activeCell="J44" sqref="J44"/>
    </sheetView>
  </sheetViews>
  <sheetFormatPr baseColWidth="10" defaultRowHeight="15" x14ac:dyDescent="0.25"/>
  <cols>
    <col min="1" max="1" width="15" bestFit="1" customWidth="1"/>
    <col min="2" max="2" width="14.140625" bestFit="1" customWidth="1"/>
    <col min="3" max="3" width="16.42578125" bestFit="1" customWidth="1"/>
    <col min="4" max="11" width="12.7109375" bestFit="1" customWidth="1"/>
    <col min="12" max="15" width="13.7109375" bestFit="1" customWidth="1"/>
    <col min="17" max="18" width="15.28515625" bestFit="1" customWidth="1"/>
  </cols>
  <sheetData>
    <row r="1" spans="1:19" s="1" customFormat="1" x14ac:dyDescent="0.25">
      <c r="A1" s="108" t="str">
        <f>"190°C"</f>
        <v>190°C</v>
      </c>
      <c r="B1" s="108"/>
      <c r="C1" s="108"/>
      <c r="D1" s="108"/>
      <c r="E1" s="108"/>
      <c r="F1" s="108"/>
      <c r="G1" s="108"/>
      <c r="H1" s="108"/>
      <c r="I1" s="108"/>
      <c r="J1" s="108"/>
      <c r="K1" s="108"/>
      <c r="L1" s="108"/>
      <c r="M1" s="108"/>
      <c r="N1" s="108"/>
      <c r="O1" s="108"/>
      <c r="P1" s="108"/>
      <c r="Q1" s="108"/>
      <c r="R1" s="108"/>
      <c r="S1" s="108"/>
    </row>
    <row r="2" spans="1:19" s="1" customFormat="1" x14ac:dyDescent="0.25">
      <c r="A2" s="108"/>
      <c r="B2" s="108"/>
      <c r="C2" s="108"/>
      <c r="D2" s="108"/>
      <c r="E2" s="108"/>
      <c r="F2" s="108"/>
      <c r="G2" s="108"/>
      <c r="H2" s="108"/>
      <c r="I2" s="108"/>
      <c r="J2" s="108"/>
      <c r="K2" s="108"/>
      <c r="L2" s="108"/>
      <c r="M2" s="108"/>
      <c r="N2" s="108"/>
      <c r="O2" s="108"/>
      <c r="P2" s="108"/>
      <c r="Q2" s="108"/>
      <c r="R2" s="108"/>
      <c r="S2" s="108"/>
    </row>
    <row r="3" spans="1:19" s="1" customFormat="1" x14ac:dyDescent="0.25">
      <c r="A3" s="108"/>
      <c r="B3" s="108"/>
      <c r="C3" s="108"/>
      <c r="D3" s="108"/>
      <c r="E3" s="108"/>
      <c r="F3" s="108"/>
      <c r="G3" s="108"/>
      <c r="H3" s="108"/>
      <c r="I3" s="108"/>
      <c r="J3" s="108"/>
      <c r="K3" s="108"/>
      <c r="L3" s="108"/>
      <c r="M3" s="108"/>
      <c r="N3" s="108"/>
      <c r="O3" s="108"/>
      <c r="P3" s="108"/>
      <c r="Q3" s="108"/>
      <c r="R3" s="108"/>
      <c r="S3" s="108"/>
    </row>
    <row r="4" spans="1:19" s="1" customFormat="1" x14ac:dyDescent="0.25">
      <c r="P4" s="7"/>
    </row>
    <row r="5" spans="1:19" s="1" customFormat="1" x14ac:dyDescent="0.25">
      <c r="A5" s="27"/>
      <c r="B5" s="8" t="s">
        <v>47</v>
      </c>
      <c r="C5" s="9" t="e">
        <f>_xlfn.XLOOKUP(INT(SUBSTITUTE(C47,"Connecteur ","")),Mesures!C23:C35,Mesures!I23:I35)</f>
        <v>#N/A</v>
      </c>
      <c r="D5" s="9" t="e">
        <f>_xlfn.XLOOKUP(INT(SUBSTITUTE(D47,"Connecteur ","")),Mesures!C23:C35,Mesures!I23:I35)</f>
        <v>#N/A</v>
      </c>
      <c r="E5" s="9" t="e">
        <f>_xlfn.XLOOKUP(INT(SUBSTITUTE(E47,"Connecteur ","")),Mesures!C23:C35,Mesures!I23:I35)</f>
        <v>#N/A</v>
      </c>
      <c r="F5" s="9" t="e">
        <f>_xlfn.XLOOKUP(INT(SUBSTITUTE(F47,"Connecteur ","")),Mesures!C23:C35,Mesures!I23:I35)</f>
        <v>#N/A</v>
      </c>
      <c r="G5" s="9" t="e">
        <f>_xlfn.XLOOKUP(INT(SUBSTITUTE(G47,"Connecteur ","")),Mesures!C23:C35,Mesures!I23:I35)</f>
        <v>#N/A</v>
      </c>
      <c r="H5" s="9" t="e">
        <f>_xlfn.XLOOKUP(INT(SUBSTITUTE(H47,"Connecteur ","")),Mesures!C23:C35,Mesures!I23:I35)</f>
        <v>#N/A</v>
      </c>
      <c r="I5" s="9" t="e">
        <f>_xlfn.XLOOKUP(INT(SUBSTITUTE(I47,"Connecteur ","")),Mesures!C23:C35,Mesures!I23:I35)</f>
        <v>#N/A</v>
      </c>
      <c r="J5" s="9" t="e">
        <f>_xlfn.XLOOKUP(INT(SUBSTITUTE(J47,"Connecteur ","")),Mesures!C23:C35,Mesures!I23:I35)</f>
        <v>#N/A</v>
      </c>
      <c r="K5" s="9" t="e">
        <f>_xlfn.XLOOKUP(INT(SUBSTITUTE(K47,"Connecteur ","")),Mesures!C23:C35,Mesures!I23:I35)</f>
        <v>#N/A</v>
      </c>
      <c r="L5" s="9" t="e">
        <f>_xlfn.XLOOKUP(INT(SUBSTITUTE(L47,"Connecteur ","")),Mesures!C23:C35,Mesures!I23:I35)</f>
        <v>#N/A</v>
      </c>
      <c r="M5" s="9" t="e">
        <f>_xlfn.XLOOKUP(INT(SUBSTITUTE(M47,"Connecteur ","")),Mesures!C23:C35,Mesures!I23:I35)</f>
        <v>#N/A</v>
      </c>
      <c r="N5" s="9" t="e">
        <f>_xlfn.XLOOKUP(INT(SUBSTITUTE(N47,"Connecteur ","")),Mesures!C23:C35,Mesures!I23:I35)</f>
        <v>#N/A</v>
      </c>
      <c r="O5" s="9" t="e">
        <f>_xlfn.XLOOKUP(INT(SUBSTITUTE(O47,"Connecteur ","")),Mesures!C23:C35,Mesures!I23:I35)</f>
        <v>#N/A</v>
      </c>
      <c r="P5" s="7"/>
    </row>
    <row r="6" spans="1:19" s="1" customFormat="1" x14ac:dyDescent="0.25">
      <c r="A6" s="27"/>
      <c r="B6" s="8" t="s">
        <v>48</v>
      </c>
      <c r="C6" s="9" t="e">
        <f>_xlfn.XLOOKUP(INT(SUBSTITUTE(C47,"Connecteur ","")),Mesures!C23:C35,Mesures!F23:F35)</f>
        <v>#N/A</v>
      </c>
      <c r="D6" s="9" t="e">
        <f>_xlfn.XLOOKUP(INT(SUBSTITUTE(D47,"Connecteur ","")),Mesures!C23:C35,Mesures!F23:F35)</f>
        <v>#N/A</v>
      </c>
      <c r="E6" s="9" t="e">
        <f>_xlfn.XLOOKUP(INT(SUBSTITUTE(E47,"Connecteur ","")),Mesures!C23:C35,Mesures!F23:F35)</f>
        <v>#N/A</v>
      </c>
      <c r="F6" s="9" t="e">
        <f>_xlfn.XLOOKUP(INT(SUBSTITUTE(F47,"Connecteur ","")),Mesures!C23:C35,Mesures!F23:F35)</f>
        <v>#N/A</v>
      </c>
      <c r="G6" s="9" t="e">
        <f>_xlfn.XLOOKUP(INT(SUBSTITUTE(G47,"Connecteur ","")),Mesures!C23:C35,Mesures!F23:F35)</f>
        <v>#N/A</v>
      </c>
      <c r="H6" s="9" t="e">
        <f>_xlfn.XLOOKUP(INT(SUBSTITUTE(H47,"Connecteur ","")),Mesures!C23:C35,Mesures!F23:F35)</f>
        <v>#N/A</v>
      </c>
      <c r="I6" s="9" t="e">
        <f>_xlfn.XLOOKUP(INT(SUBSTITUTE(I47,"Connecteur ","")),Mesures!C23:C35,Mesures!F23:F35)</f>
        <v>#N/A</v>
      </c>
      <c r="J6" s="9" t="e">
        <f>_xlfn.XLOOKUP(INT(SUBSTITUTE(J47,"Connecteur ","")),Mesures!C23:C35,Mesures!F23:F35)</f>
        <v>#N/A</v>
      </c>
      <c r="K6" s="9" t="e">
        <f>_xlfn.XLOOKUP(INT(SUBSTITUTE(K47,"Connecteur ","")),Mesures!C23:C35,Mesures!F23:F35)</f>
        <v>#N/A</v>
      </c>
      <c r="L6" s="9" t="e">
        <f>_xlfn.XLOOKUP(INT(SUBSTITUTE(L47,"Connecteur ","")),Mesures!C23:C35,Mesures!F23:F35)</f>
        <v>#N/A</v>
      </c>
      <c r="M6" s="9" t="e">
        <f>_xlfn.XLOOKUP(INT(SUBSTITUTE(M47,"Connecteur ","")),Mesures!C23:C35,Mesures!F23:F35)</f>
        <v>#N/A</v>
      </c>
      <c r="N6" s="9" t="e">
        <f>_xlfn.XLOOKUP(INT(SUBSTITUTE(N47,"Connecteur ","")),Mesures!C23:C35,Mesures!F23:F35)</f>
        <v>#N/A</v>
      </c>
      <c r="O6" s="9" t="e">
        <f>_xlfn.XLOOKUP(INT(SUBSTITUTE(O47,"Connecteur ","")),Mesures!C23:C35,Mesures!F23:F35)</f>
        <v>#N/A</v>
      </c>
      <c r="P6" s="7"/>
    </row>
    <row r="7" spans="1:19" s="1" customFormat="1" x14ac:dyDescent="0.25">
      <c r="P7" s="7"/>
    </row>
    <row r="8" spans="1:19" s="1" customFormat="1" x14ac:dyDescent="0.25">
      <c r="P8" s="7"/>
    </row>
    <row r="9" spans="1:19" s="1" customFormat="1" x14ac:dyDescent="0.25">
      <c r="A9" s="118" t="s">
        <v>49</v>
      </c>
      <c r="B9" s="118"/>
      <c r="C9" s="118"/>
      <c r="D9" s="118"/>
      <c r="E9" s="118"/>
      <c r="F9" s="118"/>
      <c r="G9" s="118"/>
      <c r="H9" s="118"/>
      <c r="I9" s="118"/>
      <c r="J9" s="118"/>
      <c r="K9" s="118"/>
      <c r="L9" s="118"/>
      <c r="M9" s="118"/>
      <c r="N9" s="118"/>
      <c r="P9" s="7"/>
    </row>
    <row r="10" spans="1:19" s="1" customFormat="1" x14ac:dyDescent="0.25">
      <c r="A10" s="7"/>
      <c r="B10" s="8" t="str">
        <f>Donnees_Brutes_190[[#Headers],[Date/Heure]]</f>
        <v>Date/Heure</v>
      </c>
      <c r="C10" s="10" t="str" cm="1">
        <f t="array" ref="C10:O10">Donnees_Brutes_190[[#Headers],[Connecteur 1]:[Connecteur 13]]</f>
        <v>Connecteur 1</v>
      </c>
      <c r="D10" s="10" t="str">
        <v>Connecteur 2</v>
      </c>
      <c r="E10" s="10" t="str">
        <v>Connecteur 3</v>
      </c>
      <c r="F10" s="10" t="str">
        <v>Connecteur 4</v>
      </c>
      <c r="G10" s="10" t="str">
        <v>Connecteur 5</v>
      </c>
      <c r="H10" s="10" t="str">
        <v>Connecteur 6</v>
      </c>
      <c r="I10" s="10" t="str">
        <v>Connecteur 7</v>
      </c>
      <c r="J10" s="10" t="str">
        <v>Connecteur 8</v>
      </c>
      <c r="K10" s="10" t="str">
        <v>Connecteur 9</v>
      </c>
      <c r="L10" s="10" t="str">
        <v>Connecteur 10</v>
      </c>
      <c r="M10" s="10" t="str">
        <v>Connecteur 11</v>
      </c>
      <c r="N10" s="10" t="str">
        <v>Connecteur 12</v>
      </c>
      <c r="O10" s="10" t="str">
        <v>Connecteur 13</v>
      </c>
      <c r="P10" s="7"/>
    </row>
    <row r="11" spans="1:19" s="1" customFormat="1" ht="13.5" customHeight="1" x14ac:dyDescent="0.25">
      <c r="A11" s="116" t="s">
        <v>50</v>
      </c>
      <c r="B11" s="33" cm="1">
        <f t="array" ref="B11">Donnees_Brutes_190[Date/Heure]</f>
        <v>0</v>
      </c>
      <c r="C11" s="34" t="e" cm="1">
        <f t="array" ref="C11:O11">Donnees_Brutes_190[[Connecteur 1]:[Connecteur 13]] + C5:O5 +C6:O6</f>
        <v>#N/A</v>
      </c>
      <c r="D11" s="34" t="e">
        <v>#N/A</v>
      </c>
      <c r="E11" s="34" t="e">
        <v>#N/A</v>
      </c>
      <c r="F11" s="34" t="e">
        <v>#N/A</v>
      </c>
      <c r="G11" s="34" t="e">
        <v>#N/A</v>
      </c>
      <c r="H11" s="34" t="e">
        <v>#N/A</v>
      </c>
      <c r="I11" s="34" t="e">
        <v>#N/A</v>
      </c>
      <c r="J11" s="34" t="e">
        <v>#N/A</v>
      </c>
      <c r="K11" s="34" t="e">
        <v>#N/A</v>
      </c>
      <c r="L11" s="34" t="e">
        <v>#N/A</v>
      </c>
      <c r="M11" s="34" t="e">
        <v>#N/A</v>
      </c>
      <c r="N11" s="34" t="e">
        <v>#N/A</v>
      </c>
      <c r="O11" s="34" t="e">
        <v>#N/A</v>
      </c>
      <c r="P11" s="7"/>
    </row>
    <row r="12" spans="1:19" s="1" customFormat="1" x14ac:dyDescent="0.25">
      <c r="A12" s="117"/>
      <c r="B12" s="33"/>
      <c r="C12" s="34"/>
      <c r="D12" s="34"/>
      <c r="E12" s="34"/>
      <c r="F12" s="34"/>
      <c r="G12" s="34"/>
      <c r="H12" s="34"/>
      <c r="I12" s="34"/>
      <c r="J12" s="34"/>
      <c r="K12" s="34"/>
      <c r="L12" s="34"/>
      <c r="M12" s="34"/>
      <c r="N12" s="34"/>
      <c r="O12" s="34"/>
      <c r="P12" s="7"/>
    </row>
    <row r="13" spans="1:19" x14ac:dyDescent="0.25">
      <c r="A13" s="117"/>
      <c r="B13" s="33"/>
      <c r="C13" s="34"/>
      <c r="D13" s="34"/>
      <c r="E13" s="34"/>
      <c r="F13" s="34"/>
      <c r="G13" s="34"/>
      <c r="H13" s="34"/>
      <c r="I13" s="34"/>
      <c r="J13" s="34"/>
      <c r="K13" s="34"/>
      <c r="L13" s="34"/>
      <c r="M13" s="34"/>
      <c r="N13" s="34"/>
      <c r="O13" s="34"/>
    </row>
    <row r="14" spans="1:19" x14ac:dyDescent="0.25">
      <c r="A14" s="117"/>
      <c r="B14" s="33"/>
      <c r="C14" s="34"/>
      <c r="D14" s="34"/>
      <c r="E14" s="34"/>
      <c r="F14" s="34"/>
      <c r="G14" s="34"/>
      <c r="H14" s="34"/>
      <c r="I14" s="34"/>
      <c r="J14" s="34"/>
      <c r="K14" s="34"/>
      <c r="L14" s="34"/>
      <c r="M14" s="34"/>
      <c r="N14" s="34"/>
      <c r="O14" s="34"/>
    </row>
    <row r="15" spans="1:19" x14ac:dyDescent="0.25">
      <c r="A15" s="117"/>
      <c r="B15" s="33"/>
      <c r="C15" s="34"/>
      <c r="D15" s="34"/>
      <c r="E15" s="34"/>
      <c r="F15" s="34"/>
      <c r="G15" s="34"/>
      <c r="H15" s="34"/>
      <c r="I15" s="34"/>
      <c r="J15" s="34"/>
      <c r="K15" s="34"/>
      <c r="L15" s="34"/>
      <c r="M15" s="34"/>
      <c r="N15" s="34"/>
      <c r="O15" s="34"/>
    </row>
    <row r="16" spans="1:19" x14ac:dyDescent="0.25">
      <c r="A16" s="117"/>
      <c r="B16" s="33"/>
      <c r="C16" s="34"/>
      <c r="D16" s="34"/>
      <c r="E16" s="34"/>
      <c r="F16" s="34"/>
      <c r="G16" s="34"/>
      <c r="H16" s="34"/>
      <c r="I16" s="34"/>
      <c r="J16" s="34"/>
      <c r="K16" s="34"/>
      <c r="L16" s="34"/>
      <c r="M16" s="34"/>
      <c r="N16" s="34"/>
      <c r="O16" s="34"/>
    </row>
    <row r="17" spans="1:16" x14ac:dyDescent="0.25">
      <c r="A17" s="117"/>
      <c r="B17" s="33"/>
      <c r="C17" s="34"/>
      <c r="D17" s="34"/>
      <c r="E17" s="34"/>
      <c r="F17" s="34"/>
      <c r="G17" s="34"/>
      <c r="H17" s="34"/>
      <c r="I17" s="34"/>
      <c r="J17" s="34"/>
      <c r="K17" s="34"/>
      <c r="L17" s="34"/>
      <c r="M17" s="34"/>
      <c r="N17" s="34"/>
      <c r="O17" s="34"/>
    </row>
    <row r="18" spans="1:16" x14ac:dyDescent="0.25">
      <c r="A18" s="117"/>
      <c r="B18" s="33"/>
      <c r="C18" s="34"/>
      <c r="D18" s="34"/>
      <c r="E18" s="34"/>
      <c r="F18" s="34"/>
      <c r="G18" s="34"/>
      <c r="H18" s="34"/>
      <c r="I18" s="34"/>
      <c r="J18" s="34"/>
      <c r="K18" s="34"/>
      <c r="L18" s="34"/>
      <c r="M18" s="34"/>
      <c r="N18" s="34"/>
      <c r="O18" s="34"/>
    </row>
    <row r="19" spans="1:16" x14ac:dyDescent="0.25">
      <c r="A19" s="117"/>
      <c r="B19" s="33"/>
      <c r="C19" s="34"/>
      <c r="D19" s="34"/>
      <c r="E19" s="34"/>
      <c r="F19" s="34"/>
      <c r="G19" s="34"/>
      <c r="H19" s="34"/>
      <c r="I19" s="34"/>
      <c r="J19" s="34"/>
      <c r="K19" s="34"/>
      <c r="L19" s="34"/>
      <c r="M19" s="34"/>
      <c r="N19" s="34"/>
      <c r="O19" s="34"/>
    </row>
    <row r="20" spans="1:16" x14ac:dyDescent="0.25">
      <c r="A20" s="117"/>
      <c r="B20" s="33"/>
      <c r="C20" s="34"/>
      <c r="D20" s="34"/>
      <c r="E20" s="34"/>
      <c r="F20" s="34"/>
      <c r="G20" s="34"/>
      <c r="H20" s="34"/>
      <c r="I20" s="34"/>
      <c r="J20" s="34"/>
      <c r="K20" s="34"/>
      <c r="L20" s="34"/>
      <c r="M20" s="34"/>
      <c r="N20" s="34"/>
      <c r="O20" s="34"/>
    </row>
    <row r="21" spans="1:16" x14ac:dyDescent="0.25">
      <c r="A21" s="117"/>
      <c r="B21" s="33"/>
      <c r="C21" s="34"/>
      <c r="D21" s="34"/>
      <c r="E21" s="34"/>
      <c r="F21" s="34"/>
      <c r="G21" s="34"/>
      <c r="H21" s="34"/>
      <c r="I21" s="34"/>
      <c r="J21" s="34"/>
      <c r="K21" s="34"/>
      <c r="L21" s="34"/>
      <c r="M21" s="34"/>
      <c r="N21" s="34"/>
      <c r="O21" s="34"/>
    </row>
    <row r="22" spans="1:16" x14ac:dyDescent="0.25">
      <c r="A22" s="117"/>
      <c r="B22" s="33"/>
      <c r="C22" s="34"/>
      <c r="D22" s="34"/>
      <c r="E22" s="34"/>
      <c r="F22" s="34"/>
      <c r="G22" s="34"/>
      <c r="H22" s="34"/>
      <c r="I22" s="34"/>
      <c r="J22" s="34"/>
      <c r="K22" s="34"/>
      <c r="L22" s="34"/>
      <c r="M22" s="34"/>
      <c r="N22" s="34"/>
      <c r="O22" s="34"/>
    </row>
    <row r="23" spans="1:16" s="1" customFormat="1" x14ac:dyDescent="0.25">
      <c r="A23" s="117"/>
      <c r="B23" s="33"/>
      <c r="C23" s="34"/>
      <c r="D23" s="34"/>
      <c r="E23" s="34"/>
      <c r="F23" s="34"/>
      <c r="G23" s="34"/>
      <c r="H23" s="34"/>
      <c r="I23" s="34"/>
      <c r="J23" s="34"/>
      <c r="K23" s="34"/>
      <c r="L23" s="34"/>
      <c r="M23" s="34"/>
      <c r="N23" s="34"/>
      <c r="O23" s="34"/>
      <c r="P23" s="7"/>
    </row>
    <row r="24" spans="1:16" x14ac:dyDescent="0.25">
      <c r="A24" s="117"/>
      <c r="B24" s="33"/>
      <c r="C24" s="34"/>
      <c r="D24" s="34"/>
      <c r="E24" s="34"/>
      <c r="F24" s="34"/>
      <c r="G24" s="34"/>
      <c r="H24" s="34"/>
      <c r="I24" s="34"/>
      <c r="J24" s="34"/>
      <c r="K24" s="34"/>
      <c r="L24" s="34"/>
      <c r="M24" s="34"/>
      <c r="N24" s="34"/>
      <c r="O24" s="34"/>
    </row>
    <row r="25" spans="1:16" x14ac:dyDescent="0.25">
      <c r="A25" s="117"/>
      <c r="B25" s="33"/>
      <c r="C25" s="34"/>
      <c r="D25" s="34"/>
      <c r="E25" s="34"/>
      <c r="F25" s="34"/>
      <c r="G25" s="34"/>
      <c r="H25" s="34"/>
      <c r="I25" s="34"/>
      <c r="J25" s="34"/>
      <c r="K25" s="34"/>
      <c r="L25" s="34"/>
      <c r="M25" s="34"/>
      <c r="N25" s="34"/>
      <c r="O25" s="34"/>
    </row>
    <row r="26" spans="1:16" x14ac:dyDescent="0.25">
      <c r="A26" s="117"/>
      <c r="B26" s="33"/>
      <c r="C26" s="34"/>
      <c r="D26" s="34"/>
      <c r="E26" s="34"/>
      <c r="F26" s="34"/>
      <c r="G26" s="34"/>
      <c r="H26" s="34"/>
      <c r="I26" s="34"/>
      <c r="J26" s="34"/>
      <c r="K26" s="34"/>
      <c r="L26" s="34"/>
      <c r="M26" s="34"/>
      <c r="N26" s="34"/>
      <c r="O26" s="34"/>
    </row>
    <row r="27" spans="1:16" x14ac:dyDescent="0.25">
      <c r="A27" s="117"/>
      <c r="B27" s="33"/>
      <c r="C27" s="34"/>
      <c r="D27" s="34"/>
      <c r="E27" s="34"/>
      <c r="F27" s="34"/>
      <c r="G27" s="34"/>
      <c r="H27" s="34"/>
      <c r="I27" s="34"/>
      <c r="J27" s="34"/>
      <c r="K27" s="34"/>
      <c r="L27" s="34"/>
      <c r="M27" s="34"/>
      <c r="N27" s="34"/>
      <c r="O27" s="34"/>
    </row>
    <row r="28" spans="1:16" x14ac:dyDescent="0.25">
      <c r="A28" s="117"/>
      <c r="B28" s="33"/>
      <c r="C28" s="34"/>
      <c r="D28" s="34"/>
      <c r="E28" s="34"/>
      <c r="F28" s="34"/>
      <c r="G28" s="34"/>
      <c r="H28" s="34"/>
      <c r="I28" s="34"/>
      <c r="J28" s="34"/>
      <c r="K28" s="34"/>
      <c r="L28" s="34"/>
      <c r="M28" s="34"/>
      <c r="N28" s="34"/>
      <c r="O28" s="34"/>
    </row>
    <row r="29" spans="1:16" x14ac:dyDescent="0.25">
      <c r="A29" s="117"/>
      <c r="B29" s="33"/>
      <c r="C29" s="34"/>
      <c r="D29" s="34"/>
      <c r="E29" s="34"/>
      <c r="F29" s="34"/>
      <c r="G29" s="34"/>
      <c r="H29" s="34"/>
      <c r="I29" s="34"/>
      <c r="J29" s="34"/>
      <c r="K29" s="34"/>
      <c r="L29" s="34"/>
      <c r="M29" s="34"/>
      <c r="N29" s="34"/>
      <c r="O29" s="34"/>
    </row>
    <row r="30" spans="1:16" x14ac:dyDescent="0.25">
      <c r="A30" s="117"/>
      <c r="B30" s="33"/>
      <c r="C30" s="34"/>
      <c r="D30" s="34"/>
      <c r="E30" s="34"/>
      <c r="F30" s="34"/>
      <c r="G30" s="34"/>
      <c r="H30" s="34"/>
      <c r="I30" s="34"/>
      <c r="J30" s="34"/>
      <c r="K30" s="34"/>
      <c r="L30" s="34"/>
      <c r="M30" s="34"/>
      <c r="N30" s="34"/>
      <c r="O30" s="34"/>
    </row>
    <row r="31" spans="1:16" x14ac:dyDescent="0.25">
      <c r="A31" s="117"/>
      <c r="B31" s="33"/>
      <c r="C31" s="34"/>
      <c r="D31" s="34"/>
      <c r="E31" s="34"/>
      <c r="F31" s="34"/>
      <c r="G31" s="34"/>
      <c r="H31" s="34"/>
      <c r="I31" s="34"/>
      <c r="J31" s="34"/>
      <c r="K31" s="34"/>
      <c r="L31" s="34"/>
      <c r="M31" s="34"/>
      <c r="N31" s="34"/>
      <c r="O31" s="34"/>
    </row>
    <row r="32" spans="1:16" x14ac:dyDescent="0.25">
      <c r="A32" s="117"/>
      <c r="B32" s="33"/>
      <c r="C32" s="34"/>
      <c r="D32" s="34"/>
      <c r="E32" s="34"/>
      <c r="F32" s="34"/>
      <c r="G32" s="34"/>
      <c r="H32" s="34"/>
      <c r="I32" s="34"/>
      <c r="J32" s="34"/>
      <c r="K32" s="34"/>
      <c r="L32" s="34"/>
      <c r="M32" s="34"/>
      <c r="N32" s="34"/>
      <c r="O32" s="34"/>
    </row>
    <row r="33" spans="1:19" x14ac:dyDescent="0.25">
      <c r="A33" s="117"/>
      <c r="B33" s="33"/>
      <c r="C33" s="34"/>
      <c r="D33" s="34"/>
      <c r="E33" s="34"/>
      <c r="F33" s="34"/>
      <c r="G33" s="34"/>
      <c r="H33" s="34"/>
      <c r="I33" s="34"/>
      <c r="J33" s="34"/>
      <c r="K33" s="34"/>
      <c r="L33" s="34"/>
      <c r="M33" s="34"/>
      <c r="N33" s="34"/>
      <c r="O33" s="34"/>
    </row>
    <row r="34" spans="1:19" x14ac:dyDescent="0.25">
      <c r="A34" s="117"/>
      <c r="B34" s="33"/>
      <c r="C34" s="34"/>
      <c r="D34" s="34"/>
      <c r="E34" s="34"/>
      <c r="F34" s="34"/>
      <c r="G34" s="34"/>
      <c r="H34" s="34"/>
      <c r="I34" s="34"/>
      <c r="J34" s="34"/>
      <c r="K34" s="34"/>
      <c r="L34" s="34"/>
      <c r="M34" s="34"/>
      <c r="N34" s="34"/>
      <c r="O34" s="34"/>
    </row>
    <row r="35" spans="1:19" x14ac:dyDescent="0.25">
      <c r="A35" s="117"/>
      <c r="B35" s="33"/>
      <c r="C35" s="34"/>
      <c r="D35" s="34"/>
      <c r="E35" s="34"/>
      <c r="F35" s="34"/>
      <c r="G35" s="34"/>
      <c r="H35" s="34"/>
      <c r="I35" s="34"/>
      <c r="J35" s="34"/>
      <c r="K35" s="34"/>
      <c r="L35" s="34"/>
      <c r="M35" s="34"/>
      <c r="N35" s="34"/>
      <c r="O35" s="34"/>
    </row>
    <row r="36" spans="1:19" x14ac:dyDescent="0.25">
      <c r="A36" s="117"/>
      <c r="B36" s="33"/>
      <c r="C36" s="34"/>
      <c r="D36" s="34"/>
      <c r="E36" s="34"/>
      <c r="F36" s="34"/>
      <c r="G36" s="34"/>
      <c r="H36" s="34"/>
      <c r="I36" s="34"/>
      <c r="J36" s="34"/>
      <c r="K36" s="34"/>
      <c r="L36" s="34"/>
      <c r="M36" s="34"/>
      <c r="N36" s="34"/>
      <c r="O36" s="34"/>
    </row>
    <row r="37" spans="1:19" x14ac:dyDescent="0.25">
      <c r="A37" s="117"/>
      <c r="B37" s="33"/>
      <c r="C37" s="34"/>
      <c r="D37" s="34"/>
      <c r="E37" s="34"/>
      <c r="F37" s="34"/>
      <c r="G37" s="34"/>
      <c r="H37" s="34"/>
      <c r="I37" s="34"/>
      <c r="J37" s="34"/>
      <c r="K37" s="34"/>
      <c r="L37" s="34"/>
      <c r="M37" s="34"/>
      <c r="N37" s="34"/>
      <c r="O37" s="34"/>
    </row>
    <row r="38" spans="1:19" x14ac:dyDescent="0.25">
      <c r="A38" s="117"/>
      <c r="B38" s="33"/>
      <c r="C38" s="34"/>
      <c r="D38" s="34"/>
      <c r="E38" s="34"/>
      <c r="F38" s="34"/>
      <c r="G38" s="34"/>
      <c r="H38" s="34"/>
      <c r="I38" s="34"/>
      <c r="J38" s="34"/>
      <c r="K38" s="34"/>
      <c r="L38" s="34"/>
      <c r="M38" s="34"/>
      <c r="N38" s="34"/>
      <c r="O38" s="34"/>
    </row>
    <row r="39" spans="1:19" x14ac:dyDescent="0.25">
      <c r="A39" s="117"/>
      <c r="B39" s="33"/>
      <c r="C39" s="34"/>
      <c r="D39" s="34"/>
      <c r="E39" s="34"/>
      <c r="F39" s="34"/>
      <c r="G39" s="34"/>
      <c r="H39" s="34"/>
      <c r="I39" s="34"/>
      <c r="J39" s="34"/>
      <c r="K39" s="34"/>
      <c r="L39" s="34"/>
      <c r="M39" s="34"/>
      <c r="N39" s="34"/>
      <c r="O39" s="34"/>
    </row>
    <row r="40" spans="1:19" x14ac:dyDescent="0.25">
      <c r="A40" s="117"/>
      <c r="B40" s="33"/>
      <c r="C40" s="34"/>
      <c r="D40" s="34"/>
      <c r="E40" s="34"/>
      <c r="F40" s="34"/>
      <c r="G40" s="34"/>
      <c r="H40" s="34"/>
      <c r="I40" s="34"/>
      <c r="J40" s="34"/>
      <c r="K40" s="34"/>
      <c r="L40" s="34"/>
      <c r="M40" s="34"/>
      <c r="N40" s="34"/>
      <c r="O40" s="34"/>
    </row>
    <row r="41" spans="1:19" x14ac:dyDescent="0.25">
      <c r="A41" s="117"/>
      <c r="B41" s="33"/>
      <c r="C41" s="34"/>
      <c r="D41" s="34"/>
      <c r="E41" s="34"/>
      <c r="F41" s="34"/>
      <c r="G41" s="34"/>
      <c r="H41" s="34"/>
      <c r="I41" s="34"/>
      <c r="J41" s="34"/>
      <c r="K41" s="34"/>
      <c r="L41" s="34"/>
      <c r="M41" s="34"/>
      <c r="N41" s="34"/>
      <c r="O41" s="34"/>
    </row>
    <row r="46" spans="1:19" s="110" customFormat="1" x14ac:dyDescent="0.25"/>
    <row r="47" spans="1:19" s="1" customFormat="1" x14ac:dyDescent="0.25">
      <c r="C47" s="11" t="str" cm="1">
        <f t="array" ref="C47:O47">Donnees_Brutes_190[[#Headers],[Connecteur 1]:[Connecteur 13]]</f>
        <v>Connecteur 1</v>
      </c>
      <c r="D47" s="11" t="str">
        <v>Connecteur 2</v>
      </c>
      <c r="E47" s="11" t="str">
        <v>Connecteur 3</v>
      </c>
      <c r="F47" s="11" t="str">
        <v>Connecteur 4</v>
      </c>
      <c r="G47" s="11" t="str">
        <v>Connecteur 5</v>
      </c>
      <c r="H47" s="11" t="str">
        <v>Connecteur 6</v>
      </c>
      <c r="I47" s="11" t="str">
        <v>Connecteur 7</v>
      </c>
      <c r="J47" s="11" t="str">
        <v>Connecteur 8</v>
      </c>
      <c r="K47" s="11" t="str">
        <v>Connecteur 9</v>
      </c>
      <c r="L47" s="11" t="str">
        <v>Connecteur 10</v>
      </c>
      <c r="M47" s="11" t="str">
        <v>Connecteur 11</v>
      </c>
      <c r="N47" s="11" t="str">
        <v>Connecteur 12</v>
      </c>
      <c r="O47" s="10" t="str">
        <v>Connecteur 13</v>
      </c>
      <c r="P47" s="7"/>
    </row>
    <row r="48" spans="1:19" s="1" customFormat="1" x14ac:dyDescent="0.25">
      <c r="B48" s="12" t="s">
        <v>52</v>
      </c>
      <c r="C48" s="13" t="e">
        <f>MAX(C11:C41)</f>
        <v>#N/A</v>
      </c>
      <c r="D48" s="13" t="e">
        <f t="shared" ref="D48:O48" si="0">MAX(D11:D41)</f>
        <v>#N/A</v>
      </c>
      <c r="E48" s="13" t="e">
        <f t="shared" si="0"/>
        <v>#N/A</v>
      </c>
      <c r="F48" s="13" t="e">
        <f t="shared" si="0"/>
        <v>#N/A</v>
      </c>
      <c r="G48" s="13" t="e">
        <f t="shared" si="0"/>
        <v>#N/A</v>
      </c>
      <c r="H48" s="13" t="e">
        <f t="shared" si="0"/>
        <v>#N/A</v>
      </c>
      <c r="I48" s="13" t="e">
        <f t="shared" si="0"/>
        <v>#N/A</v>
      </c>
      <c r="J48" s="13" t="e">
        <f t="shared" si="0"/>
        <v>#N/A</v>
      </c>
      <c r="K48" s="13" t="e">
        <f t="shared" si="0"/>
        <v>#N/A</v>
      </c>
      <c r="L48" s="13" t="e">
        <f t="shared" si="0"/>
        <v>#N/A</v>
      </c>
      <c r="M48" s="13" t="e">
        <f t="shared" si="0"/>
        <v>#N/A</v>
      </c>
      <c r="N48" s="13" t="e">
        <f t="shared" si="0"/>
        <v>#N/A</v>
      </c>
      <c r="O48" s="13" t="e">
        <f t="shared" si="0"/>
        <v>#N/A</v>
      </c>
      <c r="P48" s="28">
        <f>190+Mesures!B20</f>
        <v>195</v>
      </c>
      <c r="Q48" s="7"/>
      <c r="R48" s="10" t="s">
        <v>51</v>
      </c>
      <c r="S48" s="28">
        <f>190</f>
        <v>190</v>
      </c>
    </row>
    <row r="49" spans="1:19" s="1" customFormat="1" x14ac:dyDescent="0.25">
      <c r="B49" s="12" t="s">
        <v>54</v>
      </c>
      <c r="C49" s="13" t="e">
        <f>MIN(C11:C41)</f>
        <v>#N/A</v>
      </c>
      <c r="D49" s="13" t="e">
        <f t="shared" ref="D49:O49" si="1">MIN(D11:D41)</f>
        <v>#N/A</v>
      </c>
      <c r="E49" s="13" t="e">
        <f t="shared" si="1"/>
        <v>#N/A</v>
      </c>
      <c r="F49" s="13" t="e">
        <f t="shared" si="1"/>
        <v>#N/A</v>
      </c>
      <c r="G49" s="13" t="e">
        <f t="shared" si="1"/>
        <v>#N/A</v>
      </c>
      <c r="H49" s="13" t="e">
        <f t="shared" si="1"/>
        <v>#N/A</v>
      </c>
      <c r="I49" s="13" t="e">
        <f t="shared" si="1"/>
        <v>#N/A</v>
      </c>
      <c r="J49" s="13" t="e">
        <f t="shared" si="1"/>
        <v>#N/A</v>
      </c>
      <c r="K49" s="13" t="e">
        <f t="shared" si="1"/>
        <v>#N/A</v>
      </c>
      <c r="L49" s="13" t="e">
        <f t="shared" si="1"/>
        <v>#N/A</v>
      </c>
      <c r="M49" s="13" t="e">
        <f t="shared" si="1"/>
        <v>#N/A</v>
      </c>
      <c r="N49" s="13" t="e">
        <f t="shared" si="1"/>
        <v>#N/A</v>
      </c>
      <c r="O49" s="13" t="e">
        <f t="shared" si="1"/>
        <v>#N/A</v>
      </c>
      <c r="P49" s="28">
        <f>190-Mesures!B20</f>
        <v>185</v>
      </c>
      <c r="Q49" s="7"/>
      <c r="R49" s="10" t="s">
        <v>53</v>
      </c>
      <c r="S49" s="9" t="str">
        <f>"+" &amp; Mesures!B20 &amp; "°C"</f>
        <v>+5°C</v>
      </c>
    </row>
    <row r="50" spans="1:19" s="1" customFormat="1" x14ac:dyDescent="0.25">
      <c r="B50" s="12" t="s">
        <v>56</v>
      </c>
      <c r="C50" s="13" t="e">
        <f>AVERAGE(C11:C41)</f>
        <v>#N/A</v>
      </c>
      <c r="D50" s="13" t="e">
        <f t="shared" ref="D50:O50" si="2">AVERAGE(D11:D41)</f>
        <v>#N/A</v>
      </c>
      <c r="E50" s="13" t="e">
        <f t="shared" si="2"/>
        <v>#N/A</v>
      </c>
      <c r="F50" s="13" t="e">
        <f t="shared" si="2"/>
        <v>#N/A</v>
      </c>
      <c r="G50" s="13" t="e">
        <f t="shared" si="2"/>
        <v>#N/A</v>
      </c>
      <c r="H50" s="13" t="e">
        <f t="shared" si="2"/>
        <v>#N/A</v>
      </c>
      <c r="I50" s="13" t="e">
        <f t="shared" si="2"/>
        <v>#N/A</v>
      </c>
      <c r="J50" s="13" t="e">
        <f t="shared" si="2"/>
        <v>#N/A</v>
      </c>
      <c r="K50" s="13" t="e">
        <f t="shared" si="2"/>
        <v>#N/A</v>
      </c>
      <c r="L50" s="13" t="e">
        <f t="shared" si="2"/>
        <v>#N/A</v>
      </c>
      <c r="M50" s="13" t="e">
        <f t="shared" si="2"/>
        <v>#N/A</v>
      </c>
      <c r="N50" s="13" t="e">
        <f t="shared" si="2"/>
        <v>#N/A</v>
      </c>
      <c r="O50" s="13" t="e">
        <f t="shared" si="2"/>
        <v>#N/A</v>
      </c>
      <c r="P50" s="7"/>
      <c r="Q50" s="7"/>
      <c r="R50" s="10" t="s">
        <v>55</v>
      </c>
      <c r="S50" s="9" t="str">
        <f>"-" &amp; Mesures!B20 &amp; "°C"</f>
        <v>-5°C</v>
      </c>
    </row>
    <row r="51" spans="1:19" s="1" customFormat="1" x14ac:dyDescent="0.25">
      <c r="B51" s="12" t="s">
        <v>57</v>
      </c>
      <c r="C51" s="15" t="e">
        <f>C48-C49</f>
        <v>#N/A</v>
      </c>
      <c r="D51" s="15" t="e">
        <f>D48-D49</f>
        <v>#N/A</v>
      </c>
      <c r="E51" s="15" t="e">
        <f t="shared" ref="E51:N51" si="3">E48-E49</f>
        <v>#N/A</v>
      </c>
      <c r="F51" s="15" t="e">
        <f t="shared" si="3"/>
        <v>#N/A</v>
      </c>
      <c r="G51" s="15" t="e">
        <f t="shared" si="3"/>
        <v>#N/A</v>
      </c>
      <c r="H51" s="15" t="e">
        <f t="shared" si="3"/>
        <v>#N/A</v>
      </c>
      <c r="I51" s="15" t="e">
        <f t="shared" si="3"/>
        <v>#N/A</v>
      </c>
      <c r="J51" s="15" t="e">
        <f t="shared" si="3"/>
        <v>#N/A</v>
      </c>
      <c r="K51" s="15" t="e">
        <f t="shared" si="3"/>
        <v>#N/A</v>
      </c>
      <c r="L51" s="15" t="e">
        <f t="shared" si="3"/>
        <v>#N/A</v>
      </c>
      <c r="M51" s="15" t="e">
        <f t="shared" si="3"/>
        <v>#N/A</v>
      </c>
      <c r="N51" s="15" t="e">
        <f t="shared" si="3"/>
        <v>#N/A</v>
      </c>
      <c r="O51" s="15" t="e">
        <f t="shared" ref="O51" si="4">O48-O49</f>
        <v>#N/A</v>
      </c>
      <c r="P51" s="7"/>
    </row>
    <row r="52" spans="1:19" s="1" customFormat="1" x14ac:dyDescent="0.25">
      <c r="B52" s="12" t="s">
        <v>58</v>
      </c>
      <c r="C52" s="111" t="e">
        <f>ABS(MAX(C48:N48)-MIN(C49:N49))</f>
        <v>#N/A</v>
      </c>
      <c r="D52" s="111"/>
      <c r="E52" s="111"/>
      <c r="F52" s="111"/>
      <c r="G52" s="111"/>
      <c r="H52" s="111"/>
      <c r="I52" s="111"/>
      <c r="J52" s="111"/>
      <c r="K52" s="111"/>
      <c r="L52" s="111"/>
      <c r="M52" s="111"/>
      <c r="N52" s="111"/>
      <c r="O52" s="111"/>
      <c r="P52" s="111"/>
    </row>
    <row r="53" spans="1:19" s="1" customFormat="1" x14ac:dyDescent="0.25">
      <c r="B53" s="12" t="s">
        <v>59</v>
      </c>
      <c r="C53" s="111" t="e">
        <f>AVERAGE(C50:N50)</f>
        <v>#N/A</v>
      </c>
      <c r="D53" s="111"/>
      <c r="E53" s="111"/>
      <c r="F53" s="111"/>
      <c r="G53" s="111"/>
      <c r="H53" s="111"/>
      <c r="I53" s="111"/>
      <c r="J53" s="111"/>
      <c r="K53" s="111"/>
      <c r="L53" s="111"/>
      <c r="M53" s="111"/>
      <c r="N53" s="111"/>
      <c r="O53" s="111"/>
      <c r="P53" s="111"/>
    </row>
    <row r="54" spans="1:19" s="1" customFormat="1" x14ac:dyDescent="0.25">
      <c r="B54" s="10" t="s">
        <v>60</v>
      </c>
      <c r="C54" s="16" t="e">
        <f ca="1">STDEV(OFFSET(INDEX(Donnees_Brutes_190[Connecteur 1],1),COUNT(Donnees_Brutes_190[Connecteur 1])-30,0,30))+C5+C6</f>
        <v>#REF!</v>
      </c>
      <c r="D54" s="16" t="e">
        <f ca="1">STDEV(OFFSET(INDEX(Donnees_Brutes_190[Connecteur 2],1),COUNT(Donnees_Brutes_190[Connecteur 2])-30,0,30))+D5+D6</f>
        <v>#REF!</v>
      </c>
      <c r="E54" s="16" t="e">
        <f ca="1">STDEV(OFFSET(INDEX(Donnees_Brutes_190[Connecteur 3],1),COUNT(Donnees_Brutes_190[Connecteur 3])-30,0,30))+E5+E6</f>
        <v>#REF!</v>
      </c>
      <c r="F54" s="16" t="e">
        <f ca="1">STDEV(OFFSET(INDEX(Donnees_Brutes_190[Connecteur 4],1),COUNT(Donnees_Brutes_190[Connecteur 4])-30,0,30))+F5+F6</f>
        <v>#REF!</v>
      </c>
      <c r="G54" s="16" t="e">
        <f ca="1">STDEV(OFFSET(INDEX(Donnees_Brutes_190[Connecteur 5],1),COUNT(Donnees_Brutes_190[Connecteur 5])-30,0,30))+G5+G6</f>
        <v>#REF!</v>
      </c>
      <c r="H54" s="16" t="e">
        <f ca="1">STDEV(OFFSET(INDEX(Donnees_Brutes_190[Connecteur 6],1),COUNT(Donnees_Brutes_190[Connecteur 6])-30,0,30))+H5+H6</f>
        <v>#REF!</v>
      </c>
      <c r="I54" s="16" t="e">
        <f ca="1">STDEV(OFFSET(INDEX(Donnees_Brutes_190[Connecteur 7],1),COUNT(Donnees_Brutes_190[Connecteur 7])-30,0,30))+I5+I6</f>
        <v>#REF!</v>
      </c>
      <c r="J54" s="16" t="e">
        <f ca="1">STDEV(OFFSET(INDEX(Donnees_Brutes_190[Connecteur 8],1),COUNT(Donnees_Brutes_190[Connecteur 8])-30,0,30))+J5+J6</f>
        <v>#REF!</v>
      </c>
      <c r="K54" s="16" t="e">
        <f ca="1">STDEV(OFFSET(INDEX(Donnees_Brutes_190[Connecteur 9],1),COUNT(Donnees_Brutes_190[Connecteur 9])-30,0,30))+K5+K6</f>
        <v>#REF!</v>
      </c>
      <c r="L54" s="16" t="e">
        <f ca="1">STDEV(OFFSET(INDEX(Donnees_Brutes_190[Connecteur 10],1),COUNT(Donnees_Brutes_190[Connecteur 10])-30,0,30))+L5+L6</f>
        <v>#REF!</v>
      </c>
      <c r="M54" s="16" t="e">
        <f ca="1">STDEV(OFFSET(INDEX(Donnees_Brutes_190[Connecteur 11],1),COUNT(Donnees_Brutes_190[Connecteur 11])-30,0,30))+M5+M6</f>
        <v>#REF!</v>
      </c>
      <c r="N54" s="16" t="e">
        <f ca="1">STDEV(OFFSET(INDEX(Donnees_Brutes_190[Connecteur 12],1),COUNT(Donnees_Brutes_190[Connecteur 12])-30,0,30))+N5+N6</f>
        <v>#REF!</v>
      </c>
      <c r="O54" s="16" t="e">
        <f ca="1">STDEV(OFFSET(INDEX(Donnees_Brutes_190[Connecteur 13],1),COUNT(Donnees_Brutes_190[Connecteur 13])-30,0,30))+O5+O6</f>
        <v>#REF!</v>
      </c>
      <c r="P54" s="7"/>
    </row>
    <row r="55" spans="1:19" s="1" customFormat="1" x14ac:dyDescent="0.25">
      <c r="A55"/>
      <c r="B55"/>
      <c r="C55"/>
      <c r="D55"/>
      <c r="E55"/>
      <c r="F55"/>
      <c r="G55"/>
      <c r="H55"/>
      <c r="I55"/>
      <c r="J55"/>
      <c r="K55"/>
      <c r="L55"/>
      <c r="M55"/>
      <c r="N55"/>
      <c r="O55"/>
      <c r="P55"/>
    </row>
  </sheetData>
  <sheetProtection algorithmName="SHA-512" hashValue="n+SnXofnVXYisDYX7kbc1YQokiFoglBzAiada4tGAkbyzVTuTCczre0gHnafb4K6zeKnnb7vATHE85w7N3bKUg==" saltValue="wlc5dEtg5acu1/8BoDV3aw==" spinCount="100000" sheet="1" objects="1" scenarios="1" autoFilter="0"/>
  <mergeCells count="6">
    <mergeCell ref="A1:S3"/>
    <mergeCell ref="A9:N9"/>
    <mergeCell ref="A46:XFD46"/>
    <mergeCell ref="C52:P52"/>
    <mergeCell ref="C53:P53"/>
    <mergeCell ref="A11:A41"/>
  </mergeCells>
  <conditionalFormatting sqref="C48:O48">
    <cfRule type="cellIs" dxfId="13" priority="10" operator="greaterThan">
      <formula>$P$48</formula>
    </cfRule>
  </conditionalFormatting>
  <conditionalFormatting sqref="C49:O49">
    <cfRule type="cellIs" dxfId="12" priority="11" operator="lessThan">
      <formula>$P$49</formula>
    </cfRule>
  </conditionalFormatting>
  <pageMargins left="0.7" right="0.7" top="0.75" bottom="0.75" header="0.3" footer="0.3"/>
  <pageSetup paperSize="9" scale="34"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76B76-61E6-4819-8421-52A1FED8A616}">
  <sheetPr codeName="Feuil8"/>
  <dimension ref="A4:N512"/>
  <sheetViews>
    <sheetView view="pageBreakPreview" topLeftCell="A304" zoomScale="60" zoomScaleNormal="100" zoomScalePageLayoutView="60" workbookViewId="0">
      <selection activeCell="H350" sqref="H350"/>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136" t="s">
        <v>167</v>
      </c>
      <c r="C4" s="137"/>
      <c r="D4" s="137"/>
      <c r="E4" s="137"/>
      <c r="F4" s="137"/>
    </row>
    <row r="5" spans="2:9" ht="26.25" x14ac:dyDescent="0.25">
      <c r="B5" s="137"/>
      <c r="C5" s="137"/>
      <c r="D5" s="137"/>
      <c r="E5" s="137"/>
      <c r="F5" s="137"/>
      <c r="G5" s="36"/>
      <c r="H5" s="36"/>
      <c r="I5" s="37"/>
    </row>
    <row r="6" spans="2:9" ht="58.5" customHeight="1" x14ac:dyDescent="0.25">
      <c r="B6" s="137"/>
      <c r="C6" s="137"/>
      <c r="D6" s="137"/>
      <c r="E6" s="137"/>
      <c r="F6" s="137"/>
    </row>
    <row r="10" spans="2:9" ht="21" x14ac:dyDescent="0.25">
      <c r="C10" s="119" t="s">
        <v>72</v>
      </c>
      <c r="D10" s="119"/>
      <c r="E10" s="120">
        <f>Mesures!D5</f>
        <v>0</v>
      </c>
      <c r="F10" s="120"/>
    </row>
    <row r="11" spans="2:9" ht="21" x14ac:dyDescent="0.25">
      <c r="C11" s="38"/>
      <c r="D11" s="38"/>
      <c r="E11" s="39"/>
      <c r="F11" s="39"/>
    </row>
    <row r="12" spans="2:9" x14ac:dyDescent="0.25">
      <c r="C12" s="35" t="s">
        <v>73</v>
      </c>
      <c r="D12" s="84">
        <f>Mesures!C7</f>
        <v>0</v>
      </c>
      <c r="F12" s="35" t="s">
        <v>74</v>
      </c>
      <c r="G12" s="84">
        <f>Mesures!G7</f>
        <v>0</v>
      </c>
    </row>
    <row r="13" spans="2:9" ht="15.75" x14ac:dyDescent="0.25">
      <c r="C13" s="40" t="s">
        <v>75</v>
      </c>
      <c r="D13" s="85">
        <f>Mesures!C8</f>
        <v>0</v>
      </c>
      <c r="F13" s="41" t="s">
        <v>76</v>
      </c>
      <c r="G13" s="85">
        <f>Mesures!G8</f>
        <v>0</v>
      </c>
    </row>
    <row r="14" spans="2:9" ht="15.75" x14ac:dyDescent="0.25">
      <c r="C14" s="42"/>
      <c r="D14" s="43"/>
      <c r="G14" s="44"/>
    </row>
    <row r="15" spans="2:9" ht="15.75" x14ac:dyDescent="0.25">
      <c r="C15" s="45" t="s">
        <v>77</v>
      </c>
      <c r="D15" s="46">
        <f>Mesures!C14</f>
        <v>0</v>
      </c>
      <c r="F15" s="35" t="s">
        <v>78</v>
      </c>
      <c r="G15" s="80">
        <f>Mesures!C15</f>
        <v>0</v>
      </c>
    </row>
    <row r="16" spans="2:9" ht="15.75" x14ac:dyDescent="0.25">
      <c r="C16" s="45" t="s">
        <v>79</v>
      </c>
      <c r="D16" s="47">
        <f>Mesures!G11</f>
        <v>15</v>
      </c>
      <c r="F16" s="35" t="s">
        <v>80</v>
      </c>
      <c r="G16" s="80">
        <f>Mesures!G12</f>
        <v>0</v>
      </c>
    </row>
    <row r="17" spans="1:9" ht="15.75" x14ac:dyDescent="0.25">
      <c r="C17" s="42"/>
      <c r="D17" s="43"/>
      <c r="F17" s="42"/>
      <c r="G17" s="17"/>
    </row>
    <row r="18" spans="1:9" ht="15.75" x14ac:dyDescent="0.25">
      <c r="C18" s="45" t="s">
        <v>81</v>
      </c>
      <c r="D18" s="86">
        <f>Mesures!C11</f>
        <v>0</v>
      </c>
      <c r="F18" s="35" t="s">
        <v>82</v>
      </c>
      <c r="G18" s="80">
        <f>Mesures!G10</f>
        <v>0</v>
      </c>
    </row>
    <row r="19" spans="1:9" ht="15.75" x14ac:dyDescent="0.25">
      <c r="C19" s="40" t="s">
        <v>83</v>
      </c>
      <c r="D19" s="86">
        <f>Mesures!C11</f>
        <v>0</v>
      </c>
    </row>
    <row r="20" spans="1:9" ht="15.75" x14ac:dyDescent="0.25">
      <c r="C20" s="42"/>
      <c r="D20" s="43"/>
    </row>
    <row r="21" spans="1:9" ht="15.75" x14ac:dyDescent="0.25">
      <c r="C21" s="42"/>
      <c r="D21" s="43"/>
    </row>
    <row r="28" spans="1:9" ht="36" x14ac:dyDescent="0.55000000000000004">
      <c r="A28" s="121" t="s">
        <v>84</v>
      </c>
      <c r="B28" s="121"/>
    </row>
    <row r="30" spans="1:9" x14ac:dyDescent="0.25">
      <c r="A30" s="122" t="s">
        <v>181</v>
      </c>
      <c r="B30" s="122"/>
      <c r="C30" s="122"/>
      <c r="D30" s="122"/>
      <c r="E30" s="122"/>
      <c r="F30" s="122"/>
      <c r="G30" s="122"/>
      <c r="H30" s="122"/>
      <c r="I30" s="122"/>
    </row>
    <row r="31" spans="1:9" x14ac:dyDescent="0.25">
      <c r="A31" s="122"/>
      <c r="B31" s="122"/>
      <c r="C31" s="122"/>
      <c r="D31" s="122"/>
      <c r="E31" s="122"/>
      <c r="F31" s="122"/>
      <c r="G31" s="122"/>
      <c r="H31" s="122"/>
      <c r="I31" s="122"/>
    </row>
    <row r="32" spans="1:9" x14ac:dyDescent="0.25">
      <c r="A32" s="122"/>
      <c r="B32" s="122"/>
      <c r="C32" s="122"/>
      <c r="D32" s="122"/>
      <c r="E32" s="122"/>
      <c r="F32" s="122"/>
      <c r="G32" s="122"/>
      <c r="H32" s="122"/>
      <c r="I32" s="122"/>
    </row>
    <row r="33" spans="1:9" x14ac:dyDescent="0.25">
      <c r="A33" s="122"/>
      <c r="B33" s="122"/>
      <c r="C33" s="122"/>
      <c r="D33" s="122"/>
      <c r="E33" s="122"/>
      <c r="F33" s="122"/>
      <c r="G33" s="122"/>
      <c r="H33" s="122"/>
      <c r="I33" s="122"/>
    </row>
    <row r="34" spans="1:9" x14ac:dyDescent="0.25">
      <c r="A34" s="122"/>
      <c r="B34" s="122"/>
      <c r="C34" s="122"/>
      <c r="D34" s="122"/>
      <c r="E34" s="122"/>
      <c r="F34" s="122"/>
      <c r="G34" s="122"/>
      <c r="H34" s="122"/>
      <c r="I34" s="122"/>
    </row>
    <row r="35" spans="1:9" x14ac:dyDescent="0.25">
      <c r="A35" s="122"/>
      <c r="B35" s="122"/>
      <c r="C35" s="122"/>
      <c r="D35" s="122"/>
      <c r="E35" s="122"/>
      <c r="F35" s="122"/>
      <c r="G35" s="122"/>
      <c r="H35" s="122"/>
      <c r="I35" s="122"/>
    </row>
    <row r="36" spans="1:9" x14ac:dyDescent="0.25">
      <c r="A36" s="122"/>
      <c r="B36" s="122"/>
      <c r="C36" s="122"/>
      <c r="D36" s="122"/>
      <c r="E36" s="122"/>
      <c r="F36" s="122"/>
      <c r="G36" s="122"/>
      <c r="H36" s="122"/>
      <c r="I36" s="122"/>
    </row>
    <row r="37" spans="1:9" x14ac:dyDescent="0.25">
      <c r="A37" s="122"/>
      <c r="B37" s="122"/>
      <c r="C37" s="122"/>
      <c r="D37" s="122"/>
      <c r="E37" s="122"/>
      <c r="F37" s="122"/>
      <c r="G37" s="122"/>
      <c r="H37" s="122"/>
      <c r="I37" s="122"/>
    </row>
    <row r="38" spans="1:9" x14ac:dyDescent="0.25">
      <c r="A38" s="122"/>
      <c r="B38" s="122"/>
      <c r="C38" s="122"/>
      <c r="D38" s="122"/>
      <c r="E38" s="122"/>
      <c r="F38" s="122"/>
      <c r="G38" s="122"/>
      <c r="H38" s="122"/>
      <c r="I38" s="122"/>
    </row>
    <row r="39" spans="1:9" x14ac:dyDescent="0.25">
      <c r="A39" s="122"/>
      <c r="B39" s="122"/>
      <c r="C39" s="122"/>
      <c r="D39" s="122"/>
      <c r="E39" s="122"/>
      <c r="F39" s="122"/>
      <c r="G39" s="122"/>
      <c r="H39" s="122"/>
      <c r="I39" s="122"/>
    </row>
    <row r="40" spans="1:9" x14ac:dyDescent="0.25">
      <c r="A40" s="122"/>
      <c r="B40" s="122"/>
      <c r="C40" s="122"/>
      <c r="D40" s="122"/>
      <c r="E40" s="122"/>
      <c r="F40" s="122"/>
      <c r="G40" s="122"/>
      <c r="H40" s="122"/>
      <c r="I40" s="122"/>
    </row>
    <row r="41" spans="1:9" x14ac:dyDescent="0.25">
      <c r="A41" s="122"/>
      <c r="B41" s="122"/>
      <c r="C41" s="122"/>
      <c r="D41" s="122"/>
      <c r="E41" s="122"/>
      <c r="F41" s="122"/>
      <c r="G41" s="122"/>
      <c r="H41" s="122"/>
      <c r="I41" s="122"/>
    </row>
    <row r="42" spans="1:9" x14ac:dyDescent="0.25">
      <c r="A42" s="122"/>
      <c r="B42" s="122"/>
      <c r="C42" s="122"/>
      <c r="D42" s="122"/>
      <c r="E42" s="122"/>
      <c r="F42" s="122"/>
      <c r="G42" s="122"/>
      <c r="H42" s="122"/>
      <c r="I42" s="122"/>
    </row>
    <row r="43" spans="1:9" x14ac:dyDescent="0.25">
      <c r="A43" s="122"/>
      <c r="B43" s="122"/>
      <c r="C43" s="122"/>
      <c r="D43" s="122"/>
      <c r="E43" s="122"/>
      <c r="F43" s="122"/>
      <c r="G43" s="122"/>
      <c r="H43" s="122"/>
      <c r="I43" s="122"/>
    </row>
    <row r="44" spans="1:9" x14ac:dyDescent="0.25">
      <c r="A44" s="122"/>
      <c r="B44" s="122"/>
      <c r="C44" s="122"/>
      <c r="D44" s="122"/>
      <c r="E44" s="122"/>
      <c r="F44" s="122"/>
      <c r="G44" s="122"/>
      <c r="H44" s="122"/>
      <c r="I44" s="122"/>
    </row>
    <row r="45" spans="1:9" x14ac:dyDescent="0.25">
      <c r="A45" s="122"/>
      <c r="B45" s="122"/>
      <c r="C45" s="122"/>
      <c r="D45" s="122"/>
      <c r="E45" s="122"/>
      <c r="F45" s="122"/>
      <c r="G45" s="122"/>
      <c r="H45" s="122"/>
      <c r="I45" s="122"/>
    </row>
    <row r="46" spans="1:9" x14ac:dyDescent="0.25">
      <c r="A46" s="122"/>
      <c r="B46" s="122"/>
      <c r="C46" s="122"/>
      <c r="D46" s="122"/>
      <c r="E46" s="122"/>
      <c r="F46" s="122"/>
      <c r="G46" s="122"/>
      <c r="H46" s="122"/>
      <c r="I46" s="122"/>
    </row>
    <row r="47" spans="1:9" x14ac:dyDescent="0.25">
      <c r="A47" s="122"/>
      <c r="B47" s="122"/>
      <c r="C47" s="122"/>
      <c r="D47" s="122"/>
      <c r="E47" s="122"/>
      <c r="F47" s="122"/>
      <c r="G47" s="122"/>
      <c r="H47" s="122"/>
      <c r="I47" s="122"/>
    </row>
    <row r="51" spans="2:8" ht="36" x14ac:dyDescent="0.25">
      <c r="C51" s="123" t="s">
        <v>85</v>
      </c>
      <c r="D51" s="123"/>
      <c r="E51" s="123"/>
      <c r="F51" s="123"/>
    </row>
    <row r="52" spans="2:8" ht="17.25" x14ac:dyDescent="0.25">
      <c r="B52" s="49"/>
    </row>
    <row r="53" spans="2:8" ht="23.25" x14ac:dyDescent="0.25">
      <c r="B53" s="50" t="s">
        <v>86</v>
      </c>
    </row>
    <row r="55" spans="2:8" ht="21" x14ac:dyDescent="0.25">
      <c r="B55" s="51" t="s">
        <v>155</v>
      </c>
      <c r="E55" s="124" t="s">
        <v>158</v>
      </c>
      <c r="F55" s="124"/>
      <c r="G55" s="51"/>
      <c r="H55" s="52"/>
    </row>
    <row r="56" spans="2:8" ht="21" x14ac:dyDescent="0.25">
      <c r="B56" s="51" t="s">
        <v>156</v>
      </c>
      <c r="E56" s="124" t="s">
        <v>159</v>
      </c>
      <c r="F56" s="124"/>
      <c r="G56" s="124"/>
      <c r="H56" s="51"/>
    </row>
    <row r="57" spans="2:8" ht="21" x14ac:dyDescent="0.25">
      <c r="B57" s="124" t="s">
        <v>157</v>
      </c>
      <c r="C57" s="124"/>
      <c r="E57" s="124" t="s">
        <v>87</v>
      </c>
      <c r="F57" s="124"/>
      <c r="G57" s="52"/>
      <c r="H57" s="52"/>
    </row>
    <row r="59" spans="2:8" ht="23.25" x14ac:dyDescent="0.25">
      <c r="B59" s="50" t="s">
        <v>88</v>
      </c>
    </row>
    <row r="61" spans="2:8" ht="21" x14ac:dyDescent="0.25">
      <c r="B61" s="124" t="s">
        <v>160</v>
      </c>
      <c r="C61" s="124"/>
      <c r="D61" s="51"/>
      <c r="E61" s="124"/>
      <c r="F61" s="124"/>
      <c r="G61" s="124"/>
    </row>
    <row r="62" spans="2:8" ht="21" x14ac:dyDescent="0.25">
      <c r="B62" s="124" t="s">
        <v>161</v>
      </c>
      <c r="C62" s="124"/>
      <c r="D62" s="51"/>
    </row>
    <row r="64" spans="2:8" ht="21" x14ac:dyDescent="0.25">
      <c r="B64" s="51" t="s">
        <v>89</v>
      </c>
    </row>
    <row r="66" spans="2:9" ht="21" x14ac:dyDescent="0.25">
      <c r="B66" s="51" t="s">
        <v>162</v>
      </c>
      <c r="C66" s="51"/>
      <c r="D66" s="51"/>
      <c r="E66" s="138" t="s">
        <v>163</v>
      </c>
      <c r="F66" s="138"/>
      <c r="G66" s="51"/>
      <c r="H66" s="51"/>
      <c r="I66" s="51"/>
    </row>
    <row r="67" spans="2:9" ht="21" x14ac:dyDescent="0.25">
      <c r="B67" s="87" t="s">
        <v>163</v>
      </c>
      <c r="C67" s="51"/>
      <c r="D67" s="51"/>
      <c r="E67" s="124" t="s">
        <v>164</v>
      </c>
      <c r="F67" s="124"/>
      <c r="G67" s="124"/>
      <c r="H67" s="124"/>
      <c r="I67" s="51"/>
    </row>
    <row r="68" spans="2:9" ht="21" x14ac:dyDescent="0.25">
      <c r="B68" s="124"/>
      <c r="C68" s="124"/>
      <c r="D68" s="124"/>
      <c r="E68" s="124"/>
      <c r="F68" s="124"/>
      <c r="G68" s="124"/>
      <c r="H68" s="124"/>
      <c r="I68" s="124"/>
    </row>
    <row r="69" spans="2:9" ht="21" x14ac:dyDescent="0.25">
      <c r="B69" s="124"/>
      <c r="C69" s="124"/>
      <c r="D69" s="124"/>
      <c r="E69" s="124"/>
      <c r="F69" s="124"/>
      <c r="G69" s="124"/>
      <c r="H69" s="124"/>
      <c r="I69" s="52"/>
    </row>
    <row r="85" spans="1:9" ht="36" x14ac:dyDescent="0.25">
      <c r="C85" s="123" t="s">
        <v>90</v>
      </c>
      <c r="D85" s="123"/>
      <c r="E85" s="123"/>
      <c r="F85" s="123"/>
      <c r="G85" s="123"/>
    </row>
    <row r="87" spans="1:9" ht="26.25" x14ac:dyDescent="0.25">
      <c r="B87" s="53" t="s">
        <v>91</v>
      </c>
    </row>
    <row r="89" spans="1:9" ht="21" x14ac:dyDescent="0.25">
      <c r="B89" s="51" t="s">
        <v>180</v>
      </c>
      <c r="C89" s="51"/>
      <c r="E89" s="51"/>
      <c r="F89" s="51"/>
      <c r="G89" s="51"/>
      <c r="H89" s="52"/>
    </row>
    <row r="90" spans="1:9" ht="21" x14ac:dyDescent="0.25">
      <c r="B90" s="51" t="s">
        <v>92</v>
      </c>
      <c r="C90" s="51"/>
      <c r="E90" s="51"/>
      <c r="F90" s="51"/>
      <c r="G90" s="51"/>
      <c r="H90" s="52"/>
    </row>
    <row r="91" spans="1:9" ht="21" x14ac:dyDescent="0.25">
      <c r="B91" s="51" t="s">
        <v>165</v>
      </c>
      <c r="C91" s="51"/>
      <c r="E91" s="51"/>
      <c r="F91" s="51"/>
      <c r="G91" s="51"/>
      <c r="H91" s="52"/>
    </row>
    <row r="92" spans="1:9" ht="21" x14ac:dyDescent="0.25">
      <c r="B92" s="51" t="s">
        <v>166</v>
      </c>
      <c r="C92" s="51"/>
      <c r="E92" s="51"/>
      <c r="F92" s="51"/>
      <c r="G92" s="51"/>
      <c r="H92" s="52"/>
    </row>
    <row r="93" spans="1:9" ht="21" x14ac:dyDescent="0.25">
      <c r="B93" s="54"/>
      <c r="C93" s="54"/>
      <c r="E93" s="51"/>
      <c r="F93" s="51"/>
      <c r="G93" s="51"/>
      <c r="H93" s="52"/>
    </row>
    <row r="94" spans="1:9" ht="17.25" x14ac:dyDescent="0.25">
      <c r="A94" s="55"/>
      <c r="C94" s="94" t="s">
        <v>93</v>
      </c>
      <c r="D94" s="99"/>
      <c r="E94" s="99"/>
      <c r="F94" s="99"/>
      <c r="G94" s="99"/>
      <c r="H94" s="95"/>
      <c r="I94" s="55"/>
    </row>
    <row r="95" spans="1:9" ht="30" x14ac:dyDescent="0.25">
      <c r="A95" s="55"/>
      <c r="B95" s="55"/>
      <c r="C95" s="93"/>
      <c r="D95" s="93"/>
      <c r="E95" s="18" t="s">
        <v>94</v>
      </c>
      <c r="F95" s="82" t="s">
        <v>95</v>
      </c>
      <c r="G95" s="82" t="s">
        <v>96</v>
      </c>
      <c r="H95" s="82" t="s">
        <v>97</v>
      </c>
      <c r="I95" s="56"/>
    </row>
    <row r="96" spans="1:9" ht="17.25" x14ac:dyDescent="0.25">
      <c r="A96" s="55"/>
      <c r="B96" s="55"/>
      <c r="C96" s="94" t="str">
        <f>Mesures!A44</f>
        <v xml:space="preserve">Sonde </v>
      </c>
      <c r="D96" s="95"/>
      <c r="E96" s="81" cm="1">
        <f t="array" ref="E96:H108">Mesures!C44:F56</f>
        <v>0</v>
      </c>
      <c r="F96" s="81">
        <v>0</v>
      </c>
      <c r="G96" s="81">
        <v>0</v>
      </c>
      <c r="H96" s="81">
        <v>0</v>
      </c>
      <c r="I96" s="55"/>
    </row>
    <row r="97" spans="1:9" ht="17.25" x14ac:dyDescent="0.25">
      <c r="A97" s="55"/>
      <c r="B97" s="55"/>
      <c r="C97" s="94" t="str">
        <f>Mesures!A45</f>
        <v xml:space="preserve">Sonde </v>
      </c>
      <c r="D97" s="95"/>
      <c r="E97" s="81">
        <v>0</v>
      </c>
      <c r="F97" s="81">
        <v>0</v>
      </c>
      <c r="G97" s="81">
        <v>0</v>
      </c>
      <c r="H97" s="81">
        <v>0</v>
      </c>
      <c r="I97" s="55"/>
    </row>
    <row r="98" spans="1:9" ht="17.25" x14ac:dyDescent="0.25">
      <c r="A98" s="55"/>
      <c r="B98" s="55"/>
      <c r="C98" s="94" t="str">
        <f>Mesures!A46</f>
        <v xml:space="preserve">Sonde </v>
      </c>
      <c r="D98" s="95"/>
      <c r="E98" s="81">
        <v>0</v>
      </c>
      <c r="F98" s="81">
        <v>0</v>
      </c>
      <c r="G98" s="81">
        <v>0</v>
      </c>
      <c r="H98" s="81">
        <v>0</v>
      </c>
      <c r="I98" s="55"/>
    </row>
    <row r="99" spans="1:9" ht="17.25" x14ac:dyDescent="0.25">
      <c r="A99" s="55"/>
      <c r="B99" s="55"/>
      <c r="C99" s="94" t="str">
        <f>Mesures!A47</f>
        <v xml:space="preserve">Sonde </v>
      </c>
      <c r="D99" s="95"/>
      <c r="E99" s="81">
        <v>0</v>
      </c>
      <c r="F99" s="81">
        <v>0</v>
      </c>
      <c r="G99" s="81">
        <v>0</v>
      </c>
      <c r="H99" s="81">
        <v>0</v>
      </c>
      <c r="I99" s="55"/>
    </row>
    <row r="100" spans="1:9" ht="17.25" x14ac:dyDescent="0.25">
      <c r="A100" s="55"/>
      <c r="B100" s="55"/>
      <c r="C100" s="94" t="str">
        <f>Mesures!A48</f>
        <v xml:space="preserve">Sonde </v>
      </c>
      <c r="D100" s="95"/>
      <c r="E100" s="81">
        <v>0</v>
      </c>
      <c r="F100" s="81">
        <v>0</v>
      </c>
      <c r="G100" s="81">
        <v>0</v>
      </c>
      <c r="H100" s="81">
        <v>0</v>
      </c>
      <c r="I100" s="55"/>
    </row>
    <row r="101" spans="1:9" ht="17.25" x14ac:dyDescent="0.25">
      <c r="A101" s="55"/>
      <c r="B101" s="55"/>
      <c r="C101" s="94" t="str">
        <f>Mesures!A49</f>
        <v xml:space="preserve">Sonde </v>
      </c>
      <c r="D101" s="95"/>
      <c r="E101" s="81">
        <v>0</v>
      </c>
      <c r="F101" s="81">
        <v>0</v>
      </c>
      <c r="G101" s="81">
        <v>0</v>
      </c>
      <c r="H101" s="81">
        <v>0</v>
      </c>
      <c r="I101" s="55"/>
    </row>
    <row r="102" spans="1:9" ht="17.25" x14ac:dyDescent="0.25">
      <c r="A102" s="55"/>
      <c r="B102" s="55"/>
      <c r="C102" s="94" t="str">
        <f>Mesures!A50</f>
        <v xml:space="preserve">Sonde </v>
      </c>
      <c r="D102" s="95"/>
      <c r="E102" s="81">
        <v>0</v>
      </c>
      <c r="F102" s="81">
        <v>0</v>
      </c>
      <c r="G102" s="81">
        <v>0</v>
      </c>
      <c r="H102" s="81">
        <v>0</v>
      </c>
      <c r="I102" s="55"/>
    </row>
    <row r="103" spans="1:9" ht="17.25" x14ac:dyDescent="0.25">
      <c r="A103" s="55"/>
      <c r="B103" s="55"/>
      <c r="C103" s="94" t="str">
        <f>Mesures!A51</f>
        <v xml:space="preserve">Sonde </v>
      </c>
      <c r="D103" s="95"/>
      <c r="E103" s="81">
        <v>0</v>
      </c>
      <c r="F103" s="81">
        <v>0</v>
      </c>
      <c r="G103" s="81">
        <v>0</v>
      </c>
      <c r="H103" s="81">
        <v>0</v>
      </c>
      <c r="I103" s="55"/>
    </row>
    <row r="104" spans="1:9" ht="17.25" x14ac:dyDescent="0.25">
      <c r="A104" s="55"/>
      <c r="B104" s="55"/>
      <c r="C104" s="94" t="str">
        <f>Mesures!A52</f>
        <v xml:space="preserve">Sonde </v>
      </c>
      <c r="D104" s="95"/>
      <c r="E104" s="81">
        <v>0</v>
      </c>
      <c r="F104" s="81">
        <v>0</v>
      </c>
      <c r="G104" s="81">
        <v>0</v>
      </c>
      <c r="H104" s="81">
        <v>0</v>
      </c>
      <c r="I104" s="55"/>
    </row>
    <row r="105" spans="1:9" ht="17.25" x14ac:dyDescent="0.25">
      <c r="A105" s="55"/>
      <c r="B105" s="55"/>
      <c r="C105" s="94" t="str">
        <f>Mesures!A53</f>
        <v xml:space="preserve">Sonde </v>
      </c>
      <c r="D105" s="95"/>
      <c r="E105" s="81">
        <v>0</v>
      </c>
      <c r="F105" s="81">
        <v>0</v>
      </c>
      <c r="G105" s="81">
        <v>0</v>
      </c>
      <c r="H105" s="81">
        <v>0</v>
      </c>
      <c r="I105" s="55"/>
    </row>
    <row r="106" spans="1:9" ht="17.25" x14ac:dyDescent="0.25">
      <c r="A106" s="55"/>
      <c r="B106" s="55"/>
      <c r="C106" s="94" t="str">
        <f>Mesures!A54</f>
        <v xml:space="preserve">Sonde </v>
      </c>
      <c r="D106" s="95"/>
      <c r="E106" s="81">
        <v>0</v>
      </c>
      <c r="F106" s="81">
        <v>0</v>
      </c>
      <c r="G106" s="81">
        <v>0</v>
      </c>
      <c r="H106" s="81">
        <v>0</v>
      </c>
      <c r="I106" s="55"/>
    </row>
    <row r="107" spans="1:9" ht="17.25" x14ac:dyDescent="0.25">
      <c r="A107" s="55"/>
      <c r="B107" s="55"/>
      <c r="C107" s="94" t="str">
        <f>Mesures!A55</f>
        <v xml:space="preserve">Sonde </v>
      </c>
      <c r="D107" s="95"/>
      <c r="E107" s="81">
        <v>0</v>
      </c>
      <c r="F107" s="81">
        <v>0</v>
      </c>
      <c r="G107" s="81">
        <v>0</v>
      </c>
      <c r="H107" s="81">
        <v>0</v>
      </c>
      <c r="I107" s="55"/>
    </row>
    <row r="108" spans="1:9" ht="17.25" x14ac:dyDescent="0.25">
      <c r="A108" s="55"/>
      <c r="B108" s="55"/>
      <c r="C108" s="94" t="str">
        <f>Mesures!A56</f>
        <v xml:space="preserve">Sonde </v>
      </c>
      <c r="D108" s="95"/>
      <c r="E108" s="81">
        <v>0</v>
      </c>
      <c r="F108" s="81">
        <v>0</v>
      </c>
      <c r="G108" s="81">
        <v>0</v>
      </c>
      <c r="H108" s="81">
        <v>0</v>
      </c>
      <c r="I108" s="55"/>
    </row>
    <row r="109" spans="1:9" ht="17.25" x14ac:dyDescent="0.25">
      <c r="A109" s="55"/>
      <c r="B109" s="55"/>
      <c r="C109" s="55"/>
      <c r="D109" s="55"/>
      <c r="E109" s="55"/>
      <c r="F109" s="55"/>
      <c r="G109" s="55"/>
      <c r="H109" s="55"/>
      <c r="I109" s="55"/>
    </row>
    <row r="110" spans="1:9" ht="17.25" x14ac:dyDescent="0.25">
      <c r="A110" s="55"/>
      <c r="B110" s="55"/>
      <c r="C110" s="55"/>
      <c r="D110" s="55"/>
      <c r="E110" s="55"/>
      <c r="F110" s="55"/>
      <c r="G110" s="55"/>
      <c r="H110" s="55"/>
      <c r="I110" s="55"/>
    </row>
    <row r="111" spans="1:9" ht="17.25" x14ac:dyDescent="0.25">
      <c r="A111" s="55"/>
      <c r="B111" s="55"/>
      <c r="C111" s="55"/>
      <c r="D111" s="55"/>
      <c r="E111" s="55"/>
      <c r="F111" s="55"/>
      <c r="G111" s="55"/>
      <c r="H111" s="55"/>
      <c r="I111" s="55"/>
    </row>
    <row r="112" spans="1:9" ht="17.25" x14ac:dyDescent="0.25">
      <c r="A112" s="55"/>
      <c r="B112" s="55"/>
      <c r="C112" s="55"/>
      <c r="D112" s="55"/>
      <c r="E112" s="55"/>
      <c r="F112" s="55"/>
      <c r="G112" s="55"/>
      <c r="H112" s="55"/>
      <c r="I112" s="55"/>
    </row>
    <row r="113" spans="1:9" ht="17.25" x14ac:dyDescent="0.25">
      <c r="A113" s="55"/>
      <c r="B113" s="55"/>
      <c r="C113" s="55"/>
      <c r="D113" s="55"/>
      <c r="E113" s="55"/>
      <c r="F113" s="55"/>
      <c r="G113" s="55"/>
      <c r="H113" s="55"/>
      <c r="I113" s="55"/>
    </row>
    <row r="114" spans="1:9" ht="17.25" x14ac:dyDescent="0.25">
      <c r="A114" s="55"/>
      <c r="B114" s="55"/>
      <c r="C114" s="55"/>
      <c r="D114" s="55"/>
      <c r="E114" s="55"/>
      <c r="F114" s="55"/>
      <c r="G114" s="55"/>
      <c r="H114" s="55"/>
      <c r="I114" s="55"/>
    </row>
    <row r="115" spans="1:9" ht="17.25" x14ac:dyDescent="0.25">
      <c r="A115" s="55"/>
      <c r="B115" s="55"/>
      <c r="C115" s="55"/>
      <c r="D115" s="55"/>
      <c r="E115" s="55"/>
      <c r="F115" s="55"/>
      <c r="G115" s="55"/>
      <c r="H115" s="55"/>
      <c r="I115" s="55"/>
    </row>
    <row r="116" spans="1:9" ht="21" x14ac:dyDescent="0.25">
      <c r="B116" s="126" t="s">
        <v>98</v>
      </c>
      <c r="C116" s="126"/>
      <c r="D116" s="126"/>
      <c r="E116" s="126"/>
      <c r="F116" s="126"/>
    </row>
    <row r="118" spans="1:9" ht="26.25" x14ac:dyDescent="0.25">
      <c r="B118" s="53" t="s">
        <v>99</v>
      </c>
    </row>
    <row r="119" spans="1:9" ht="21" x14ac:dyDescent="0.3">
      <c r="E119" s="51" t="s">
        <v>100</v>
      </c>
      <c r="F119" s="51"/>
      <c r="G119" s="57">
        <f>Mesures!K44</f>
        <v>0</v>
      </c>
    </row>
    <row r="120" spans="1:9" ht="21" x14ac:dyDescent="0.3">
      <c r="B120" s="58" t="s">
        <v>101</v>
      </c>
      <c r="C120" s="51" t="s">
        <v>102</v>
      </c>
      <c r="E120" s="51" t="s">
        <v>103</v>
      </c>
      <c r="F120" s="51"/>
      <c r="G120" s="57">
        <f>Mesures!L44</f>
        <v>0</v>
      </c>
    </row>
    <row r="121" spans="1:9" ht="21" x14ac:dyDescent="0.25">
      <c r="B121" s="58" t="s">
        <v>104</v>
      </c>
      <c r="C121" s="54" t="s">
        <v>105</v>
      </c>
      <c r="E121" s="51" t="s">
        <v>106</v>
      </c>
      <c r="F121" s="51"/>
      <c r="G121" s="59">
        <f>Mesures!M44</f>
        <v>0</v>
      </c>
    </row>
    <row r="122" spans="1:9" ht="21" x14ac:dyDescent="0.35">
      <c r="B122" s="60" t="s">
        <v>107</v>
      </c>
      <c r="C122" s="61" t="s">
        <v>108</v>
      </c>
      <c r="E122" s="51" t="s">
        <v>109</v>
      </c>
      <c r="F122" s="51"/>
      <c r="G122" s="62" t="e">
        <f>"±" &amp;  SUBSTITUTE(ROUND(AVERAGE(Mesures!D23:F35),2),"-"," ") &amp; "°C"</f>
        <v>#DIV/0!</v>
      </c>
    </row>
    <row r="127" spans="1:9" ht="36" x14ac:dyDescent="0.25">
      <c r="C127" s="123" t="s">
        <v>110</v>
      </c>
      <c r="D127" s="123"/>
      <c r="E127" s="123"/>
      <c r="F127" s="123"/>
    </row>
    <row r="128" spans="1:9" ht="36" x14ac:dyDescent="0.25">
      <c r="B128" s="48"/>
      <c r="C128" s="48"/>
      <c r="D128" s="48"/>
    </row>
    <row r="129" spans="2:9" x14ac:dyDescent="0.25">
      <c r="B129" s="118"/>
      <c r="C129" s="118"/>
      <c r="D129" s="118"/>
      <c r="E129" s="118"/>
      <c r="F129" s="118"/>
      <c r="G129" s="118"/>
      <c r="H129" s="118"/>
      <c r="I129" s="118"/>
    </row>
    <row r="130" spans="2:9" x14ac:dyDescent="0.25">
      <c r="B130" s="118"/>
      <c r="C130" s="118"/>
      <c r="D130" s="118"/>
      <c r="E130" s="118"/>
      <c r="F130" s="118"/>
      <c r="G130" s="118"/>
      <c r="H130" s="118"/>
      <c r="I130" s="118"/>
    </row>
    <row r="131" spans="2:9" x14ac:dyDescent="0.25">
      <c r="B131" s="118"/>
      <c r="C131" s="118"/>
      <c r="D131" s="118"/>
      <c r="E131" s="118"/>
      <c r="F131" s="118"/>
      <c r="G131" s="118"/>
      <c r="H131" s="118"/>
      <c r="I131" s="118"/>
    </row>
    <row r="132" spans="2:9" x14ac:dyDescent="0.25">
      <c r="B132" s="118"/>
      <c r="C132" s="118"/>
      <c r="D132" s="118"/>
      <c r="E132" s="118"/>
      <c r="F132" s="118"/>
      <c r="G132" s="118"/>
      <c r="H132" s="118"/>
      <c r="I132" s="118"/>
    </row>
    <row r="133" spans="2:9" x14ac:dyDescent="0.25">
      <c r="B133" s="118"/>
      <c r="C133" s="118"/>
      <c r="D133" s="118"/>
      <c r="E133" s="118"/>
      <c r="F133" s="118"/>
      <c r="G133" s="118"/>
      <c r="H133" s="118"/>
      <c r="I133" s="118"/>
    </row>
    <row r="134" spans="2:9" x14ac:dyDescent="0.25">
      <c r="B134" s="118"/>
      <c r="C134" s="118"/>
      <c r="D134" s="118"/>
      <c r="E134" s="118"/>
      <c r="F134" s="118"/>
      <c r="G134" s="118"/>
      <c r="H134" s="118"/>
      <c r="I134" s="118"/>
    </row>
    <row r="135" spans="2:9" x14ac:dyDescent="0.25">
      <c r="B135" s="118"/>
      <c r="C135" s="118"/>
      <c r="D135" s="118"/>
      <c r="E135" s="118"/>
      <c r="F135" s="118"/>
      <c r="G135" s="118"/>
      <c r="H135" s="118"/>
      <c r="I135" s="118"/>
    </row>
    <row r="136" spans="2:9" x14ac:dyDescent="0.25">
      <c r="B136" s="118"/>
      <c r="C136" s="118"/>
      <c r="D136" s="118"/>
      <c r="E136" s="118"/>
      <c r="F136" s="118"/>
      <c r="G136" s="118"/>
      <c r="H136" s="118"/>
      <c r="I136" s="118"/>
    </row>
    <row r="137" spans="2:9" x14ac:dyDescent="0.25">
      <c r="B137" s="118"/>
      <c r="C137" s="118"/>
      <c r="D137" s="118"/>
      <c r="E137" s="118"/>
      <c r="F137" s="118"/>
      <c r="G137" s="118"/>
      <c r="H137" s="118"/>
      <c r="I137" s="118"/>
    </row>
    <row r="138" spans="2:9" x14ac:dyDescent="0.25">
      <c r="B138" s="118"/>
      <c r="C138" s="118"/>
      <c r="D138" s="118"/>
      <c r="E138" s="118"/>
      <c r="F138" s="118"/>
      <c r="G138" s="118"/>
      <c r="H138" s="118"/>
      <c r="I138" s="118"/>
    </row>
    <row r="139" spans="2:9" x14ac:dyDescent="0.25">
      <c r="B139" s="118"/>
      <c r="C139" s="118"/>
      <c r="D139" s="118"/>
      <c r="E139" s="118"/>
      <c r="F139" s="118"/>
      <c r="G139" s="118"/>
      <c r="H139" s="118"/>
      <c r="I139" s="118"/>
    </row>
    <row r="140" spans="2:9" x14ac:dyDescent="0.25">
      <c r="B140" s="118"/>
      <c r="C140" s="118"/>
      <c r="D140" s="118"/>
      <c r="E140" s="118"/>
      <c r="F140" s="118"/>
      <c r="G140" s="118"/>
      <c r="H140" s="118"/>
      <c r="I140" s="118"/>
    </row>
    <row r="141" spans="2:9" x14ac:dyDescent="0.25">
      <c r="B141" s="118"/>
      <c r="C141" s="118"/>
      <c r="D141" s="118"/>
      <c r="E141" s="118"/>
      <c r="F141" s="118"/>
      <c r="G141" s="118"/>
      <c r="H141" s="118"/>
      <c r="I141" s="118"/>
    </row>
    <row r="142" spans="2:9" x14ac:dyDescent="0.25">
      <c r="B142" s="118"/>
      <c r="C142" s="118"/>
      <c r="D142" s="118"/>
      <c r="E142" s="118"/>
      <c r="F142" s="118"/>
      <c r="G142" s="118"/>
      <c r="H142" s="118"/>
      <c r="I142" s="118"/>
    </row>
    <row r="143" spans="2:9" x14ac:dyDescent="0.25">
      <c r="B143" s="118"/>
      <c r="C143" s="118"/>
      <c r="D143" s="118"/>
      <c r="E143" s="118"/>
      <c r="F143" s="118"/>
      <c r="G143" s="118"/>
      <c r="H143" s="118"/>
      <c r="I143" s="118"/>
    </row>
    <row r="144" spans="2:9" x14ac:dyDescent="0.25">
      <c r="B144" s="118"/>
      <c r="C144" s="118"/>
      <c r="D144" s="118"/>
      <c r="E144" s="118"/>
      <c r="F144" s="118"/>
      <c r="G144" s="118"/>
      <c r="H144" s="118"/>
      <c r="I144" s="118"/>
    </row>
    <row r="163" spans="1:8" ht="36" x14ac:dyDescent="0.25">
      <c r="C163" s="123" t="s">
        <v>168</v>
      </c>
      <c r="D163" s="123"/>
      <c r="E163" s="123"/>
      <c r="F163" s="123"/>
      <c r="G163" s="123"/>
      <c r="H163" s="123"/>
    </row>
    <row r="166" spans="1:8" ht="15.75" thickBot="1" x14ac:dyDescent="0.3"/>
    <row r="167" spans="1:8" ht="15.75" thickBot="1" x14ac:dyDescent="0.3">
      <c r="A167" s="20" t="s">
        <v>62</v>
      </c>
      <c r="B167" s="21" t="s">
        <v>63</v>
      </c>
      <c r="C167" s="21" t="s">
        <v>64</v>
      </c>
    </row>
    <row r="168" spans="1:8" x14ac:dyDescent="0.25">
      <c r="A168" s="22">
        <v>1</v>
      </c>
      <c r="B168" s="23">
        <f>Mesures!B23</f>
        <v>0</v>
      </c>
      <c r="C168" s="24">
        <f>Mesures!C23</f>
        <v>0</v>
      </c>
    </row>
    <row r="169" spans="1:8" x14ac:dyDescent="0.25">
      <c r="A169" s="26">
        <v>2</v>
      </c>
      <c r="B169" s="23">
        <f>Mesures!B24</f>
        <v>0</v>
      </c>
      <c r="C169" s="24">
        <f>Mesures!C24</f>
        <v>0</v>
      </c>
    </row>
    <row r="170" spans="1:8" x14ac:dyDescent="0.25">
      <c r="A170" s="22">
        <v>3</v>
      </c>
      <c r="B170" s="23">
        <f>Mesures!B25</f>
        <v>0</v>
      </c>
      <c r="C170" s="24">
        <f>Mesures!C25</f>
        <v>0</v>
      </c>
    </row>
    <row r="171" spans="1:8" x14ac:dyDescent="0.25">
      <c r="A171" s="26">
        <v>4</v>
      </c>
      <c r="B171" s="23">
        <f>Mesures!B26</f>
        <v>0</v>
      </c>
      <c r="C171" s="24">
        <f>Mesures!C26</f>
        <v>0</v>
      </c>
    </row>
    <row r="172" spans="1:8" x14ac:dyDescent="0.25">
      <c r="A172" s="22">
        <v>5</v>
      </c>
      <c r="B172" s="23">
        <f>Mesures!B27</f>
        <v>0</v>
      </c>
      <c r="C172" s="24">
        <f>Mesures!C27</f>
        <v>0</v>
      </c>
    </row>
    <row r="173" spans="1:8" x14ac:dyDescent="0.25">
      <c r="A173" s="26">
        <v>6</v>
      </c>
      <c r="B173" s="23">
        <f>Mesures!B28</f>
        <v>0</v>
      </c>
      <c r="C173" s="24">
        <f>Mesures!C28</f>
        <v>0</v>
      </c>
    </row>
    <row r="174" spans="1:8" x14ac:dyDescent="0.25">
      <c r="A174" s="22">
        <v>7</v>
      </c>
      <c r="B174" s="23">
        <f>Mesures!B29</f>
        <v>0</v>
      </c>
      <c r="C174" s="24">
        <f>Mesures!C29</f>
        <v>0</v>
      </c>
    </row>
    <row r="175" spans="1:8" x14ac:dyDescent="0.25">
      <c r="A175" s="26">
        <v>8</v>
      </c>
      <c r="B175" s="23">
        <f>Mesures!B30</f>
        <v>0</v>
      </c>
      <c r="C175" s="24">
        <f>Mesures!C30</f>
        <v>0</v>
      </c>
    </row>
    <row r="176" spans="1:8" x14ac:dyDescent="0.25">
      <c r="A176" s="22">
        <v>9</v>
      </c>
      <c r="B176" s="23">
        <f>Mesures!B31</f>
        <v>0</v>
      </c>
      <c r="C176" s="24">
        <f>Mesures!C31</f>
        <v>0</v>
      </c>
    </row>
    <row r="177" spans="1:3" x14ac:dyDescent="0.25">
      <c r="A177" s="26">
        <v>10</v>
      </c>
      <c r="B177" s="23">
        <f>Mesures!B32</f>
        <v>0</v>
      </c>
      <c r="C177" s="24">
        <f>Mesures!C32</f>
        <v>0</v>
      </c>
    </row>
    <row r="178" spans="1:3" x14ac:dyDescent="0.25">
      <c r="A178" s="22">
        <v>11</v>
      </c>
      <c r="B178" s="23">
        <f>Mesures!B33</f>
        <v>0</v>
      </c>
      <c r="C178" s="24">
        <f>Mesures!C33</f>
        <v>0</v>
      </c>
    </row>
    <row r="179" spans="1:3" x14ac:dyDescent="0.25">
      <c r="A179" s="26">
        <v>12</v>
      </c>
      <c r="B179" s="23">
        <f>Mesures!B34</f>
        <v>0</v>
      </c>
      <c r="C179" s="24">
        <f>Mesures!C34</f>
        <v>0</v>
      </c>
    </row>
    <row r="180" spans="1:3" x14ac:dyDescent="0.25">
      <c r="A180" s="26">
        <v>13</v>
      </c>
      <c r="B180" s="23">
        <f>Mesures!B35</f>
        <v>0</v>
      </c>
      <c r="C180" s="24">
        <f>Mesures!C35</f>
        <v>0</v>
      </c>
    </row>
    <row r="196" spans="1:9" ht="36" x14ac:dyDescent="0.25">
      <c r="C196" s="123" t="s">
        <v>171</v>
      </c>
      <c r="D196" s="123"/>
      <c r="E196" s="123"/>
      <c r="F196" s="123"/>
      <c r="G196" s="123"/>
      <c r="H196" s="123"/>
    </row>
    <row r="200" spans="1:9" x14ac:dyDescent="0.25">
      <c r="A200" s="63" t="s">
        <v>169</v>
      </c>
      <c r="B200" s="32">
        <v>60</v>
      </c>
      <c r="G200" s="132" t="s">
        <v>111</v>
      </c>
      <c r="H200" s="133"/>
      <c r="I200" s="134"/>
    </row>
    <row r="201" spans="1:9" x14ac:dyDescent="0.25">
      <c r="A201" s="63" t="s">
        <v>170</v>
      </c>
      <c r="B201" s="88">
        <f>Mesures!B20</f>
        <v>5</v>
      </c>
      <c r="G201" s="64" t="s">
        <v>112</v>
      </c>
      <c r="H201" s="64" t="s">
        <v>113</v>
      </c>
      <c r="I201" s="64" t="s">
        <v>114</v>
      </c>
    </row>
    <row r="202" spans="1:9" x14ac:dyDescent="0.25">
      <c r="G202" s="65">
        <f>'60°C'!B11</f>
        <v>0</v>
      </c>
      <c r="H202" s="65">
        <f>'60°C'!B41</f>
        <v>0</v>
      </c>
      <c r="I202" s="65">
        <f>H202-G202</f>
        <v>0</v>
      </c>
    </row>
    <row r="205" spans="1:9" ht="23.25" x14ac:dyDescent="0.25">
      <c r="B205" s="135" t="s">
        <v>115</v>
      </c>
      <c r="C205" s="135"/>
    </row>
    <row r="208" spans="1:9" ht="30" x14ac:dyDescent="0.25">
      <c r="B208" s="66" t="s">
        <v>116</v>
      </c>
      <c r="C208" s="67" t="s">
        <v>117</v>
      </c>
      <c r="D208" s="67" t="s">
        <v>118</v>
      </c>
      <c r="E208" s="68" t="s">
        <v>119</v>
      </c>
      <c r="F208" s="67" t="s">
        <v>120</v>
      </c>
    </row>
    <row r="209" spans="1:6" x14ac:dyDescent="0.25">
      <c r="B209" s="69" t="s">
        <v>121</v>
      </c>
      <c r="C209" s="34" t="str">
        <f>"60°C"</f>
        <v>60°C</v>
      </c>
      <c r="D209" s="34" t="s">
        <v>122</v>
      </c>
      <c r="E209" s="34" t="s">
        <v>122</v>
      </c>
      <c r="F209" s="70" t="s">
        <v>122</v>
      </c>
    </row>
    <row r="210" spans="1:6" x14ac:dyDescent="0.25">
      <c r="B210" s="69" t="s">
        <v>123</v>
      </c>
      <c r="C210" s="34" t="str">
        <f>"60°C"</f>
        <v>60°C</v>
      </c>
      <c r="D210" s="34" t="s">
        <v>122</v>
      </c>
      <c r="E210" s="34" t="s">
        <v>122</v>
      </c>
      <c r="F210" s="70" t="s">
        <v>122</v>
      </c>
    </row>
    <row r="211" spans="1:6" x14ac:dyDescent="0.25">
      <c r="A211" s="125" t="s">
        <v>124</v>
      </c>
      <c r="B211" s="69" t="s">
        <v>125</v>
      </c>
      <c r="C211" s="71" t="e">
        <f>MAX('60°C'!C48:O48)</f>
        <v>#N/A</v>
      </c>
      <c r="D211" s="34" t="e">
        <f>_xlfn.XLOOKUP(INT(SUBSTITUTE(E211,"Connecteur ","")),Mesures!C23:C35,Mesures!A23:A35)</f>
        <v>#N/A</v>
      </c>
      <c r="E211" s="34" t="e" cm="1">
        <f t="array" ref="E211">_xlfn.XLOOKUP(MAX('60°C'!C48:O48),'60°C'!C48:O48,_xlfn.ANCHORARRAY('60°C'!C47))</f>
        <v>#N/A</v>
      </c>
      <c r="F211" s="34" t="e">
        <f>_xlfn.XLOOKUP(INT(SUBSTITUTE(E211,"Connecteur ","")),Mesures!C23:C35,Mesures!B23:B35)</f>
        <v>#N/A</v>
      </c>
    </row>
    <row r="212" spans="1:6" x14ac:dyDescent="0.25">
      <c r="A212" s="125"/>
      <c r="B212" s="69" t="s">
        <v>126</v>
      </c>
      <c r="C212" s="71" t="e">
        <f>MIN('60°C'!C48:O48)</f>
        <v>#N/A</v>
      </c>
      <c r="D212" s="34" t="e">
        <f>_xlfn.XLOOKUP(INT(SUBSTITUTE(E212,"Connecteur ","")),Mesures!C23:C35,Mesures!A23:A35)</f>
        <v>#N/A</v>
      </c>
      <c r="E212" s="34" t="e" cm="1">
        <f t="array" ref="E212">_xlfn.XLOOKUP(MIN('60°C'!C48:O48),'60°C'!C48:O48,_xlfn.ANCHORARRAY('60°C'!C47))</f>
        <v>#N/A</v>
      </c>
      <c r="F212" s="70" t="e">
        <f>_xlfn.XLOOKUP(INT(SUBSTITUTE(E212,"Connecteur ","")),Mesures!C23:C35,Mesures!B23:B35)</f>
        <v>#N/A</v>
      </c>
    </row>
    <row r="213" spans="1:6" x14ac:dyDescent="0.25">
      <c r="A213" s="125"/>
      <c r="B213" s="69" t="s">
        <v>127</v>
      </c>
      <c r="C213" s="71" t="e">
        <f>MIN('60°C'!C49:O49)</f>
        <v>#N/A</v>
      </c>
      <c r="D213" s="34" t="e">
        <f>_xlfn.XLOOKUP(INT(SUBSTITUTE(E213,"Connecteur ","")),Mesures!C23:C35,Mesures!A23:A35)</f>
        <v>#N/A</v>
      </c>
      <c r="E213" s="34" t="e" cm="1">
        <f t="array" ref="E213">_xlfn.XLOOKUP(MIN('60°C'!C49:O49),'60°C'!C49:O49,_xlfn.ANCHORARRAY('60°C'!C47))</f>
        <v>#N/A</v>
      </c>
      <c r="F213" s="70" t="e">
        <f>_xlfn.XLOOKUP(INT(SUBSTITUTE(E213,"Connecteur ","")),Mesures!C23:C35,Mesures!B23:B35)</f>
        <v>#N/A</v>
      </c>
    </row>
    <row r="214" spans="1:6" x14ac:dyDescent="0.25">
      <c r="A214" s="125"/>
      <c r="B214" s="69" t="s">
        <v>128</v>
      </c>
      <c r="C214" s="71" t="e">
        <f>AVERAGE('60°C'!C50:O50)</f>
        <v>#N/A</v>
      </c>
      <c r="D214" s="34" t="s">
        <v>122</v>
      </c>
      <c r="E214" s="34" t="s">
        <v>122</v>
      </c>
      <c r="F214" s="70" t="s">
        <v>122</v>
      </c>
    </row>
    <row r="215" spans="1:6" x14ac:dyDescent="0.25">
      <c r="C215" s="37"/>
      <c r="D215" s="37"/>
      <c r="E215" s="37"/>
      <c r="F215" s="37"/>
    </row>
    <row r="226" spans="1:14" ht="36" x14ac:dyDescent="0.25">
      <c r="B226" s="123" t="s">
        <v>172</v>
      </c>
      <c r="C226" s="123"/>
      <c r="D226" s="123"/>
      <c r="E226" s="123"/>
      <c r="F226" s="123"/>
    </row>
    <row r="229" spans="1:14" x14ac:dyDescent="0.25">
      <c r="B229" s="118" t="s">
        <v>129</v>
      </c>
      <c r="C229" s="118"/>
    </row>
    <row r="233" spans="1:14" x14ac:dyDescent="0.25">
      <c r="A233" s="17"/>
      <c r="B233" s="89" t="str" cm="1">
        <f t="array" ref="B233:N233">Donnees_Brutes_60[[#Headers],[Connecteur 1]:[Connecteur 13]]</f>
        <v>Connecteur 1</v>
      </c>
      <c r="C233" s="89" t="str">
        <v>Connecteur 2</v>
      </c>
      <c r="D233" s="89" t="str">
        <v>Connecteur 3</v>
      </c>
      <c r="E233" s="89" t="str">
        <v>Connecteur 4</v>
      </c>
      <c r="F233" s="89" t="str">
        <v>Connecteur 5</v>
      </c>
      <c r="G233" s="89" t="str">
        <v>Connecteur 6</v>
      </c>
      <c r="H233" s="89" t="str">
        <v>Connecteur 7</v>
      </c>
      <c r="I233" s="89" t="str">
        <v>Connecteur 8</v>
      </c>
      <c r="J233" s="89" t="str">
        <v>Connecteur 9</v>
      </c>
      <c r="K233" s="89" t="str">
        <v>Connecteur 10</v>
      </c>
      <c r="L233" s="89" t="str">
        <v>Connecteur 11</v>
      </c>
      <c r="M233" s="89" t="str">
        <v>Connecteur 12</v>
      </c>
      <c r="N233" s="89" t="str">
        <v>Connecteur 13</v>
      </c>
    </row>
    <row r="234" spans="1:14" x14ac:dyDescent="0.25">
      <c r="A234" s="12" t="s">
        <v>52</v>
      </c>
      <c r="B234" s="13" t="e">
        <f>'60°C'!C48</f>
        <v>#N/A</v>
      </c>
      <c r="C234" s="13" t="e">
        <f>'60°C'!D48</f>
        <v>#N/A</v>
      </c>
      <c r="D234" s="13" t="e">
        <f>'60°C'!E48</f>
        <v>#N/A</v>
      </c>
      <c r="E234" s="13" t="e">
        <f>'60°C'!F48</f>
        <v>#N/A</v>
      </c>
      <c r="F234" s="13" t="e">
        <f>'60°C'!G48</f>
        <v>#N/A</v>
      </c>
      <c r="G234" s="13" t="e">
        <f>'60°C'!H48</f>
        <v>#N/A</v>
      </c>
      <c r="H234" s="13" t="e">
        <f>'60°C'!I48</f>
        <v>#N/A</v>
      </c>
      <c r="I234" s="13" t="e">
        <f>'60°C'!J48</f>
        <v>#N/A</v>
      </c>
      <c r="J234" s="13" t="e">
        <f>'60°C'!K48</f>
        <v>#N/A</v>
      </c>
      <c r="K234" s="13" t="e">
        <f>'60°C'!L48</f>
        <v>#N/A</v>
      </c>
      <c r="L234" s="13" t="e">
        <f>'60°C'!M48</f>
        <v>#N/A</v>
      </c>
      <c r="M234" s="13" t="e">
        <f>'60°C'!N48</f>
        <v>#N/A</v>
      </c>
      <c r="N234" s="13" t="e">
        <f>'60°C'!O48</f>
        <v>#N/A</v>
      </c>
    </row>
    <row r="235" spans="1:14" x14ac:dyDescent="0.25">
      <c r="A235" s="12" t="s">
        <v>54</v>
      </c>
      <c r="B235" s="13" t="e">
        <f>'60°C'!C49</f>
        <v>#N/A</v>
      </c>
      <c r="C235" s="13" t="e">
        <f>'60°C'!D49</f>
        <v>#N/A</v>
      </c>
      <c r="D235" s="13" t="e">
        <f>'60°C'!E49</f>
        <v>#N/A</v>
      </c>
      <c r="E235" s="13" t="e">
        <f>'60°C'!F49</f>
        <v>#N/A</v>
      </c>
      <c r="F235" s="13" t="e">
        <f>'60°C'!G49</f>
        <v>#N/A</v>
      </c>
      <c r="G235" s="13" t="e">
        <f>'60°C'!H49</f>
        <v>#N/A</v>
      </c>
      <c r="H235" s="13" t="e">
        <f>'60°C'!I49</f>
        <v>#N/A</v>
      </c>
      <c r="I235" s="13" t="e">
        <f>'60°C'!J49</f>
        <v>#N/A</v>
      </c>
      <c r="J235" s="13" t="e">
        <f>'60°C'!K49</f>
        <v>#N/A</v>
      </c>
      <c r="K235" s="13" t="e">
        <f>'60°C'!L49</f>
        <v>#N/A</v>
      </c>
      <c r="L235" s="13" t="e">
        <f>'60°C'!M49</f>
        <v>#N/A</v>
      </c>
      <c r="M235" s="13" t="e">
        <f>'60°C'!N49</f>
        <v>#N/A</v>
      </c>
      <c r="N235" s="13" t="e">
        <f>'60°C'!O49</f>
        <v>#N/A</v>
      </c>
    </row>
    <row r="236" spans="1:14" x14ac:dyDescent="0.25">
      <c r="A236" s="12" t="s">
        <v>56</v>
      </c>
      <c r="B236" s="13" t="e">
        <f>'60°C'!C50</f>
        <v>#N/A</v>
      </c>
      <c r="C236" s="13" t="e">
        <f>'60°C'!D50</f>
        <v>#N/A</v>
      </c>
      <c r="D236" s="13" t="e">
        <f>'60°C'!E50</f>
        <v>#N/A</v>
      </c>
      <c r="E236" s="13" t="e">
        <f>'60°C'!F50</f>
        <v>#N/A</v>
      </c>
      <c r="F236" s="13" t="e">
        <f>'60°C'!G50</f>
        <v>#N/A</v>
      </c>
      <c r="G236" s="13" t="e">
        <f>'60°C'!H50</f>
        <v>#N/A</v>
      </c>
      <c r="H236" s="13" t="e">
        <f>'60°C'!I50</f>
        <v>#N/A</v>
      </c>
      <c r="I236" s="13" t="e">
        <f>'60°C'!J50</f>
        <v>#N/A</v>
      </c>
      <c r="J236" s="13" t="e">
        <f>'60°C'!K50</f>
        <v>#N/A</v>
      </c>
      <c r="K236" s="13" t="e">
        <f>'60°C'!L50</f>
        <v>#N/A</v>
      </c>
      <c r="L236" s="13" t="e">
        <f>'60°C'!M50</f>
        <v>#N/A</v>
      </c>
      <c r="M236" s="13" t="e">
        <f>'60°C'!N50</f>
        <v>#N/A</v>
      </c>
      <c r="N236" s="13" t="e">
        <f>'60°C'!O50</f>
        <v>#N/A</v>
      </c>
    </row>
    <row r="237" spans="1:14" x14ac:dyDescent="0.25">
      <c r="A237" s="12" t="s">
        <v>57</v>
      </c>
      <c r="B237" s="13" t="e">
        <f>'60°C'!C51</f>
        <v>#N/A</v>
      </c>
      <c r="C237" s="13" t="e">
        <f>'60°C'!D51</f>
        <v>#N/A</v>
      </c>
      <c r="D237" s="13" t="e">
        <f>'60°C'!E51</f>
        <v>#N/A</v>
      </c>
      <c r="E237" s="13" t="e">
        <f>'60°C'!F51</f>
        <v>#N/A</v>
      </c>
      <c r="F237" s="13" t="e">
        <f>'60°C'!G51</f>
        <v>#N/A</v>
      </c>
      <c r="G237" s="13" t="e">
        <f>'60°C'!H51</f>
        <v>#N/A</v>
      </c>
      <c r="H237" s="13" t="e">
        <f>'60°C'!I51</f>
        <v>#N/A</v>
      </c>
      <c r="I237" s="13" t="e">
        <f>'60°C'!J51</f>
        <v>#N/A</v>
      </c>
      <c r="J237" s="13" t="e">
        <f>'60°C'!K51</f>
        <v>#N/A</v>
      </c>
      <c r="K237" s="13" t="e">
        <f>'60°C'!L51</f>
        <v>#N/A</v>
      </c>
      <c r="L237" s="13" t="e">
        <f>'60°C'!M51</f>
        <v>#N/A</v>
      </c>
      <c r="M237" s="13" t="e">
        <f>'60°C'!N51</f>
        <v>#N/A</v>
      </c>
      <c r="N237" s="13" t="e">
        <f>'60°C'!O51</f>
        <v>#N/A</v>
      </c>
    </row>
    <row r="238" spans="1:14" x14ac:dyDescent="0.25">
      <c r="A238" s="12" t="s">
        <v>58</v>
      </c>
      <c r="B238" s="129" t="e">
        <f>'60°C'!C52</f>
        <v>#N/A</v>
      </c>
      <c r="C238" s="130"/>
      <c r="D238" s="130"/>
      <c r="E238" s="130"/>
      <c r="F238" s="130"/>
      <c r="G238" s="130"/>
      <c r="H238" s="130"/>
      <c r="I238" s="130"/>
      <c r="J238" s="130"/>
      <c r="K238" s="130"/>
      <c r="L238" s="130"/>
      <c r="M238" s="130"/>
      <c r="N238" s="131"/>
    </row>
    <row r="239" spans="1:14" x14ac:dyDescent="0.25">
      <c r="A239" s="12" t="s">
        <v>59</v>
      </c>
      <c r="B239" s="129" t="e">
        <f>'60°C'!C53</f>
        <v>#N/A</v>
      </c>
      <c r="C239" s="130"/>
      <c r="D239" s="130"/>
      <c r="E239" s="130"/>
      <c r="F239" s="130"/>
      <c r="G239" s="130"/>
      <c r="H239" s="130"/>
      <c r="I239" s="130"/>
      <c r="J239" s="130"/>
      <c r="K239" s="130"/>
      <c r="L239" s="130"/>
      <c r="M239" s="130"/>
      <c r="N239" s="131"/>
    </row>
    <row r="240" spans="1:14" x14ac:dyDescent="0.25">
      <c r="A240" s="10" t="s">
        <v>60</v>
      </c>
      <c r="B240" s="91" t="e" cm="1">
        <f t="array" aca="1" ref="B240:N240" ca="1">'60°C'!C54:O54</f>
        <v>#REF!</v>
      </c>
      <c r="C240" s="90" t="e">
        <f ca="1"/>
        <v>#REF!</v>
      </c>
      <c r="D240" s="90" t="e">
        <f ca="1"/>
        <v>#REF!</v>
      </c>
      <c r="E240" s="90" t="e">
        <f ca="1"/>
        <v>#REF!</v>
      </c>
      <c r="F240" s="90" t="e">
        <f ca="1"/>
        <v>#REF!</v>
      </c>
      <c r="G240" s="90" t="e">
        <f ca="1"/>
        <v>#REF!</v>
      </c>
      <c r="H240" s="90" t="e">
        <f ca="1"/>
        <v>#REF!</v>
      </c>
      <c r="I240" s="90" t="e">
        <f ca="1"/>
        <v>#REF!</v>
      </c>
      <c r="J240" s="90" t="e">
        <f ca="1"/>
        <v>#REF!</v>
      </c>
      <c r="K240" s="90" t="e">
        <f ca="1"/>
        <v>#REF!</v>
      </c>
      <c r="L240" s="90" t="e">
        <f ca="1"/>
        <v>#REF!</v>
      </c>
      <c r="M240" s="90" t="e">
        <f ca="1"/>
        <v>#REF!</v>
      </c>
      <c r="N240" s="90" t="e">
        <f ca="1"/>
        <v>#REF!</v>
      </c>
    </row>
    <row r="252" spans="2:6" x14ac:dyDescent="0.25">
      <c r="B252" s="72"/>
    </row>
    <row r="254" spans="2:6" ht="36" x14ac:dyDescent="0.3">
      <c r="C254" s="73" t="s">
        <v>173</v>
      </c>
      <c r="D254" s="74"/>
      <c r="E254" s="74"/>
      <c r="F254" s="74"/>
    </row>
    <row r="257" spans="2:2" x14ac:dyDescent="0.25">
      <c r="B257" t="s">
        <v>130</v>
      </c>
    </row>
    <row r="299" spans="1:9" x14ac:dyDescent="0.25">
      <c r="A299" s="63" t="s">
        <v>169</v>
      </c>
      <c r="B299" s="32">
        <v>150</v>
      </c>
      <c r="G299" s="132" t="s">
        <v>111</v>
      </c>
      <c r="H299" s="133"/>
      <c r="I299" s="134"/>
    </row>
    <row r="300" spans="1:9" x14ac:dyDescent="0.25">
      <c r="A300" s="63" t="s">
        <v>170</v>
      </c>
      <c r="B300" s="88">
        <f>Mesures!B20</f>
        <v>5</v>
      </c>
      <c r="G300" s="64" t="s">
        <v>112</v>
      </c>
      <c r="H300" s="64" t="s">
        <v>113</v>
      </c>
      <c r="I300" s="64" t="s">
        <v>114</v>
      </c>
    </row>
    <row r="301" spans="1:9" x14ac:dyDescent="0.25">
      <c r="G301" s="65">
        <f>'150°C'!B11</f>
        <v>0</v>
      </c>
      <c r="H301" s="65">
        <f>'150°C'!B41</f>
        <v>0</v>
      </c>
      <c r="I301" s="65">
        <f>H301-G301</f>
        <v>0</v>
      </c>
    </row>
    <row r="304" spans="1:9" ht="23.25" x14ac:dyDescent="0.25">
      <c r="B304" s="135" t="s">
        <v>115</v>
      </c>
      <c r="C304" s="135"/>
    </row>
    <row r="307" spans="1:6" ht="30" x14ac:dyDescent="0.25">
      <c r="B307" s="66" t="s">
        <v>116</v>
      </c>
      <c r="C307" s="67" t="s">
        <v>117</v>
      </c>
      <c r="D307" s="67" t="s">
        <v>118</v>
      </c>
      <c r="E307" s="68" t="s">
        <v>119</v>
      </c>
      <c r="F307" s="67" t="s">
        <v>120</v>
      </c>
    </row>
    <row r="308" spans="1:6" x14ac:dyDescent="0.25">
      <c r="B308" s="69" t="s">
        <v>121</v>
      </c>
      <c r="C308" s="34" t="str">
        <f>"150°C"</f>
        <v>150°C</v>
      </c>
      <c r="D308" s="34" t="s">
        <v>122</v>
      </c>
      <c r="E308" s="34" t="s">
        <v>122</v>
      </c>
      <c r="F308" s="70" t="s">
        <v>122</v>
      </c>
    </row>
    <row r="309" spans="1:6" x14ac:dyDescent="0.25">
      <c r="B309" s="69" t="s">
        <v>123</v>
      </c>
      <c r="C309" s="34" t="str">
        <f>"150°C"</f>
        <v>150°C</v>
      </c>
      <c r="D309" s="34" t="s">
        <v>122</v>
      </c>
      <c r="E309" s="34" t="s">
        <v>122</v>
      </c>
      <c r="F309" s="70" t="s">
        <v>122</v>
      </c>
    </row>
    <row r="310" spans="1:6" x14ac:dyDescent="0.25">
      <c r="A310" s="125" t="s">
        <v>124</v>
      </c>
      <c r="B310" s="69" t="s">
        <v>125</v>
      </c>
      <c r="C310" s="71" t="e">
        <f>MAX('150°C'!C48:O48)</f>
        <v>#N/A</v>
      </c>
      <c r="D310" s="34" t="e">
        <f>_xlfn.XLOOKUP(INT(SUBSTITUTE(E310,"Connecteur ","")),Mesures!C23:C35,Mesures!A23:A35)</f>
        <v>#N/A</v>
      </c>
      <c r="E310" s="34" t="e" cm="1">
        <f t="array" ref="E310">_xlfn.XLOOKUP(MAX('150°C'!C48:O48),'150°C'!C48:O48,_xlfn.ANCHORARRAY('150°C'!C47))</f>
        <v>#N/A</v>
      </c>
      <c r="F310" s="34" t="e">
        <f>_xlfn.XLOOKUP(INT(SUBSTITUTE(E310,"Connecteur ","")),Mesures!C23:C35,Mesures!B23:B35)</f>
        <v>#N/A</v>
      </c>
    </row>
    <row r="311" spans="1:6" x14ac:dyDescent="0.25">
      <c r="A311" s="125"/>
      <c r="B311" s="69" t="s">
        <v>126</v>
      </c>
      <c r="C311" s="71" t="e">
        <f>MIN('150°C'!C48:O48)</f>
        <v>#N/A</v>
      </c>
      <c r="D311" s="34" t="e">
        <f>_xlfn.XLOOKUP(INT(SUBSTITUTE(E311,"Connecteur ","")),Mesures!C23:C35,Mesures!A23:A35)</f>
        <v>#N/A</v>
      </c>
      <c r="E311" s="34" t="e" cm="1">
        <f t="array" ref="E311">_xlfn.XLOOKUP(MIN('150°C'!C48:O48),'150°C'!C48:O48,_xlfn.ANCHORARRAY('150°C'!C47))</f>
        <v>#N/A</v>
      </c>
      <c r="F311" s="70" t="e">
        <f>_xlfn.XLOOKUP(INT(SUBSTITUTE(E311,"Connecteur ","")),Mesures!C23:C35,Mesures!B23:B35)</f>
        <v>#N/A</v>
      </c>
    </row>
    <row r="312" spans="1:6" x14ac:dyDescent="0.25">
      <c r="A312" s="125"/>
      <c r="B312" s="69" t="s">
        <v>127</v>
      </c>
      <c r="C312" s="71" t="e">
        <f>MIN('150°C'!C48:O48)</f>
        <v>#N/A</v>
      </c>
      <c r="D312" s="34" t="e">
        <f>_xlfn.XLOOKUP(INT(SUBSTITUTE(E312,"Connecteur ","")),Mesures!C24:C36,Mesures!A24:A36)</f>
        <v>#N/A</v>
      </c>
      <c r="E312" s="34" t="e" cm="1">
        <f t="array" ref="E312">_xlfn.XLOOKUP(MIN('150°C'!C49:O49),'150°C'!C49:O49,_xlfn.ANCHORARRAY('150°C'!C47))</f>
        <v>#N/A</v>
      </c>
      <c r="F312" s="70" t="e">
        <f>_xlfn.XLOOKUP(INT(SUBSTITUTE(E312,"Connecteur ","")),Mesures!C24:C36,Mesures!B24:B36)</f>
        <v>#N/A</v>
      </c>
    </row>
    <row r="313" spans="1:6" x14ac:dyDescent="0.25">
      <c r="A313" s="125"/>
      <c r="B313" s="69" t="s">
        <v>128</v>
      </c>
      <c r="C313" s="71" t="e">
        <f>AVERAGE('150°C'!C48:O48)</f>
        <v>#N/A</v>
      </c>
      <c r="D313" s="34" t="s">
        <v>122</v>
      </c>
      <c r="E313" s="34" t="s">
        <v>122</v>
      </c>
      <c r="F313" s="70" t="s">
        <v>122</v>
      </c>
    </row>
    <row r="314" spans="1:6" x14ac:dyDescent="0.25">
      <c r="C314" s="37"/>
      <c r="D314" s="37"/>
      <c r="E314" s="37"/>
      <c r="F314" s="37"/>
    </row>
    <row r="324" spans="1:14" ht="36" x14ac:dyDescent="0.25">
      <c r="B324" s="123" t="s">
        <v>174</v>
      </c>
      <c r="C324" s="123"/>
      <c r="D324" s="123"/>
      <c r="E324" s="123"/>
      <c r="F324" s="123"/>
    </row>
    <row r="327" spans="1:14" x14ac:dyDescent="0.25">
      <c r="B327" s="118" t="s">
        <v>129</v>
      </c>
      <c r="C327" s="118"/>
    </row>
    <row r="331" spans="1:14" x14ac:dyDescent="0.25">
      <c r="A331" s="17"/>
      <c r="B331" s="89" t="str" cm="1">
        <f t="array" ref="B331:N331">Donnees_Brutes_60[[#Headers],[Connecteur 1]:[Connecteur 13]]</f>
        <v>Connecteur 1</v>
      </c>
      <c r="C331" s="89" t="str">
        <v>Connecteur 2</v>
      </c>
      <c r="D331" s="89" t="str">
        <v>Connecteur 3</v>
      </c>
      <c r="E331" s="89" t="str">
        <v>Connecteur 4</v>
      </c>
      <c r="F331" s="89" t="str">
        <v>Connecteur 5</v>
      </c>
      <c r="G331" s="89" t="str">
        <v>Connecteur 6</v>
      </c>
      <c r="H331" s="89" t="str">
        <v>Connecteur 7</v>
      </c>
      <c r="I331" s="89" t="str">
        <v>Connecteur 8</v>
      </c>
      <c r="J331" s="89" t="str">
        <v>Connecteur 9</v>
      </c>
      <c r="K331" s="89" t="str">
        <v>Connecteur 10</v>
      </c>
      <c r="L331" s="89" t="str">
        <v>Connecteur 11</v>
      </c>
      <c r="M331" s="89" t="str">
        <v>Connecteur 12</v>
      </c>
      <c r="N331" s="89" t="str">
        <v>Connecteur 13</v>
      </c>
    </row>
    <row r="332" spans="1:14" x14ac:dyDescent="0.25">
      <c r="A332" s="12" t="s">
        <v>52</v>
      </c>
      <c r="B332" s="13" t="e" cm="1">
        <f t="array" ref="B332:N335">'150°C'!C48:O51</f>
        <v>#N/A</v>
      </c>
      <c r="C332" s="13" t="e">
        <v>#N/A</v>
      </c>
      <c r="D332" s="13" t="e">
        <v>#N/A</v>
      </c>
      <c r="E332" s="13" t="e">
        <v>#N/A</v>
      </c>
      <c r="F332" s="13" t="e">
        <v>#N/A</v>
      </c>
      <c r="G332" s="13" t="e">
        <v>#N/A</v>
      </c>
      <c r="H332" s="13" t="e">
        <v>#N/A</v>
      </c>
      <c r="I332" s="13" t="e">
        <v>#N/A</v>
      </c>
      <c r="J332" s="13" t="e">
        <v>#N/A</v>
      </c>
      <c r="K332" s="13" t="e">
        <v>#N/A</v>
      </c>
      <c r="L332" s="13" t="e">
        <v>#N/A</v>
      </c>
      <c r="M332" s="13" t="e">
        <v>#N/A</v>
      </c>
      <c r="N332" s="13" t="e">
        <v>#N/A</v>
      </c>
    </row>
    <row r="333" spans="1:14" x14ac:dyDescent="0.25">
      <c r="A333" s="12" t="s">
        <v>54</v>
      </c>
      <c r="B333" s="13" t="e">
        <v>#N/A</v>
      </c>
      <c r="C333" s="13" t="e">
        <v>#N/A</v>
      </c>
      <c r="D333" s="13" t="e">
        <v>#N/A</v>
      </c>
      <c r="E333" s="13" t="e">
        <v>#N/A</v>
      </c>
      <c r="F333" s="13" t="e">
        <v>#N/A</v>
      </c>
      <c r="G333" s="13" t="e">
        <v>#N/A</v>
      </c>
      <c r="H333" s="13" t="e">
        <v>#N/A</v>
      </c>
      <c r="I333" s="13" t="e">
        <v>#N/A</v>
      </c>
      <c r="J333" s="13" t="e">
        <v>#N/A</v>
      </c>
      <c r="K333" s="13" t="e">
        <v>#N/A</v>
      </c>
      <c r="L333" s="13" t="e">
        <v>#N/A</v>
      </c>
      <c r="M333" s="13" t="e">
        <v>#N/A</v>
      </c>
      <c r="N333" s="13" t="e">
        <v>#N/A</v>
      </c>
    </row>
    <row r="334" spans="1:14" x14ac:dyDescent="0.25">
      <c r="A334" s="12" t="s">
        <v>56</v>
      </c>
      <c r="B334" s="13" t="e">
        <v>#N/A</v>
      </c>
      <c r="C334" s="13" t="e">
        <v>#N/A</v>
      </c>
      <c r="D334" s="13" t="e">
        <v>#N/A</v>
      </c>
      <c r="E334" s="13" t="e">
        <v>#N/A</v>
      </c>
      <c r="F334" s="13" t="e">
        <v>#N/A</v>
      </c>
      <c r="G334" s="13" t="e">
        <v>#N/A</v>
      </c>
      <c r="H334" s="13" t="e">
        <v>#N/A</v>
      </c>
      <c r="I334" s="13" t="e">
        <v>#N/A</v>
      </c>
      <c r="J334" s="13" t="e">
        <v>#N/A</v>
      </c>
      <c r="K334" s="13" t="e">
        <v>#N/A</v>
      </c>
      <c r="L334" s="13" t="e">
        <v>#N/A</v>
      </c>
      <c r="M334" s="13" t="e">
        <v>#N/A</v>
      </c>
      <c r="N334" s="13" t="e">
        <v>#N/A</v>
      </c>
    </row>
    <row r="335" spans="1:14" x14ac:dyDescent="0.25">
      <c r="A335" s="12" t="s">
        <v>57</v>
      </c>
      <c r="B335" s="13" t="e">
        <v>#N/A</v>
      </c>
      <c r="C335" s="13" t="e">
        <v>#N/A</v>
      </c>
      <c r="D335" s="13" t="e">
        <v>#N/A</v>
      </c>
      <c r="E335" s="13" t="e">
        <v>#N/A</v>
      </c>
      <c r="F335" s="13" t="e">
        <v>#N/A</v>
      </c>
      <c r="G335" s="13" t="e">
        <v>#N/A</v>
      </c>
      <c r="H335" s="13" t="e">
        <v>#N/A</v>
      </c>
      <c r="I335" s="13" t="e">
        <v>#N/A</v>
      </c>
      <c r="J335" s="13" t="e">
        <v>#N/A</v>
      </c>
      <c r="K335" s="13" t="e">
        <v>#N/A</v>
      </c>
      <c r="L335" s="13" t="e">
        <v>#N/A</v>
      </c>
      <c r="M335" s="13" t="e">
        <v>#N/A</v>
      </c>
      <c r="N335" s="13" t="e">
        <v>#N/A</v>
      </c>
    </row>
    <row r="336" spans="1:14" x14ac:dyDescent="0.25">
      <c r="A336" s="12" t="s">
        <v>58</v>
      </c>
      <c r="B336" s="129" t="e">
        <f>'150°C'!C52</f>
        <v>#N/A</v>
      </c>
      <c r="C336" s="130"/>
      <c r="D336" s="130"/>
      <c r="E336" s="130"/>
      <c r="F336" s="130"/>
      <c r="G336" s="130"/>
      <c r="H336" s="130"/>
      <c r="I336" s="130"/>
      <c r="J336" s="130"/>
      <c r="K336" s="130"/>
      <c r="L336" s="130"/>
      <c r="M336" s="130"/>
      <c r="N336" s="131"/>
    </row>
    <row r="337" spans="1:14" x14ac:dyDescent="0.25">
      <c r="A337" s="12" t="s">
        <v>59</v>
      </c>
      <c r="B337" s="129" t="e">
        <f>'150°C'!C53</f>
        <v>#N/A</v>
      </c>
      <c r="C337" s="130"/>
      <c r="D337" s="130"/>
      <c r="E337" s="130"/>
      <c r="F337" s="130"/>
      <c r="G337" s="130"/>
      <c r="H337" s="130"/>
      <c r="I337" s="130"/>
      <c r="J337" s="130"/>
      <c r="K337" s="130"/>
      <c r="L337" s="130"/>
      <c r="M337" s="130"/>
      <c r="N337" s="131"/>
    </row>
    <row r="338" spans="1:14" x14ac:dyDescent="0.25">
      <c r="A338" s="10" t="s">
        <v>60</v>
      </c>
      <c r="B338" s="91" t="e" cm="1">
        <f t="array" aca="1" ref="B338:N338" ca="1">'150°C'!C54:O54</f>
        <v>#REF!</v>
      </c>
      <c r="C338" s="90" t="e">
        <f ca="1"/>
        <v>#REF!</v>
      </c>
      <c r="D338" s="90" t="e">
        <f ca="1"/>
        <v>#REF!</v>
      </c>
      <c r="E338" s="90" t="e">
        <f ca="1"/>
        <v>#REF!</v>
      </c>
      <c r="F338" s="90" t="e">
        <f ca="1"/>
        <v>#REF!</v>
      </c>
      <c r="G338" s="90" t="e">
        <f ca="1"/>
        <v>#REF!</v>
      </c>
      <c r="H338" s="90" t="e">
        <f ca="1"/>
        <v>#REF!</v>
      </c>
      <c r="I338" s="90" t="e">
        <f ca="1"/>
        <v>#REF!</v>
      </c>
      <c r="J338" s="90" t="e">
        <f ca="1"/>
        <v>#REF!</v>
      </c>
      <c r="K338" s="90" t="e">
        <f ca="1"/>
        <v>#REF!</v>
      </c>
      <c r="L338" s="90" t="e">
        <f ca="1"/>
        <v>#REF!</v>
      </c>
      <c r="M338" s="90" t="e">
        <f ca="1"/>
        <v>#REF!</v>
      </c>
      <c r="N338" s="90" t="e">
        <f ca="1"/>
        <v>#REF!</v>
      </c>
    </row>
    <row r="348" spans="1:14" x14ac:dyDescent="0.25">
      <c r="B348" s="72"/>
    </row>
    <row r="350" spans="1:14" ht="36" x14ac:dyDescent="0.3">
      <c r="C350" s="73" t="s">
        <v>175</v>
      </c>
      <c r="D350" s="74"/>
      <c r="E350" s="74"/>
      <c r="F350" s="74"/>
    </row>
    <row r="353" spans="2:2" x14ac:dyDescent="0.25">
      <c r="B353" t="s">
        <v>130</v>
      </c>
    </row>
    <row r="409" spans="1:9" x14ac:dyDescent="0.25">
      <c r="A409" s="63" t="s">
        <v>169</v>
      </c>
      <c r="B409" s="32">
        <v>190</v>
      </c>
      <c r="G409" s="132" t="s">
        <v>111</v>
      </c>
      <c r="H409" s="133"/>
      <c r="I409" s="134"/>
    </row>
    <row r="410" spans="1:9" x14ac:dyDescent="0.25">
      <c r="A410" s="63" t="s">
        <v>170</v>
      </c>
      <c r="B410" s="88">
        <f>Mesures!B20</f>
        <v>5</v>
      </c>
      <c r="G410" s="64" t="s">
        <v>112</v>
      </c>
      <c r="H410" s="64" t="s">
        <v>113</v>
      </c>
      <c r="I410" s="64" t="s">
        <v>114</v>
      </c>
    </row>
    <row r="411" spans="1:9" x14ac:dyDescent="0.25">
      <c r="G411" s="65">
        <f>'190°C'!B11</f>
        <v>0</v>
      </c>
      <c r="H411" s="65">
        <f>'190°C'!B41</f>
        <v>0</v>
      </c>
      <c r="I411" s="65">
        <f>H411-G411</f>
        <v>0</v>
      </c>
    </row>
    <row r="414" spans="1:9" ht="23.25" x14ac:dyDescent="0.25">
      <c r="B414" s="135" t="s">
        <v>115</v>
      </c>
      <c r="C414" s="135"/>
    </row>
    <row r="417" spans="1:6" ht="30" x14ac:dyDescent="0.25">
      <c r="B417" s="66" t="s">
        <v>116</v>
      </c>
      <c r="C417" s="67" t="s">
        <v>117</v>
      </c>
      <c r="D417" s="67" t="s">
        <v>118</v>
      </c>
      <c r="E417" s="68" t="s">
        <v>119</v>
      </c>
      <c r="F417" s="67" t="s">
        <v>120</v>
      </c>
    </row>
    <row r="418" spans="1:6" x14ac:dyDescent="0.25">
      <c r="B418" s="69" t="s">
        <v>121</v>
      </c>
      <c r="C418" s="34" t="str">
        <f>"190°C"</f>
        <v>190°C</v>
      </c>
      <c r="D418" s="34" t="s">
        <v>122</v>
      </c>
      <c r="E418" s="34" t="s">
        <v>122</v>
      </c>
      <c r="F418" s="70" t="s">
        <v>122</v>
      </c>
    </row>
    <row r="419" spans="1:6" x14ac:dyDescent="0.25">
      <c r="B419" s="69" t="s">
        <v>123</v>
      </c>
      <c r="C419" s="34" t="str">
        <f>"190°C"</f>
        <v>190°C</v>
      </c>
      <c r="D419" s="34" t="s">
        <v>122</v>
      </c>
      <c r="E419" s="34" t="s">
        <v>122</v>
      </c>
      <c r="F419" s="70" t="s">
        <v>122</v>
      </c>
    </row>
    <row r="420" spans="1:6" x14ac:dyDescent="0.25">
      <c r="A420" s="125" t="s">
        <v>124</v>
      </c>
      <c r="B420" s="69" t="s">
        <v>125</v>
      </c>
      <c r="C420" s="71" t="e">
        <f>MAX('190°C'!C48:O48)</f>
        <v>#N/A</v>
      </c>
      <c r="D420" s="34" t="e">
        <f>_xlfn.XLOOKUP(INT(SUBSTITUTE(E420,"Connecteur ","")),Mesures!C23:C35,Mesures!A23:A35)</f>
        <v>#N/A</v>
      </c>
      <c r="E420" s="34" t="e" cm="1">
        <f t="array" ref="E420">_xlfn.XLOOKUP(MAX('190°C'!C48:O48),'190°C'!C48:O48,_xlfn.ANCHORARRAY('190°C'!C47))</f>
        <v>#N/A</v>
      </c>
      <c r="F420" s="34" t="e">
        <f>_xlfn.XLOOKUP(INT(SUBSTITUTE(E420,"Connecteur ","")),Mesures!C23:C35,Mesures!B23:B35)</f>
        <v>#N/A</v>
      </c>
    </row>
    <row r="421" spans="1:6" x14ac:dyDescent="0.25">
      <c r="A421" s="125"/>
      <c r="B421" s="69" t="s">
        <v>126</v>
      </c>
      <c r="C421" s="71" t="e">
        <f>MIN('190°C'!C48:O48)</f>
        <v>#N/A</v>
      </c>
      <c r="D421" s="34" t="e">
        <f>_xlfn.XLOOKUP(INT(SUBSTITUTE(E421,"Connecteur ","")),Mesures!C23:C35,Mesures!A23:A35)</f>
        <v>#N/A</v>
      </c>
      <c r="E421" s="34" t="e" cm="1">
        <f t="array" ref="E421">_xlfn.XLOOKUP(MIN('190°C'!C48:O48),'190°C'!C48:O48,_xlfn.ANCHORARRAY('190°C'!C47))</f>
        <v>#N/A</v>
      </c>
      <c r="F421" s="70" t="e">
        <f>_xlfn.XLOOKUP(INT(SUBSTITUTE(E421,"Connecteur ","")),Mesures!C23:C35,Mesures!B23:B35)</f>
        <v>#N/A</v>
      </c>
    </row>
    <row r="422" spans="1:6" x14ac:dyDescent="0.25">
      <c r="A422" s="125"/>
      <c r="B422" s="69" t="s">
        <v>127</v>
      </c>
      <c r="C422" s="71" t="e">
        <f>MIN('190°C'!C49:O49)</f>
        <v>#N/A</v>
      </c>
      <c r="D422" s="34" t="e">
        <f>_xlfn.XLOOKUP(INT(SUBSTITUTE(E422,"Connecteur ","")),Mesures!C23:C35,Mesures!A23:A35)</f>
        <v>#N/A</v>
      </c>
      <c r="E422" s="34" t="e" cm="1">
        <f t="array" ref="E422">_xlfn.XLOOKUP(MAX('190°C'!C49:O49),'190°C'!C49:O49,_xlfn.ANCHORARRAY('190°C'!C47))</f>
        <v>#N/A</v>
      </c>
      <c r="F422" s="70" t="e">
        <f>_xlfn.XLOOKUP(INT(SUBSTITUTE(E422,"Connecteur ","")),Mesures!C23:C35,Mesures!B23:B35)</f>
        <v>#N/A</v>
      </c>
    </row>
    <row r="423" spans="1:6" x14ac:dyDescent="0.25">
      <c r="A423" s="125"/>
      <c r="B423" s="69" t="s">
        <v>128</v>
      </c>
      <c r="C423" s="71" t="e">
        <f>AVERAGE('190°C'!C50:O50)</f>
        <v>#N/A</v>
      </c>
      <c r="D423" s="34" t="s">
        <v>122</v>
      </c>
      <c r="E423" s="34" t="s">
        <v>122</v>
      </c>
      <c r="F423" s="70" t="s">
        <v>122</v>
      </c>
    </row>
    <row r="424" spans="1:6" x14ac:dyDescent="0.25">
      <c r="C424" s="37"/>
      <c r="D424" s="37"/>
      <c r="E424" s="37"/>
      <c r="F424" s="37"/>
    </row>
    <row r="433" spans="1:14" ht="36" x14ac:dyDescent="0.25">
      <c r="B433" s="123" t="s">
        <v>174</v>
      </c>
      <c r="C433" s="123"/>
      <c r="D433" s="123"/>
      <c r="E433" s="123"/>
      <c r="F433" s="123"/>
    </row>
    <row r="436" spans="1:14" x14ac:dyDescent="0.25">
      <c r="B436" s="118" t="s">
        <v>129</v>
      </c>
      <c r="C436" s="118"/>
    </row>
    <row r="440" spans="1:14" x14ac:dyDescent="0.25">
      <c r="A440" s="17"/>
      <c r="B440" s="89" t="str" cm="1">
        <f t="array" ref="B440:N440">Donnees_Brutes_60[[#Headers],[Connecteur 1]:[Connecteur 13]]</f>
        <v>Connecteur 1</v>
      </c>
      <c r="C440" s="89" t="str">
        <v>Connecteur 2</v>
      </c>
      <c r="D440" s="89" t="str">
        <v>Connecteur 3</v>
      </c>
      <c r="E440" s="89" t="str">
        <v>Connecteur 4</v>
      </c>
      <c r="F440" s="89" t="str">
        <v>Connecteur 5</v>
      </c>
      <c r="G440" s="89" t="str">
        <v>Connecteur 6</v>
      </c>
      <c r="H440" s="89" t="str">
        <v>Connecteur 7</v>
      </c>
      <c r="I440" s="89" t="str">
        <v>Connecteur 8</v>
      </c>
      <c r="J440" s="89" t="str">
        <v>Connecteur 9</v>
      </c>
      <c r="K440" s="89" t="str">
        <v>Connecteur 10</v>
      </c>
      <c r="L440" s="89" t="str">
        <v>Connecteur 11</v>
      </c>
      <c r="M440" s="89" t="str">
        <v>Connecteur 12</v>
      </c>
      <c r="N440" s="89" t="str">
        <v>Connecteur 13</v>
      </c>
    </row>
    <row r="441" spans="1:14" x14ac:dyDescent="0.25">
      <c r="A441" s="12" t="s">
        <v>52</v>
      </c>
      <c r="B441" s="13" t="e" cm="1">
        <f t="array" ref="B441:N444">'190°C'!C48:O51</f>
        <v>#N/A</v>
      </c>
      <c r="C441" s="13" t="e">
        <v>#N/A</v>
      </c>
      <c r="D441" s="13" t="e">
        <v>#N/A</v>
      </c>
      <c r="E441" s="13" t="e">
        <v>#N/A</v>
      </c>
      <c r="F441" s="13" t="e">
        <v>#N/A</v>
      </c>
      <c r="G441" s="13" t="e">
        <v>#N/A</v>
      </c>
      <c r="H441" s="13" t="e">
        <v>#N/A</v>
      </c>
      <c r="I441" s="13" t="e">
        <v>#N/A</v>
      </c>
      <c r="J441" s="13" t="e">
        <v>#N/A</v>
      </c>
      <c r="K441" s="13" t="e">
        <v>#N/A</v>
      </c>
      <c r="L441" s="13" t="e">
        <v>#N/A</v>
      </c>
      <c r="M441" s="13" t="e">
        <v>#N/A</v>
      </c>
      <c r="N441" s="13" t="e">
        <v>#N/A</v>
      </c>
    </row>
    <row r="442" spans="1:14" x14ac:dyDescent="0.25">
      <c r="A442" s="12" t="s">
        <v>54</v>
      </c>
      <c r="B442" s="13" t="e">
        <v>#N/A</v>
      </c>
      <c r="C442" s="13" t="e">
        <v>#N/A</v>
      </c>
      <c r="D442" s="13" t="e">
        <v>#N/A</v>
      </c>
      <c r="E442" s="13" t="e">
        <v>#N/A</v>
      </c>
      <c r="F442" s="13" t="e">
        <v>#N/A</v>
      </c>
      <c r="G442" s="13" t="e">
        <v>#N/A</v>
      </c>
      <c r="H442" s="13" t="e">
        <v>#N/A</v>
      </c>
      <c r="I442" s="13" t="e">
        <v>#N/A</v>
      </c>
      <c r="J442" s="13" t="e">
        <v>#N/A</v>
      </c>
      <c r="K442" s="13" t="e">
        <v>#N/A</v>
      </c>
      <c r="L442" s="13" t="e">
        <v>#N/A</v>
      </c>
      <c r="M442" s="13" t="e">
        <v>#N/A</v>
      </c>
      <c r="N442" s="13" t="e">
        <v>#N/A</v>
      </c>
    </row>
    <row r="443" spans="1:14" x14ac:dyDescent="0.25">
      <c r="A443" s="12" t="s">
        <v>56</v>
      </c>
      <c r="B443" s="13" t="e">
        <v>#N/A</v>
      </c>
      <c r="C443" s="13" t="e">
        <v>#N/A</v>
      </c>
      <c r="D443" s="13" t="e">
        <v>#N/A</v>
      </c>
      <c r="E443" s="13" t="e">
        <v>#N/A</v>
      </c>
      <c r="F443" s="13" t="e">
        <v>#N/A</v>
      </c>
      <c r="G443" s="13" t="e">
        <v>#N/A</v>
      </c>
      <c r="H443" s="13" t="e">
        <v>#N/A</v>
      </c>
      <c r="I443" s="13" t="e">
        <v>#N/A</v>
      </c>
      <c r="J443" s="13" t="e">
        <v>#N/A</v>
      </c>
      <c r="K443" s="13" t="e">
        <v>#N/A</v>
      </c>
      <c r="L443" s="13" t="e">
        <v>#N/A</v>
      </c>
      <c r="M443" s="13" t="e">
        <v>#N/A</v>
      </c>
      <c r="N443" s="13" t="e">
        <v>#N/A</v>
      </c>
    </row>
    <row r="444" spans="1:14" x14ac:dyDescent="0.25">
      <c r="A444" s="12" t="s">
        <v>57</v>
      </c>
      <c r="B444" s="13" t="e">
        <v>#N/A</v>
      </c>
      <c r="C444" s="13" t="e">
        <v>#N/A</v>
      </c>
      <c r="D444" s="13" t="e">
        <v>#N/A</v>
      </c>
      <c r="E444" s="13" t="e">
        <v>#N/A</v>
      </c>
      <c r="F444" s="13" t="e">
        <v>#N/A</v>
      </c>
      <c r="G444" s="13" t="e">
        <v>#N/A</v>
      </c>
      <c r="H444" s="13" t="e">
        <v>#N/A</v>
      </c>
      <c r="I444" s="13" t="e">
        <v>#N/A</v>
      </c>
      <c r="J444" s="13" t="e">
        <v>#N/A</v>
      </c>
      <c r="K444" s="13" t="e">
        <v>#N/A</v>
      </c>
      <c r="L444" s="13" t="e">
        <v>#N/A</v>
      </c>
      <c r="M444" s="13" t="e">
        <v>#N/A</v>
      </c>
      <c r="N444" s="13" t="e">
        <v>#N/A</v>
      </c>
    </row>
    <row r="445" spans="1:14" x14ac:dyDescent="0.25">
      <c r="A445" s="12" t="s">
        <v>58</v>
      </c>
      <c r="B445" s="129" t="e">
        <f>'190°C'!C52</f>
        <v>#N/A</v>
      </c>
      <c r="C445" s="130"/>
      <c r="D445" s="130"/>
      <c r="E445" s="130"/>
      <c r="F445" s="130"/>
      <c r="G445" s="130"/>
      <c r="H445" s="130"/>
      <c r="I445" s="130"/>
      <c r="J445" s="130"/>
      <c r="K445" s="130"/>
      <c r="L445" s="130"/>
      <c r="M445" s="130"/>
      <c r="N445" s="131"/>
    </row>
    <row r="446" spans="1:14" x14ac:dyDescent="0.25">
      <c r="A446" s="12" t="s">
        <v>59</v>
      </c>
      <c r="B446" s="129" t="e">
        <f>'190°C'!C53</f>
        <v>#N/A</v>
      </c>
      <c r="C446" s="130"/>
      <c r="D446" s="130"/>
      <c r="E446" s="130"/>
      <c r="F446" s="130"/>
      <c r="G446" s="130"/>
      <c r="H446" s="130"/>
      <c r="I446" s="130"/>
      <c r="J446" s="130"/>
      <c r="K446" s="130"/>
      <c r="L446" s="130"/>
      <c r="M446" s="130"/>
      <c r="N446" s="131"/>
    </row>
    <row r="447" spans="1:14" x14ac:dyDescent="0.25">
      <c r="A447" s="10" t="s">
        <v>60</v>
      </c>
      <c r="B447" s="91" t="e" cm="1">
        <f t="array" aca="1" ref="B447:N447" ca="1">'190°C'!C54:O54</f>
        <v>#REF!</v>
      </c>
      <c r="C447" s="90" t="e">
        <f ca="1"/>
        <v>#REF!</v>
      </c>
      <c r="D447" s="90" t="e">
        <f ca="1"/>
        <v>#REF!</v>
      </c>
      <c r="E447" s="90" t="e">
        <f ca="1"/>
        <v>#REF!</v>
      </c>
      <c r="F447" s="90" t="e">
        <f ca="1"/>
        <v>#REF!</v>
      </c>
      <c r="G447" s="90" t="e">
        <f ca="1"/>
        <v>#REF!</v>
      </c>
      <c r="H447" s="90" t="e">
        <f ca="1"/>
        <v>#REF!</v>
      </c>
      <c r="I447" s="90" t="e">
        <f ca="1"/>
        <v>#REF!</v>
      </c>
      <c r="J447" s="90" t="e">
        <f ca="1"/>
        <v>#REF!</v>
      </c>
      <c r="K447" s="90" t="e">
        <f ca="1"/>
        <v>#REF!</v>
      </c>
      <c r="L447" s="90" t="e">
        <f ca="1"/>
        <v>#REF!</v>
      </c>
      <c r="M447" s="90" t="e">
        <f ca="1"/>
        <v>#REF!</v>
      </c>
      <c r="N447" s="90" t="e">
        <f ca="1"/>
        <v>#REF!</v>
      </c>
    </row>
    <row r="453" spans="2:6" x14ac:dyDescent="0.25">
      <c r="B453" s="72"/>
    </row>
    <row r="455" spans="2:6" ht="36" x14ac:dyDescent="0.3">
      <c r="C455" s="73" t="s">
        <v>175</v>
      </c>
      <c r="D455" s="74"/>
      <c r="E455" s="74"/>
      <c r="F455" s="74"/>
    </row>
    <row r="458" spans="2:6" x14ac:dyDescent="0.25">
      <c r="B458" t="s">
        <v>130</v>
      </c>
    </row>
    <row r="505" spans="3:7" x14ac:dyDescent="0.25">
      <c r="C505" s="69" t="s">
        <v>131</v>
      </c>
      <c r="D505" s="69"/>
      <c r="E505" s="64" t="s">
        <v>176</v>
      </c>
      <c r="F505" s="64" t="s">
        <v>177</v>
      </c>
      <c r="G505" s="64" t="s">
        <v>178</v>
      </c>
    </row>
    <row r="506" spans="3:7" x14ac:dyDescent="0.25">
      <c r="C506" s="127" t="s">
        <v>132</v>
      </c>
      <c r="D506" s="128"/>
      <c r="E506" s="34">
        <v>60</v>
      </c>
      <c r="F506" s="34">
        <v>150</v>
      </c>
      <c r="G506" s="34">
        <v>190</v>
      </c>
    </row>
    <row r="507" spans="3:7" x14ac:dyDescent="0.25">
      <c r="C507" s="127" t="s">
        <v>133</v>
      </c>
      <c r="D507" s="128"/>
      <c r="E507" s="71" t="e">
        <f>'60°C'!C52</f>
        <v>#N/A</v>
      </c>
      <c r="F507" s="71" t="e">
        <f>'150°C'!C52</f>
        <v>#N/A</v>
      </c>
      <c r="G507" s="71" t="e">
        <f>'190°C'!C52</f>
        <v>#N/A</v>
      </c>
    </row>
    <row r="508" spans="3:7" x14ac:dyDescent="0.25">
      <c r="C508" s="127" t="s">
        <v>134</v>
      </c>
      <c r="D508" s="128"/>
      <c r="E508" s="92">
        <f>Mesures!B20</f>
        <v>5</v>
      </c>
      <c r="F508" s="92">
        <f>Mesures!B20</f>
        <v>5</v>
      </c>
      <c r="G508" s="92">
        <f>Mesures!B20</f>
        <v>5</v>
      </c>
    </row>
    <row r="509" spans="3:7" x14ac:dyDescent="0.25">
      <c r="C509" s="127" t="s">
        <v>182</v>
      </c>
      <c r="D509" s="128"/>
      <c r="E509" s="34" t="e">
        <f>IF(MIN('60°C'!C49:O49)&lt;'60°C'!P49,"NON CONFORME","CONFORME")</f>
        <v>#N/A</v>
      </c>
      <c r="F509" s="34" t="e">
        <f>IF(MIN('150°C'!C49:O49)&lt;'150°C'!P49,"NON CONFORME","CONFORME")</f>
        <v>#N/A</v>
      </c>
      <c r="G509" s="34" t="e">
        <f>IF(MIN('190°C'!C49:O49)&lt;'190°C'!P49,"NON CONFORME","CONFORME")</f>
        <v>#N/A</v>
      </c>
    </row>
    <row r="510" spans="3:7" x14ac:dyDescent="0.25">
      <c r="C510" s="127" t="s">
        <v>183</v>
      </c>
      <c r="D510" s="128"/>
      <c r="E510" s="34" t="e">
        <f>IF(MAX('60°C'!C48:O48)&gt;'60°C'!P48,"NON CONFORME","CONFORME")</f>
        <v>#N/A</v>
      </c>
      <c r="F510" s="34" t="e">
        <f>IF(MAX('150°C'!C48:O48)&gt;'150°C'!P48,"NON CONFORME","CONFORME")</f>
        <v>#N/A</v>
      </c>
      <c r="G510" s="34" t="e">
        <f>IF(MAX('190°C'!C48:O48)&gt;'190°C'!P48,"NON CONFORME","CONFORME")</f>
        <v>#N/A</v>
      </c>
    </row>
    <row r="511" spans="3:7" x14ac:dyDescent="0.25">
      <c r="C511" s="127" t="s">
        <v>179</v>
      </c>
      <c r="D511" s="128"/>
      <c r="E511" s="34" t="e">
        <f>IF(OR('60°C'!C53&lt;'60°C'!P49,'60°C'!C53&gt;'60°C'!P48),"NON CONFORME","CONFORME")</f>
        <v>#N/A</v>
      </c>
      <c r="F511" s="34" t="e">
        <f>IF(OR('150°C'!C53&lt;'150°C'!P49,'150°C'!C53&gt;'150°C'!P48),"NON CONFORME","CONFORME")</f>
        <v>#N/A</v>
      </c>
      <c r="G511" s="34" t="e">
        <f>IF(OR('190°C'!C53&lt;'190°C'!P49,'190°C'!C53&gt;'190°C'!P48),"NON CONFORME","CONFORME")</f>
        <v>#N/A</v>
      </c>
    </row>
    <row r="512" spans="3:7" x14ac:dyDescent="0.25">
      <c r="C512" s="127" t="s">
        <v>135</v>
      </c>
      <c r="D512" s="128"/>
      <c r="E512" s="34" t="e">
        <f>(MAX('60°C'!C48:O48)- MIN('60°C'!C49:O49))/2</f>
        <v>#N/A</v>
      </c>
      <c r="F512" s="34" t="e">
        <f>(MAX('150°C'!C48:O48)- MIN('150°C'!C49:O49))/2</f>
        <v>#N/A</v>
      </c>
      <c r="G512" s="34" t="e">
        <f>(MAX('190°C'!C48:O48)- MIN('190°C'!C49:O49))/2</f>
        <v>#N/A</v>
      </c>
    </row>
  </sheetData>
  <sheetProtection algorithmName="SHA-512" hashValue="9P08hiaE87ATXG/5RmDXdeKwcM6iNpjY9BQeLm+qJGEXal4nLcLu0Y+IT6xAudqRJWIUQnF0gFKAnpW224Zo3A==" saltValue="0t1L9LwaXSwe6GU/UKcocQ==" spinCount="100000" sheet="1" autoFilter="0"/>
  <mergeCells count="68">
    <mergeCell ref="C511:D511"/>
    <mergeCell ref="A420:A423"/>
    <mergeCell ref="B433:F433"/>
    <mergeCell ref="B436:C436"/>
    <mergeCell ref="B445:N445"/>
    <mergeCell ref="B446:N446"/>
    <mergeCell ref="C510:D510"/>
    <mergeCell ref="C508:D508"/>
    <mergeCell ref="C509:D509"/>
    <mergeCell ref="B336:N336"/>
    <mergeCell ref="G299:I299"/>
    <mergeCell ref="B304:C304"/>
    <mergeCell ref="A310:A313"/>
    <mergeCell ref="B324:F324"/>
    <mergeCell ref="B327:C327"/>
    <mergeCell ref="B4:F6"/>
    <mergeCell ref="B238:N238"/>
    <mergeCell ref="B239:N239"/>
    <mergeCell ref="C105:D105"/>
    <mergeCell ref="C106:D106"/>
    <mergeCell ref="C107:D107"/>
    <mergeCell ref="C108:D108"/>
    <mergeCell ref="B57:C57"/>
    <mergeCell ref="E55:F55"/>
    <mergeCell ref="E56:G56"/>
    <mergeCell ref="B61:C61"/>
    <mergeCell ref="B62:C62"/>
    <mergeCell ref="E66:F66"/>
    <mergeCell ref="G200:I200"/>
    <mergeCell ref="B205:C205"/>
    <mergeCell ref="B68:D68"/>
    <mergeCell ref="C512:D512"/>
    <mergeCell ref="C94:H94"/>
    <mergeCell ref="C95:D95"/>
    <mergeCell ref="C96:D96"/>
    <mergeCell ref="C97:D97"/>
    <mergeCell ref="C98:D98"/>
    <mergeCell ref="C99:D99"/>
    <mergeCell ref="C100:D100"/>
    <mergeCell ref="B229:C229"/>
    <mergeCell ref="C506:D506"/>
    <mergeCell ref="C507:D507"/>
    <mergeCell ref="B337:N337"/>
    <mergeCell ref="G409:I409"/>
    <mergeCell ref="B414:C414"/>
    <mergeCell ref="C163:H163"/>
    <mergeCell ref="C196:H196"/>
    <mergeCell ref="A211:A214"/>
    <mergeCell ref="B226:F226"/>
    <mergeCell ref="C85:G85"/>
    <mergeCell ref="B116:F116"/>
    <mergeCell ref="C127:F127"/>
    <mergeCell ref="B129:I144"/>
    <mergeCell ref="C101:D101"/>
    <mergeCell ref="C102:D102"/>
    <mergeCell ref="C103:D103"/>
    <mergeCell ref="C104:D104"/>
    <mergeCell ref="E68:I68"/>
    <mergeCell ref="B69:D69"/>
    <mergeCell ref="E69:H69"/>
    <mergeCell ref="E67:H67"/>
    <mergeCell ref="E57:F57"/>
    <mergeCell ref="E61:G61"/>
    <mergeCell ref="C10:D10"/>
    <mergeCell ref="E10:F10"/>
    <mergeCell ref="A28:B28"/>
    <mergeCell ref="A30:I47"/>
    <mergeCell ref="C51:F51"/>
  </mergeCells>
  <conditionalFormatting sqref="E509">
    <cfRule type="containsText" dxfId="11" priority="7" operator="containsText" text="NON CONFORME">
      <formula>NOT(ISERROR(SEARCH("NON CONFORME",E509)))</formula>
    </cfRule>
  </conditionalFormatting>
  <conditionalFormatting sqref="E510">
    <cfRule type="containsText" dxfId="10" priority="5" operator="containsText" text="NON CONFORME">
      <formula>NOT(ISERROR(SEARCH("NON CONFORME",E510)))</formula>
    </cfRule>
  </conditionalFormatting>
  <conditionalFormatting sqref="F509">
    <cfRule type="containsText" dxfId="9" priority="4" operator="containsText" text="NON CONFORME">
      <formula>NOT(ISERROR(SEARCH("NON CONFORME",F509)))</formula>
    </cfRule>
  </conditionalFormatting>
  <conditionalFormatting sqref="F510">
    <cfRule type="containsText" dxfId="8" priority="3" operator="containsText" text="NON CONFORME">
      <formula>NOT(ISERROR(SEARCH("NON CONFORME",F510)))</formula>
    </cfRule>
  </conditionalFormatting>
  <conditionalFormatting sqref="G509">
    <cfRule type="containsText" dxfId="7" priority="2" operator="containsText" text="NON CONFORME">
      <formula>NOT(ISERROR(SEARCH("NON CONFORME",G509)))</formula>
    </cfRule>
  </conditionalFormatting>
  <conditionalFormatting sqref="G510">
    <cfRule type="containsText" dxfId="6"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extLst>
    <ext xmlns:x14="http://schemas.microsoft.com/office/spreadsheetml/2009/9/main" uri="{78C0D931-6437-407d-A8EE-F0AAD7539E65}">
      <x14:conditionalFormattings>
        <x14:conditionalFormatting xmlns:xm="http://schemas.microsoft.com/office/excel/2006/main">
          <x14:cfRule type="cellIs" priority="13" operator="greaterThan" id="{337E40AC-3CF0-4C03-8057-95A0D0C43304}">
            <xm:f>'60°C'!$P$48</xm:f>
            <x14:dxf>
              <font>
                <color rgb="FF9C0006"/>
              </font>
              <fill>
                <patternFill>
                  <bgColor rgb="FFFFC7CE"/>
                </patternFill>
              </fill>
            </x14:dxf>
          </x14:cfRule>
          <xm:sqref>B234:N234</xm:sqref>
        </x14:conditionalFormatting>
        <x14:conditionalFormatting xmlns:xm="http://schemas.microsoft.com/office/excel/2006/main">
          <x14:cfRule type="cellIs" priority="12" operator="lessThan" id="{31316A8C-8877-4055-8002-9B953BC82D48}">
            <xm:f>'60°C'!$P$49</xm:f>
            <x14:dxf>
              <font>
                <color rgb="FF9C0006"/>
              </font>
              <fill>
                <patternFill>
                  <bgColor rgb="FFFFC7CE"/>
                </patternFill>
              </fill>
            </x14:dxf>
          </x14:cfRule>
          <xm:sqref>B235:N235</xm:sqref>
        </x14:conditionalFormatting>
        <x14:conditionalFormatting xmlns:xm="http://schemas.microsoft.com/office/excel/2006/main">
          <x14:cfRule type="cellIs" priority="11" operator="greaterThan" id="{2C9F98DC-03D1-4C5E-93DB-6520559B138B}">
            <xm:f>'60°C'!$P$48</xm:f>
            <x14:dxf>
              <font>
                <color rgb="FF9C0006"/>
              </font>
              <fill>
                <patternFill>
                  <bgColor rgb="FFFFC7CE"/>
                </patternFill>
              </fill>
            </x14:dxf>
          </x14:cfRule>
          <xm:sqref>B332:N332</xm:sqref>
        </x14:conditionalFormatting>
        <x14:conditionalFormatting xmlns:xm="http://schemas.microsoft.com/office/excel/2006/main">
          <x14:cfRule type="cellIs" priority="10" operator="lessThan" id="{56BA1327-6BD6-42AD-8AA6-45D564B498CD}">
            <xm:f>'60°C'!$P$49</xm:f>
            <x14:dxf>
              <font>
                <color rgb="FF9C0006"/>
              </font>
              <fill>
                <patternFill>
                  <bgColor rgb="FFFFC7CE"/>
                </patternFill>
              </fill>
            </x14:dxf>
          </x14:cfRule>
          <xm:sqref>B333:N333</xm:sqref>
        </x14:conditionalFormatting>
        <x14:conditionalFormatting xmlns:xm="http://schemas.microsoft.com/office/excel/2006/main">
          <x14:cfRule type="cellIs" priority="9" operator="greaterThan" id="{EEB3021F-B9D6-49AA-B166-1ECBD1AA5347}">
            <xm:f>'60°C'!$P$48</xm:f>
            <x14:dxf>
              <font>
                <color rgb="FF9C0006"/>
              </font>
              <fill>
                <patternFill>
                  <bgColor rgb="FFFFC7CE"/>
                </patternFill>
              </fill>
            </x14:dxf>
          </x14:cfRule>
          <xm:sqref>B441:N441</xm:sqref>
        </x14:conditionalFormatting>
        <x14:conditionalFormatting xmlns:xm="http://schemas.microsoft.com/office/excel/2006/main">
          <x14:cfRule type="cellIs" priority="8" operator="lessThan" id="{E2F37318-7C3C-413F-9EBC-583FCC781F67}">
            <xm:f>'60°C'!$P$49</xm:f>
            <x14:dxf>
              <font>
                <color rgb="FF9C0006"/>
              </font>
              <fill>
                <patternFill>
                  <bgColor rgb="FFFFC7CE"/>
                </patternFill>
              </fill>
            </x14:dxf>
          </x14:cfRule>
          <xm:sqref>B442:N442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3</vt:i4>
      </vt:variant>
    </vt:vector>
  </HeadingPairs>
  <TitlesOfParts>
    <vt:vector size="13" baseType="lpstr">
      <vt:lpstr>Mesures</vt:lpstr>
      <vt:lpstr>Entetes</vt:lpstr>
      <vt:lpstr>Group-1</vt:lpstr>
      <vt:lpstr>Donnee_60</vt:lpstr>
      <vt:lpstr>Donnee_150</vt:lpstr>
      <vt:lpstr>Donnee_190</vt:lpstr>
      <vt:lpstr>60°C</vt:lpstr>
      <vt:lpstr>150°C</vt:lpstr>
      <vt:lpstr>190°C</vt:lpstr>
      <vt:lpstr>PV</vt:lpstr>
      <vt:lpstr>Enregistreur</vt:lpstr>
      <vt:lpstr>Vérification_60</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2024-01-24T15:44:09Z</cp:lastPrinted>
  <dcterms:created xsi:type="dcterms:W3CDTF">2015-06-05T18:19:34Z</dcterms:created>
  <dcterms:modified xsi:type="dcterms:W3CDTF">2024-01-24T15:45:01Z</dcterms:modified>
</cp:coreProperties>
</file>