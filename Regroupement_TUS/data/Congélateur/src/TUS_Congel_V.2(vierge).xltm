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pberne\Desktop\projet_git\Macro_VBA_TUS\Congélateur\src\"/>
    </mc:Choice>
  </mc:AlternateContent>
  <xr:revisionPtr revIDLastSave="0" documentId="13_ncr:11_{B1289707-97C2-4F26-A14E-AA36695920B5}" xr6:coauthVersionLast="47" xr6:coauthVersionMax="47" xr10:uidLastSave="{00000000-0000-0000-0000-000000000000}"/>
  <workbookProtection workbookAlgorithmName="SHA-512" workbookHashValue="l5jPsD3Ul5ZjdBGc7j4BHGF83MB4tR7kXqD4poigc57jfw2Nzhmzr53ww4J2ueUVT/5wSlycc2YTknEagOPJUw==" workbookSaltValue="TMZjwCwdnpTG2L2WTnIjAA==" workbookSpinCount="100000" lockStructure="1"/>
  <bookViews>
    <workbookView xWindow="15750" yWindow="-16380" windowWidth="29040" windowHeight="15840" activeTab="5" xr2:uid="{BDF04682-C56A-4C37-BAA6-B5F857B225CE}"/>
  </bookViews>
  <sheets>
    <sheet name="Mesures" sheetId="1" r:id="rId1"/>
    <sheet name="Valeurs brutes" sheetId="2" r:id="rId2"/>
    <sheet name="Entete" sheetId="3" state="hidden" r:id="rId3"/>
    <sheet name="-30°C" sheetId="4" r:id="rId4"/>
    <sheet name="PV" sheetId="5" r:id="rId5"/>
    <sheet name="Verif_periodique" sheetId="6" r:id="rId6"/>
  </sheets>
  <functionGroups builtInGroupCount="19"/>
  <definedNames>
    <definedName name="Consigne_tolerance">Mesures!$A$19:$B$20</definedName>
    <definedName name="Les_Entetes">Entete!$A$1:$N$20</definedName>
    <definedName name="maintien">'Valeurs brutes'!#REF!</definedName>
    <definedName name="MT1_30">'-30°C'!$A$11</definedName>
    <definedName name="MT2_30">'-30°C'!$A$12</definedName>
    <definedName name="Positions_TC_Enreg">Mesures!$A$22:$C$34</definedName>
    <definedName name="test">'-30°C'!$B$11</definedName>
    <definedName name="test1">'-30°C'!$B$10:$B$11</definedName>
    <definedName name="verif_propagation_30">'-30°C'!$B$10:$N$11</definedName>
    <definedName name="_xlnm.Print_Area" localSheetId="4">PV!$A$1:$J$318</definedName>
    <definedName name="Zone_info_TUS">Mesures!$A$10:$C$15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4" i="6" l="1"/>
  <c r="G31" i="6"/>
  <c r="G28" i="6"/>
  <c r="F34" i="6"/>
  <c r="F31" i="6"/>
  <c r="F28" i="6"/>
  <c r="K36" i="6" l="1"/>
  <c r="K37" i="6" s="1"/>
  <c r="A42" i="1"/>
  <c r="A44" i="1"/>
  <c r="B15" i="6"/>
  <c r="I11" i="6" s="1"/>
  <c r="B14" i="6"/>
  <c r="H14" i="6" s="1"/>
  <c r="B13" i="6"/>
  <c r="C34" i="6" s="1"/>
  <c r="A24" i="6"/>
  <c r="B34" i="6"/>
  <c r="B31" i="6"/>
  <c r="E10" i="5"/>
  <c r="G18" i="5"/>
  <c r="D19" i="5"/>
  <c r="D18" i="5"/>
  <c r="G16" i="5"/>
  <c r="G15" i="5"/>
  <c r="D16" i="5"/>
  <c r="D15" i="5"/>
  <c r="G13" i="5"/>
  <c r="G12" i="5"/>
  <c r="D13" i="5"/>
  <c r="D12" i="5"/>
  <c r="C97" i="5"/>
  <c r="C98" i="5"/>
  <c r="C99" i="5"/>
  <c r="C100" i="5"/>
  <c r="C101" i="5"/>
  <c r="C102" i="5"/>
  <c r="C103" i="5"/>
  <c r="C104" i="5"/>
  <c r="C105" i="5"/>
  <c r="C106" i="5"/>
  <c r="C107" i="5"/>
  <c r="C96" i="5"/>
  <c r="A43" i="1"/>
  <c r="A45" i="1"/>
  <c r="A46" i="1"/>
  <c r="A47" i="1"/>
  <c r="A48" i="1"/>
  <c r="A49" i="1"/>
  <c r="A50" i="1"/>
  <c r="A51" i="1"/>
  <c r="A52" i="1"/>
  <c r="A53" i="1"/>
  <c r="D96" i="5" a="1"/>
  <c r="D96" i="5" s="1"/>
  <c r="G121" i="5"/>
  <c r="G120" i="5"/>
  <c r="G119" i="5"/>
  <c r="A1" i="4"/>
  <c r="E306" i="5"/>
  <c r="E303" i="5"/>
  <c r="C234" i="5" a="1"/>
  <c r="C234" i="5" s="1"/>
  <c r="C15" i="6" l="1" a="1"/>
  <c r="C15" i="6" s="1"/>
  <c r="C20" i="6" s="1"/>
  <c r="I10" i="6"/>
  <c r="I15" i="6"/>
  <c r="G10" i="6"/>
  <c r="H10" i="6"/>
  <c r="G11" i="6"/>
  <c r="H11" i="6"/>
  <c r="C28" i="6"/>
  <c r="C13" i="6" a="1"/>
  <c r="C13" i="6" s="1"/>
  <c r="C22" i="6" s="1"/>
  <c r="C31" i="6"/>
  <c r="C14" i="6" a="1"/>
  <c r="C14" i="6" s="1"/>
  <c r="C21" i="6" s="1"/>
  <c r="G13" i="6"/>
  <c r="C210" i="5"/>
  <c r="C209" i="5"/>
  <c r="H202" i="5" a="1"/>
  <c r="H202" i="5" s="1"/>
  <c r="G202" i="5" a="1"/>
  <c r="G202" i="5" s="1"/>
  <c r="A200" i="5" a="1"/>
  <c r="A200" i="5" s="1"/>
  <c r="A167" i="5" a="1"/>
  <c r="A167" i="5" s="1"/>
  <c r="D28" i="6"/>
  <c r="D34" i="6"/>
  <c r="D31" i="6"/>
  <c r="E28" i="6" l="1"/>
  <c r="H28" i="6"/>
  <c r="I28" i="6"/>
  <c r="E31" i="6"/>
  <c r="E34" i="6"/>
  <c r="I202" i="5"/>
  <c r="G122" i="5"/>
  <c r="O17" i="4"/>
  <c r="C10" i="4" a="1"/>
  <c r="C10" i="4" s="1"/>
  <c r="B10" i="4"/>
  <c r="H34" i="6" l="1"/>
  <c r="I34" i="6"/>
  <c r="H31" i="6"/>
  <c r="I31" i="6"/>
  <c r="O18" i="4"/>
  <c r="O16" i="4"/>
  <c r="C15" i="4" l="1" a="1"/>
  <c r="D6" i="4" s="1"/>
  <c r="B11" i="4" a="1"/>
  <c r="B11" i="4" s="1"/>
  <c r="A28" i="6" s="1"/>
  <c r="A31" i="6" l="1"/>
  <c r="A34" i="6"/>
  <c r="C15" i="4"/>
  <c r="M6" i="4"/>
  <c r="E6" i="4"/>
  <c r="I5" i="4"/>
  <c r="L6" i="4"/>
  <c r="K6" i="4"/>
  <c r="G5" i="4"/>
  <c r="J6" i="4"/>
  <c r="N5" i="4"/>
  <c r="F5" i="4"/>
  <c r="I6" i="4"/>
  <c r="M5" i="4"/>
  <c r="E5" i="4"/>
  <c r="H6" i="4"/>
  <c r="L5" i="4"/>
  <c r="F6" i="4"/>
  <c r="H5" i="4"/>
  <c r="G6" i="4"/>
  <c r="K5" i="4"/>
  <c r="D5" i="4"/>
  <c r="N6" i="4"/>
  <c r="J5" i="4"/>
  <c r="C6" i="4" l="1"/>
  <c r="C5" i="4"/>
  <c r="N19" i="4"/>
  <c r="H245" i="5" s="1" a="1"/>
  <c r="H245" i="5" s="1"/>
  <c r="N16" i="4"/>
  <c r="N23" i="4"/>
  <c r="N18" i="4"/>
  <c r="F245" i="5" s="1" a="1"/>
  <c r="F245" i="5" s="1"/>
  <c r="N17" i="4"/>
  <c r="G245" i="5" s="1" a="1"/>
  <c r="G245" i="5" s="1"/>
  <c r="R18" i="4"/>
  <c r="R17" i="4"/>
  <c r="R16" i="4"/>
  <c r="E304" i="5" s="1"/>
  <c r="C16" i="4" l="1"/>
  <c r="C23" i="4"/>
  <c r="C18" i="4"/>
  <c r="C19" i="4"/>
  <c r="C17" i="4"/>
  <c r="M23" i="4"/>
  <c r="N20" i="4"/>
  <c r="I245" i="5" s="1" a="1"/>
  <c r="I245" i="5" s="1"/>
  <c r="M16" i="4"/>
  <c r="M17" i="4"/>
  <c r="M18" i="4"/>
  <c r="M19" i="4"/>
  <c r="D23" i="4"/>
  <c r="C20" i="4" l="1"/>
  <c r="M20" i="4"/>
  <c r="D19" i="4"/>
  <c r="D17" i="4"/>
  <c r="G234" i="5" s="1" a="1"/>
  <c r="G234" i="5" s="1"/>
  <c r="D18" i="4"/>
  <c r="F234" i="5" s="1" a="1"/>
  <c r="F234" i="5" s="1"/>
  <c r="D16" i="4"/>
  <c r="E23" i="4"/>
  <c r="G235" i="5" l="1" a="1"/>
  <c r="G235" i="5" s="1"/>
  <c r="H234" i="5" a="1"/>
  <c r="H234" i="5" s="1"/>
  <c r="F235" i="5" a="1"/>
  <c r="F235" i="5" s="1"/>
  <c r="D20" i="4"/>
  <c r="E16" i="4"/>
  <c r="E18" i="4"/>
  <c r="F244" i="5" s="1" a="1"/>
  <c r="F244" i="5" s="1"/>
  <c r="E17" i="4"/>
  <c r="E19" i="4"/>
  <c r="F23" i="4"/>
  <c r="H235" i="5" l="1" a="1"/>
  <c r="H235" i="5" s="1"/>
  <c r="H244" i="5" a="1"/>
  <c r="H244" i="5" s="1"/>
  <c r="G236" i="5" a="1"/>
  <c r="G236" i="5" s="1"/>
  <c r="G244" i="5" a="1"/>
  <c r="G244" i="5" s="1"/>
  <c r="I235" i="5" a="1"/>
  <c r="I235" i="5" s="1"/>
  <c r="I234" i="5" a="1"/>
  <c r="I234" i="5" s="1"/>
  <c r="F236" i="5" a="1"/>
  <c r="F236" i="5" s="1"/>
  <c r="E20" i="4"/>
  <c r="F16" i="4"/>
  <c r="F19" i="4"/>
  <c r="F17" i="4"/>
  <c r="G237" i="5" s="1" a="1"/>
  <c r="G237" i="5" s="1"/>
  <c r="F18" i="4"/>
  <c r="F237" i="5" s="1" a="1"/>
  <c r="F237" i="5" s="1"/>
  <c r="G23" i="4"/>
  <c r="I236" i="5" l="1" a="1"/>
  <c r="I236" i="5" s="1"/>
  <c r="I244" i="5" a="1"/>
  <c r="I244" i="5" s="1"/>
  <c r="H236" i="5" a="1"/>
  <c r="H236" i="5" s="1"/>
  <c r="G16" i="4"/>
  <c r="G19" i="4"/>
  <c r="H237" i="5" s="1" a="1"/>
  <c r="H237" i="5" s="1"/>
  <c r="G18" i="4"/>
  <c r="F238" i="5" s="1" a="1"/>
  <c r="F238" i="5" s="1"/>
  <c r="G17" i="4"/>
  <c r="G238" i="5" s="1" a="1"/>
  <c r="G238" i="5" s="1"/>
  <c r="F20" i="4"/>
  <c r="I237" i="5" s="1" a="1"/>
  <c r="I237" i="5" s="1"/>
  <c r="H23" i="4"/>
  <c r="G20" i="4" l="1"/>
  <c r="I238" i="5" s="1" a="1"/>
  <c r="I238" i="5" s="1"/>
  <c r="H18" i="4"/>
  <c r="F239" i="5" s="1" a="1"/>
  <c r="F239" i="5" s="1"/>
  <c r="H16" i="4"/>
  <c r="H17" i="4"/>
  <c r="G239" i="5" s="1" a="1"/>
  <c r="G239" i="5" s="1"/>
  <c r="H19" i="4"/>
  <c r="I23" i="4"/>
  <c r="H238" i="5" l="1" a="1"/>
  <c r="H238" i="5" s="1"/>
  <c r="H239" i="5" a="1"/>
  <c r="H239" i="5" s="1"/>
  <c r="I18" i="4"/>
  <c r="F240" i="5" s="1" a="1"/>
  <c r="F240" i="5" s="1"/>
  <c r="I16" i="4"/>
  <c r="I17" i="4"/>
  <c r="I19" i="4"/>
  <c r="H20" i="4"/>
  <c r="I239" i="5" s="1" a="1"/>
  <c r="I239" i="5" s="1"/>
  <c r="J23" i="4"/>
  <c r="H240" i="5" l="1" a="1"/>
  <c r="H240" i="5" s="1"/>
  <c r="G240" i="5" a="1"/>
  <c r="G240" i="5" s="1"/>
  <c r="I20" i="4"/>
  <c r="J18" i="4"/>
  <c r="J19" i="4"/>
  <c r="H241" i="5" s="1" a="1"/>
  <c r="H241" i="5" s="1"/>
  <c r="J16" i="4"/>
  <c r="J17" i="4"/>
  <c r="G241" i="5" s="1" a="1"/>
  <c r="G241" i="5" s="1"/>
  <c r="K23" i="4"/>
  <c r="I240" i="5" l="1" a="1"/>
  <c r="I240" i="5" s="1"/>
  <c r="F241" i="5" a="1"/>
  <c r="F241" i="5" s="1"/>
  <c r="J20" i="4"/>
  <c r="I241" i="5" s="1" a="1"/>
  <c r="I241" i="5" s="1"/>
  <c r="K18" i="4"/>
  <c r="F242" i="5" s="1" a="1"/>
  <c r="F242" i="5" s="1"/>
  <c r="K16" i="4"/>
  <c r="K19" i="4"/>
  <c r="H242" i="5" s="1" a="1"/>
  <c r="H242" i="5" s="1"/>
  <c r="K17" i="4"/>
  <c r="G242" i="5" s="1" a="1"/>
  <c r="G242" i="5" s="1"/>
  <c r="L23" i="4"/>
  <c r="L19" i="4" l="1"/>
  <c r="F297" i="5" s="1"/>
  <c r="L17" i="4"/>
  <c r="L18" i="4"/>
  <c r="F243" i="5" s="1" a="1"/>
  <c r="F243" i="5" s="1"/>
  <c r="L16" i="4"/>
  <c r="C11" i="4" a="1"/>
  <c r="C11" i="4" s="1"/>
  <c r="K20" i="4"/>
  <c r="I242" i="5" s="1" a="1"/>
  <c r="I242" i="5" s="1"/>
  <c r="E307" i="5" l="1"/>
  <c r="C22" i="4"/>
  <c r="H243" i="5" a="1"/>
  <c r="H243" i="5" s="1"/>
  <c r="C21" i="4"/>
  <c r="E305" i="5"/>
  <c r="E212" i="5" a="1"/>
  <c r="E212" i="5" s="1"/>
  <c r="D212" i="5" s="1"/>
  <c r="G243" i="5" a="1"/>
  <c r="G243" i="5" s="1"/>
  <c r="C213" i="5"/>
  <c r="E213" i="5" a="1"/>
  <c r="E213" i="5" s="1"/>
  <c r="E211" i="5" a="1"/>
  <c r="E211" i="5" s="1"/>
  <c r="F211" i="5" s="1"/>
  <c r="C212" i="5"/>
  <c r="C211" i="5"/>
  <c r="L20" i="4"/>
  <c r="I243" i="5" s="1" a="1"/>
  <c r="I243" i="5" s="1"/>
  <c r="F212" i="5" l="1"/>
  <c r="C214" i="5"/>
  <c r="D213" i="5"/>
  <c r="F213" i="5"/>
  <c r="D211" i="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<sst xmlns="http://schemas.openxmlformats.org/spreadsheetml/2006/main" count="361" uniqueCount="225">
  <si>
    <t>Date/Heure</t>
  </si>
  <si>
    <t>Thermocouples</t>
  </si>
  <si>
    <t>Positions</t>
  </si>
  <si>
    <t>N° voie Enregistreur</t>
  </si>
  <si>
    <t>Décalage Enregistreur</t>
  </si>
  <si>
    <t>Décalage TC</t>
  </si>
  <si>
    <t>Consignes</t>
  </si>
  <si>
    <t>TC11</t>
  </si>
  <si>
    <t>TC12</t>
  </si>
  <si>
    <t>Tolérances +/-</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</si>
  <si>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</si>
  <si>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</si>
  <si>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</si>
  <si>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</si>
  <si>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</si>
  <si>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</si>
  <si>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</si>
  <si>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</si>
  <si>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</si>
  <si>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</si>
  <si>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</si>
  <si>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</si>
  <si>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</si>
  <si>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</si>
  <si>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</si>
  <si>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</si>
  <si>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</si>
  <si>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</si>
  <si>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</si>
  <si>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</si>
  <si>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</si>
  <si>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</si>
  <si>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</si>
  <si>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</si>
  <si>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</si>
  <si>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</si>
  <si>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</si>
  <si>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</si>
  <si>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</si>
  <si>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</si>
  <si>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TC13</t>
  </si>
  <si>
    <t>TC14</t>
  </si>
  <si>
    <t>TC15</t>
  </si>
  <si>
    <t>DEPASSEMENT</t>
  </si>
  <si>
    <t>MAX 30</t>
  </si>
  <si>
    <t>MIN 30</t>
  </si>
  <si>
    <t>MOYENNE 30</t>
  </si>
  <si>
    <t>AMPLITUDE</t>
  </si>
  <si>
    <t>HOMOGENEITE</t>
  </si>
  <si>
    <t>MOY</t>
  </si>
  <si>
    <t>Décalage Enreg.</t>
  </si>
  <si>
    <t>Tolérance haute</t>
  </si>
  <si>
    <t>Tolérance basse</t>
  </si>
  <si>
    <t>Valeurs corrigées</t>
  </si>
  <si>
    <t>Connecteur 1</t>
  </si>
  <si>
    <t>Connecteur 2</t>
  </si>
  <si>
    <t>Connecteur 3</t>
  </si>
  <si>
    <t>Connecteur 4</t>
  </si>
  <si>
    <t>Connecteur 11</t>
  </si>
  <si>
    <t>Connecteur 12</t>
  </si>
  <si>
    <t>Enregistreur Portable</t>
  </si>
  <si>
    <t>Ecartype 30</t>
  </si>
  <si>
    <t>Site</t>
  </si>
  <si>
    <t>Contrôleur -Technicien</t>
  </si>
  <si>
    <t>Rédacteur</t>
  </si>
  <si>
    <t>Date d'émission du PV</t>
  </si>
  <si>
    <t>Numéro de série</t>
  </si>
  <si>
    <t>Temps de maintien</t>
  </si>
  <si>
    <t>Constat de vérification N°</t>
  </si>
  <si>
    <t>RAPPORT D'HOMOGENEITE (T.U.S.) FREGATE AERO CONGÉLATEUR "Maturation retardée" POLE FROID</t>
  </si>
  <si>
    <t>Date de début d'essai :</t>
  </si>
  <si>
    <t>Heure de début :</t>
  </si>
  <si>
    <t>Date d'émission :</t>
  </si>
  <si>
    <t>Nombres de pages :</t>
  </si>
  <si>
    <t>Rédacteur :</t>
  </si>
  <si>
    <t>Date de fin d'essai :</t>
  </si>
  <si>
    <t>Heure de fin :</t>
  </si>
  <si>
    <t>Périodicité :</t>
  </si>
  <si>
    <t>Validité du contrôle :</t>
  </si>
  <si>
    <t>Technicien (s) :</t>
  </si>
  <si>
    <t>1 – Informations générales</t>
  </si>
  <si>
    <t>Type : Enceinte frigorifique</t>
  </si>
  <si>
    <t>Marque : POLE FROID</t>
  </si>
  <si>
    <t>Identification interne : Congélateur POLE FROID</t>
  </si>
  <si>
    <t>Identification fabricant : SCS ZF 09</t>
  </si>
  <si>
    <t>Températures (mini et maxi) d’utilisation : -35°C à ambiante</t>
  </si>
  <si>
    <t>Atmosphère : Air</t>
  </si>
  <si>
    <t>2 – Instrumentation</t>
  </si>
  <si>
    <t>Régulateur du groupe froid de devant : PROCOLD2 - CAREL</t>
  </si>
  <si>
    <t>Régulateur du groupe froid de derrière : PROCOLD2 – CAREL</t>
  </si>
  <si>
    <t>Enregistreur : MEMO200 - ELIWELL</t>
  </si>
  <si>
    <t>3 – Installation</t>
  </si>
  <si>
    <t>Le congélateur dispose de 3 sondes de température résidentes.</t>
  </si>
  <si>
    <t>-1 TC REGULATEUR GROUPE FROID DEVANT TYPE PT 100</t>
  </si>
  <si>
    <t>-1 TC REGULATEUR GROUPE FROID DERRIERE TYPE PT 100</t>
  </si>
  <si>
    <t>-1 TC ENREGISTREUR TYPE N</t>
  </si>
  <si>
    <t>Dimensions intérieures du congélateur (L*P*H) : 950*3200*1800mm</t>
  </si>
  <si>
    <r>
      <t>Volume intérieur : 5,5 m</t>
    </r>
    <r>
      <rPr>
        <vertAlign val="superscript"/>
        <sz val="16"/>
        <color rgb="FF000000"/>
        <rFont val="Calibri"/>
        <family val="2"/>
        <scheme val="minor"/>
      </rPr>
      <t>3</t>
    </r>
  </si>
  <si>
    <t xml:space="preserve">Dimensions utiles du congélateur (L*P*H) : 950*3200*1200mm </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</si>
  <si>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</si>
  <si>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</si>
  <si>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</si>
  <si>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</si>
  <si>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</si>
  <si>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</si>
  <si>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</si>
  <si>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</si>
  <si>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</si>
  <si>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</si>
  <si>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</si>
  <si>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</si>
  <si>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N° THERMOCOUPLE</t>
  </si>
  <si>
    <t>Position</t>
  </si>
  <si>
    <t>Température de stockage désirée</t>
  </si>
  <si>
    <t>Température de consigne</t>
  </si>
  <si>
    <t>Température maximale du point le plus chaud</t>
  </si>
  <si>
    <t>Régime
 d'équilibre</t>
  </si>
  <si>
    <t>Température minimale du point le plus chaud</t>
  </si>
  <si>
    <t>Température minimale du point le plus froid</t>
  </si>
  <si>
    <t>Température moyenne</t>
  </si>
  <si>
    <t>X</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</si>
  <si>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</si>
  <si>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</si>
  <si>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</si>
  <si>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</si>
  <si>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</si>
  <si>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</si>
  <si>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</si>
  <si>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t>voie/
Connecteur</t>
  </si>
  <si>
    <t>Connecteur 5</t>
  </si>
  <si>
    <t>Connecteur 6</t>
  </si>
  <si>
    <t>Connecteur 7</t>
  </si>
  <si>
    <t>Connecteur 8</t>
  </si>
  <si>
    <t>Connecteur 9</t>
  </si>
  <si>
    <t>Connecteur 10</t>
  </si>
  <si>
    <t>3 – Courbe</t>
  </si>
  <si>
    <t>9. Conclusions</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</si>
  <si>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</si>
  <si>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Température nominale de traitement désiré</t>
  </si>
  <si>
    <t>Température de Consigne</t>
  </si>
  <si>
    <t>Homogénéité en régime d'équilibre</t>
  </si>
  <si>
    <t>Tolérance requise</t>
  </si>
  <si>
    <t>Classe de l'installation</t>
  </si>
  <si>
    <t>Conformité avec la tolérance requise</t>
  </si>
  <si>
    <t>3. Désignation du matériel de vérification</t>
  </si>
  <si>
    <t>1 – Thermocouples</t>
  </si>
  <si>
    <t>Nombre de thermocouples : 9</t>
  </si>
  <si>
    <t>Type : N</t>
  </si>
  <si>
    <t>Diamètre : 1,5 mm</t>
  </si>
  <si>
    <t>Longueur : 5000 mm</t>
  </si>
  <si>
    <t>2 – Enregistreur</t>
  </si>
  <si>
    <t>Aucune défaillance des thermocouples n’a été relevée durant le test d’homogénéité.</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</si>
  <si>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</si>
  <si>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2. Désignation du matériel à vérifier</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</si>
  <si>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</si>
  <si>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1. Objet</t>
  </si>
  <si>
    <t>Site :</t>
  </si>
  <si>
    <t>Équipement de contrôle</t>
  </si>
  <si>
    <t>Certificat
d'étalonnage</t>
  </si>
  <si>
    <t>Date d'étalonnage</t>
  </si>
  <si>
    <t>Périodicité</t>
  </si>
  <si>
    <t>Nombres de pages</t>
  </si>
  <si>
    <t>Validité du contrôle</t>
  </si>
  <si>
    <t>SONDES</t>
  </si>
  <si>
    <t>ENREGISTREUR</t>
  </si>
  <si>
    <t>Matériel de vérification</t>
  </si>
  <si>
    <t>Certificat d'étalonnage</t>
  </si>
  <si>
    <t>Fin de validité d'étalonnage</t>
  </si>
  <si>
    <t>Rapport d’homogénéité (T.U.S.)
Congélateur « maturation retardée » POLE FROID</t>
  </si>
  <si>
    <t>Constat de niveau de vérification :</t>
  </si>
  <si>
    <t xml:space="preserve">N° certificat étalonnage : </t>
  </si>
  <si>
    <t>Date d’étalonnage :</t>
  </si>
  <si>
    <t>Fin de validité d’étalonnage :</t>
  </si>
  <si>
    <t xml:space="preserve">Tolérance : </t>
  </si>
  <si>
    <t xml:space="preserve">N° série : </t>
  </si>
  <si>
    <t>PL1707000191-0817-PL3 Z19</t>
  </si>
  <si>
    <t xml:space="preserve">Modèle : </t>
  </si>
  <si>
    <t>6100 Portable</t>
  </si>
  <si>
    <t xml:space="preserve">Marque : </t>
  </si>
  <si>
    <t>EUROTHERM</t>
  </si>
  <si>
    <t>CONSTAT DE 
VERIFICATION</t>
  </si>
  <si>
    <t>validité
jusqu'au</t>
  </si>
  <si>
    <t>Trimestrielle</t>
  </si>
  <si>
    <t>Mensuelle</t>
  </si>
  <si>
    <t>Annuelle</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</si>
  <si>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</si>
  <si>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</si>
  <si>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</si>
  <si>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</si>
  <si>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</si>
  <si>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</si>
  <si>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</si>
  <si>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</si>
  <si>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</si>
  <si>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</si>
  <si>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</si>
  <si>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</si>
  <si>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</si>
  <si>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</si>
  <si>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</si>
  <si>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</si>
  <si>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</si>
  <si>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</si>
  <si>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</si>
  <si>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</si>
  <si>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</si>
  <si>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REGULATION DU GROUPE FROID DE DEVANT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</si>
  <si>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</si>
  <si>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</si>
  <si>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</si>
  <si>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</si>
  <si>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</si>
  <si>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</si>
  <si>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</si>
  <si>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</si>
  <si>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</si>
  <si>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</si>
  <si>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</si>
  <si>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REGULATION DU GROUPE FROID DU FOND</t>
  </si>
  <si>
    <t>SI RESULTATS NON CONFORMES, AVERTIR LE SERVICE QUALITE</t>
  </si>
  <si>
    <t>Vérifié le :</t>
  </si>
  <si>
    <t xml:space="preserve"> </t>
  </si>
  <si>
    <t>A vérifier le :</t>
  </si>
  <si>
    <t>SAT</t>
  </si>
  <si>
    <t>LECTURE DE L'INSTRUMENT 
EN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</si>
</sst>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
  </numFmts>
  <fonts count="40" x14ac:knownFonts="1">
    <font>
      <sz val="11"/>
      <color theme="1"/>
      <name val="Calibri"/>
      <family val="2"/>
      <scheme val="minor"/>
    </font>
    <font>
      <sz val="8"/>
      <name val="Calibri"/>
      <family val="2"/>
      <scheme val="minor"/>
    </font>
    <font>
      <sz val="10"/>
      <name val="Arial"/>
      <family val="2"/>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8"/>
      <color rgb="FF000000"/>
      <name val="Calibri"/>
      <family val="2"/>
      <scheme val="minor"/>
    </font>
    <font>
      <b/>
      <sz val="28"/>
      <color rgb="FF000000"/>
      <name val="Calibri"/>
      <family val="2"/>
      <scheme val="minor"/>
    </font>
    <font>
      <sz val="15"/>
      <color theme="1"/>
      <name val="Calibri"/>
      <family val="2"/>
      <scheme val="minor"/>
    </font>
    <font>
      <sz val="20"/>
      <color rgb="FF000000"/>
      <name val="Calibri"/>
      <family val="2"/>
      <scheme val="minor"/>
    </font>
    <font>
      <sz val="28"/>
      <color rgb="FF000000"/>
      <name val="Calibri Light"/>
      <family val="2"/>
    </font>
    <font>
      <b/>
      <sz val="18"/>
      <color rgb="FF000000"/>
      <name val="Calibri"/>
      <family val="2"/>
      <scheme val="minor"/>
    </font>
    <font>
      <b/>
      <sz val="18"/>
      <color rgb="FF70AD47"/>
      <name val="Calibri"/>
      <family val="2"/>
      <scheme val="minor"/>
    </font>
    <font>
      <sz val="16"/>
      <color rgb="FF7F7F7F"/>
      <name val="Calibri"/>
      <family val="2"/>
      <scheme val="minor"/>
    </font>
    <font>
      <b/>
      <sz val="30"/>
      <color theme="1"/>
      <name val="Calibri"/>
      <family val="2"/>
      <scheme val="minor"/>
    </font>
    <font>
      <b/>
      <sz val="20"/>
      <color theme="1"/>
      <name val="Calibri"/>
      <family val="2"/>
      <scheme val="minor"/>
    </font>
    <font>
      <sz val="44"/>
      <color rgb="FF000000"/>
      <name val="Calibri Light"/>
      <family val="2"/>
    </font>
    <font>
      <sz val="35"/>
      <color rgb="FF000000"/>
      <name val="Calibri Light"/>
      <family val="2"/>
    </font>
    <font>
      <sz val="15"/>
      <color rgb="FF000000"/>
      <name val="Calibri"/>
      <family val="2"/>
      <scheme val="minor"/>
    </font>
    <font>
      <sz val="13"/>
      <color theme="1"/>
      <name val="Calibri"/>
      <family val="2"/>
      <scheme val="minor"/>
    </font>
    <font>
      <sz val="11"/>
      <color rgb="FF000000"/>
      <name val="Calibri"/>
      <family val="2"/>
    </font>
    <font>
      <sz val="11"/>
      <color theme="0"/>
      <name val="Calibri"/>
      <family val="2"/>
      <scheme val="minor"/>
    </font>
    <font>
      <sz val="11"/>
      <color rgb="FF006100"/>
      <name val="Calibri"/>
      <family val="2"/>
      <scheme val="minor"/>
    </font>
    <font>
      <sz val="11"/>
      <color rgb="FF9C5700"/>
      <name val="Calibri"/>
      <family val="2"/>
      <scheme val="minor"/>
    </font>
    <font>
      <sz val="22"/>
      <name val="Calibri"/>
      <family val="2"/>
      <scheme val="minor"/>
    </font>
    <font>
      <sz val="12"/>
      <name val="Calibri"/>
      <family val="2"/>
      <scheme val="minor"/>
    </font>
    <font>
      <b/>
      <u/>
      <sz val="12"/>
      <name val="Calibri"/>
      <family val="2"/>
      <scheme val="minor"/>
    </font>
    <font>
      <b/>
      <sz val="12"/>
      <name val="Calibri"/>
      <family val="2"/>
      <scheme val="minor"/>
    </font>
    <font>
      <b/>
      <sz val="12"/>
      <name val="Calibri"/>
      <family val="2"/>
    </font>
    <font>
      <sz val="12"/>
      <name val="Calibri"/>
      <family val="2"/>
    </font>
    <font>
      <sz val="14"/>
      <color rgb="FF006100"/>
      <name val="Calibri"/>
      <family val="2"/>
      <scheme val="minor"/>
    </font>
    <font>
      <sz val="14"/>
      <color rgb="FF9C6500"/>
      <name val="Calibri"/>
      <family val="2"/>
      <scheme val="minor"/>
    </font>
  </fonts>
  <fills count="13">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bottom style="medium">
        <color indexed="64"/>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style="thin">
        <color indexed="64"/>
      </left>
      <right/>
      <top style="thick">
        <color indexed="64"/>
      </top>
      <bottom/>
      <diagonal/>
    </border>
  </borders>
  <cellStyleXfs count="3">
    <xf numFmtId="0" fontId="0" fillId="0" borderId="0"/>
    <xf numFmtId="0" fontId="30" fillId="11" borderId="0" applyNumberFormat="0" applyBorder="0" applyAlignment="0" applyProtection="0"/>
    <xf numFmtId="0" fontId="31" fillId="12" borderId="0" applyNumberFormat="0" applyBorder="0" applyAlignment="0" applyProtection="0"/>
  </cellStyleXfs>
  <cellXfs count="186">
    <xf numFmtId="0" fontId="0" fillId="0" borderId="0" xfId="0"/>
    <xf numFmtId="22" fontId="0" fillId="0" borderId="0" xfId="0" applyNumberFormat="1"/>
    <xf numFmtId="0" fontId="0" fillId="3" borderId="1" xfId="0" applyFill="1" applyBorder="1"/>
    <xf numFmtId="0" fontId="0" fillId="2" borderId="1" xfId="0" applyFill="1" applyBorder="1"/>
    <xf numFmtId="0" fontId="0" fillId="0" borderId="0" xfId="0" applyAlignment="1">
      <alignment horizontal="center"/>
    </xf>
    <xf numFmtId="14" fontId="0" fillId="0" borderId="0" xfId="0" applyNumberFormat="1" applyAlignment="1">
      <alignment horizontal="center"/>
    </xf>
    <xf numFmtId="0" fontId="0" fillId="0" borderId="1" xfId="0" applyBorder="1" applyAlignment="1">
      <alignment horizontal="center"/>
    </xf>
    <xf numFmtId="0" fontId="0" fillId="5" borderId="1" xfId="0" applyFill="1" applyBorder="1" applyAlignment="1">
      <alignment horizontal="center" vertical="center"/>
    </xf>
    <xf numFmtId="0" fontId="0" fillId="6" borderId="1" xfId="0" applyFill="1" applyBorder="1"/>
    <xf numFmtId="14" fontId="0" fillId="7" borderId="1" xfId="0" applyNumberFormat="1" applyFill="1" applyBorder="1" applyAlignment="1">
      <alignment horizontal="center"/>
    </xf>
    <xf numFmtId="0" fontId="0" fillId="7" borderId="1" xfId="0" applyFill="1" applyBorder="1" applyAlignment="1">
      <alignment horizontal="center"/>
    </xf>
    <xf numFmtId="0" fontId="4" fillId="0" borderId="0" xfId="0" applyFont="1" applyAlignment="1">
      <alignment horizontal="center" vertical="center"/>
    </xf>
    <xf numFmtId="0" fontId="5" fillId="0" borderId="0" xfId="0" applyFont="1" applyAlignment="1">
      <alignment horizontal="center" vertical="center"/>
    </xf>
    <xf numFmtId="0" fontId="7" fillId="0" borderId="0" xfId="0" applyFont="1" applyAlignment="1">
      <alignment horizontal="center" vertical="center"/>
    </xf>
    <xf numFmtId="0" fontId="8" fillId="0" borderId="0" xfId="0" applyFont="1"/>
    <xf numFmtId="0" fontId="0" fillId="0" borderId="0" xfId="0" applyAlignment="1">
      <alignment vertical="center"/>
    </xf>
    <xf numFmtId="0" fontId="0" fillId="0" borderId="0" xfId="0" applyAlignment="1">
      <alignment horizontal="left"/>
    </xf>
    <xf numFmtId="0" fontId="0" fillId="0" borderId="0" xfId="0" applyAlignment="1">
      <alignment horizontal="center" vertical="center"/>
    </xf>
    <xf numFmtId="0" fontId="3" fillId="0" borderId="0" xfId="0" applyFont="1" applyAlignment="1">
      <alignment vertical="center"/>
    </xf>
    <xf numFmtId="0" fontId="9" fillId="0" borderId="0" xfId="0" applyFont="1" applyAlignment="1">
      <alignment horizontal="center" vertical="center"/>
    </xf>
    <xf numFmtId="0" fontId="0" fillId="0" borderId="1" xfId="0" applyBorder="1"/>
    <xf numFmtId="0" fontId="6" fillId="0" borderId="1" xfId="0" applyFont="1" applyBorder="1"/>
    <xf numFmtId="0" fontId="8" fillId="0" borderId="1" xfId="0" applyFont="1" applyBorder="1"/>
    <xf numFmtId="14" fontId="7" fillId="3" borderId="1" xfId="0" applyNumberFormat="1" applyFont="1" applyFill="1" applyBorder="1" applyAlignment="1">
      <alignment horizontal="center" vertical="center"/>
    </xf>
    <xf numFmtId="0" fontId="7" fillId="3" borderId="1" xfId="0" applyFont="1" applyFill="1" applyBorder="1" applyAlignment="1">
      <alignment horizontal="center" vertical="center"/>
    </xf>
    <xf numFmtId="0" fontId="8" fillId="0" borderId="1" xfId="0" applyFont="1" applyBorder="1" applyAlignment="1">
      <alignment horizontal="left" vertical="center"/>
    </xf>
    <xf numFmtId="0" fontId="10" fillId="0" borderId="0" xfId="0" applyFont="1" applyAlignment="1">
      <alignment horizontal="center" vertical="center"/>
    </xf>
    <xf numFmtId="0" fontId="11" fillId="0" borderId="0" xfId="0" applyFont="1" applyAlignment="1">
      <alignment horizontal="left" vertical="center" readingOrder="1"/>
    </xf>
    <xf numFmtId="0" fontId="12" fillId="0" borderId="0" xfId="0" applyFont="1" applyAlignment="1">
      <alignment horizontal="left" vertical="center" readingOrder="1"/>
    </xf>
    <xf numFmtId="0" fontId="14" fillId="0" borderId="0" xfId="0" applyFont="1" applyAlignment="1">
      <alignment horizontal="center" vertical="center" readingOrder="1"/>
    </xf>
    <xf numFmtId="0" fontId="0" fillId="9" borderId="1" xfId="0" applyFill="1" applyBorder="1"/>
    <xf numFmtId="0" fontId="0" fillId="6" borderId="1" xfId="0" applyFill="1" applyBorder="1" applyAlignment="1">
      <alignment horizontal="center"/>
    </xf>
    <xf numFmtId="0" fontId="0" fillId="10" borderId="1" xfId="0" applyFill="1" applyBorder="1" applyAlignment="1">
      <alignment horizontal="center" vertical="center"/>
    </xf>
    <xf numFmtId="22" fontId="0" fillId="10" borderId="1" xfId="0" applyNumberFormat="1" applyFill="1" applyBorder="1" applyAlignment="1">
      <alignment horizontal="center"/>
    </xf>
    <xf numFmtId="0" fontId="0" fillId="10" borderId="1" xfId="0" applyFill="1" applyBorder="1" applyAlignment="1">
      <alignment horizontal="center"/>
    </xf>
    <xf numFmtId="0" fontId="0" fillId="10" borderId="10" xfId="0" applyFill="1" applyBorder="1" applyAlignment="1">
      <alignment horizontal="center"/>
    </xf>
    <xf numFmtId="0" fontId="0" fillId="10" borderId="11" xfId="0" applyFill="1" applyBorder="1" applyAlignment="1">
      <alignment horizontal="center"/>
    </xf>
    <xf numFmtId="14" fontId="0" fillId="2" borderId="1" xfId="0" applyNumberFormat="1" applyFill="1" applyBorder="1" applyAlignment="1">
      <alignment horizontal="center"/>
    </xf>
    <xf numFmtId="0" fontId="0" fillId="2" borderId="1" xfId="0" applyFill="1" applyBorder="1" applyAlignment="1">
      <alignment horizontal="center"/>
    </xf>
    <xf numFmtId="0" fontId="0" fillId="7" borderId="11" xfId="0" applyFill="1" applyBorder="1" applyAlignment="1">
      <alignment horizontal="center" vertical="center" textRotation="90"/>
    </xf>
    <xf numFmtId="164" fontId="0" fillId="2" borderId="1" xfId="0" applyNumberFormat="1" applyFill="1" applyBorder="1" applyAlignment="1">
      <alignment horizontal="center"/>
    </xf>
    <xf numFmtId="0" fontId="0" fillId="10" borderId="1" xfId="0" applyFill="1" applyBorder="1"/>
    <xf numFmtId="0" fontId="0" fillId="2" borderId="1" xfId="0" applyFill="1" applyBorder="1" applyAlignment="1">
      <alignment horizontal="center" vertical="center"/>
    </xf>
    <xf numFmtId="2" fontId="0" fillId="2" borderId="1" xfId="0" applyNumberFormat="1" applyFill="1" applyBorder="1" applyAlignment="1">
      <alignment horizontal="center" vertical="center"/>
    </xf>
    <xf numFmtId="2" fontId="0" fillId="0" borderId="1" xfId="0" applyNumberFormat="1" applyBorder="1" applyAlignment="1">
      <alignment horizontal="center"/>
    </xf>
    <xf numFmtId="0" fontId="14" fillId="0" borderId="0" xfId="0" applyFont="1" applyAlignment="1">
      <alignment horizontal="left" vertical="center" readingOrder="1"/>
    </xf>
    <xf numFmtId="0" fontId="0" fillId="10" borderId="1" xfId="0" applyFill="1" applyBorder="1" applyAlignment="1">
      <alignment horizontal="center" wrapText="1"/>
    </xf>
    <xf numFmtId="0" fontId="0" fillId="2" borderId="3" xfId="0" applyFill="1" applyBorder="1" applyAlignment="1">
      <alignment horizontal="center" vertical="center"/>
    </xf>
    <xf numFmtId="0" fontId="0" fillId="6" borderId="1" xfId="0" applyFill="1" applyBorder="1" applyAlignment="1">
      <alignment horizontal="center" vertical="center"/>
    </xf>
    <xf numFmtId="0" fontId="0" fillId="6" borderId="1" xfId="0" applyFill="1" applyBorder="1" applyAlignment="1">
      <alignment horizontal="center" vertical="center" wrapText="1"/>
    </xf>
    <xf numFmtId="2" fontId="0" fillId="0" borderId="0" xfId="0" applyNumberFormat="1"/>
    <xf numFmtId="2" fontId="0" fillId="2" borderId="1" xfId="0" applyNumberFormat="1" applyFill="1" applyBorder="1" applyAlignment="1">
      <alignment horizontal="center"/>
    </xf>
    <xf numFmtId="0" fontId="17" fillId="0" borderId="0" xfId="0" applyFont="1" applyAlignment="1">
      <alignment horizontal="left" vertical="center" readingOrder="1"/>
    </xf>
    <xf numFmtId="0" fontId="16" fillId="0" borderId="0" xfId="0" applyFont="1"/>
    <xf numFmtId="0" fontId="19" fillId="0" borderId="0" xfId="0" applyFont="1" applyAlignment="1">
      <alignment horizontal="left" vertical="center" readingOrder="1"/>
    </xf>
    <xf numFmtId="0" fontId="19" fillId="0" borderId="0" xfId="0" applyFont="1" applyAlignment="1">
      <alignment horizontal="center" vertical="center" readingOrder="1"/>
    </xf>
    <xf numFmtId="2" fontId="0" fillId="0" borderId="2" xfId="0" applyNumberFormat="1" applyBorder="1" applyAlignment="1">
      <alignment horizontal="center"/>
    </xf>
    <xf numFmtId="2" fontId="0" fillId="0" borderId="0" xfId="0" applyNumberFormat="1" applyAlignment="1">
      <alignment horizontal="center"/>
    </xf>
    <xf numFmtId="2" fontId="0" fillId="0" borderId="11" xfId="0" applyNumberFormat="1" applyBorder="1" applyAlignment="1">
      <alignment horizontal="center"/>
    </xf>
    <xf numFmtId="0" fontId="0" fillId="5" borderId="1" xfId="0" applyFill="1" applyBorder="1" applyAlignment="1">
      <alignment horizontal="center" vertical="center" wrapText="1"/>
    </xf>
    <xf numFmtId="0" fontId="24" fillId="0" borderId="0" xfId="0" applyFont="1" applyAlignment="1">
      <alignment horizontal="center" vertical="center"/>
    </xf>
    <xf numFmtId="0" fontId="0" fillId="4" borderId="7" xfId="0" applyFill="1" applyBorder="1" applyAlignment="1">
      <alignment horizontal="center" vertical="center"/>
    </xf>
    <xf numFmtId="0" fontId="0" fillId="4" borderId="8" xfId="0" applyFill="1" applyBorder="1" applyAlignment="1">
      <alignment horizontal="center" vertical="center"/>
    </xf>
    <xf numFmtId="0" fontId="0" fillId="4" borderId="9" xfId="0" applyFill="1" applyBorder="1" applyAlignment="1">
      <alignment horizontal="center" vertical="center"/>
    </xf>
    <xf numFmtId="0" fontId="0" fillId="4" borderId="6" xfId="0" applyFill="1" applyBorder="1" applyAlignment="1">
      <alignment horizontal="center" vertical="center"/>
    </xf>
    <xf numFmtId="0" fontId="0" fillId="4" borderId="5" xfId="0" applyFill="1" applyBorder="1" applyAlignment="1">
      <alignment horizontal="center" vertical="center"/>
    </xf>
    <xf numFmtId="0" fontId="2" fillId="3" borderId="1" xfId="0" applyFont="1" applyFill="1" applyBorder="1" applyAlignment="1" applyProtection="1">
      <alignment horizontal="center" vertical="center"/>
      <protection locked="0"/>
    </xf>
    <xf numFmtId="14" fontId="16" fillId="0" borderId="0" xfId="0" applyNumberFormat="1" applyFont="1" applyAlignment="1">
      <alignment horizontal="left"/>
    </xf>
    <xf numFmtId="14" fontId="26" fillId="0" borderId="0" xfId="0" applyNumberFormat="1" applyFont="1" applyAlignment="1">
      <alignment horizontal="left" vertical="center" readingOrder="1"/>
    </xf>
    <xf numFmtId="0" fontId="12" fillId="0" borderId="0" xfId="0" applyFont="1" applyAlignment="1">
      <alignment vertical="center" readingOrder="1"/>
    </xf>
    <xf numFmtId="0" fontId="12" fillId="0" borderId="0" xfId="0" applyFont="1" applyAlignment="1">
      <alignment horizontal="left"/>
    </xf>
    <xf numFmtId="0" fontId="12" fillId="0" borderId="0" xfId="0" applyFont="1" applyAlignment="1">
      <alignment horizontal="right" vertical="center" readingOrder="1"/>
    </xf>
    <xf numFmtId="0" fontId="12" fillId="0" borderId="0" xfId="0" applyFont="1" applyAlignment="1">
      <alignment horizontal="right"/>
    </xf>
    <xf numFmtId="0" fontId="16" fillId="0" borderId="0" xfId="0" applyFont="1" applyAlignment="1">
      <alignment horizontal="left"/>
    </xf>
    <xf numFmtId="0" fontId="27" fillId="5" borderId="1" xfId="0" applyFont="1" applyFill="1" applyBorder="1" applyAlignment="1">
      <alignment horizontal="center" vertical="center"/>
    </xf>
    <xf numFmtId="0" fontId="27" fillId="5" borderId="1" xfId="0" applyFont="1" applyFill="1" applyBorder="1" applyAlignment="1">
      <alignment horizontal="center" vertical="center" wrapText="1"/>
    </xf>
    <xf numFmtId="0" fontId="27" fillId="3" borderId="1" xfId="0" applyFont="1" applyFill="1" applyBorder="1" applyAlignment="1">
      <alignment horizontal="center" vertical="center"/>
    </xf>
    <xf numFmtId="0" fontId="27" fillId="0" borderId="0" xfId="0" applyFont="1" applyAlignment="1">
      <alignment horizontal="center" vertical="center"/>
    </xf>
    <xf numFmtId="0" fontId="27" fillId="0" borderId="0" xfId="0" applyFont="1" applyAlignment="1">
      <alignment horizontal="center" vertical="center" wrapText="1"/>
    </xf>
    <xf numFmtId="0" fontId="0" fillId="3" borderId="1" xfId="0" applyFill="1" applyBorder="1" applyAlignment="1" applyProtection="1">
      <alignment horizontal="center" vertical="center"/>
      <protection locked="0"/>
    </xf>
    <xf numFmtId="0" fontId="0" fillId="3" borderId="1" xfId="0" applyFill="1" applyBorder="1" applyAlignment="1">
      <alignment horizontal="center" vertical="center"/>
    </xf>
    <xf numFmtId="14" fontId="0" fillId="3" borderId="1" xfId="0" applyNumberFormat="1" applyFill="1" applyBorder="1" applyAlignment="1" applyProtection="1">
      <alignment horizontal="center" vertical="center"/>
      <protection locked="0"/>
    </xf>
    <xf numFmtId="164" fontId="0" fillId="3" borderId="1" xfId="0" applyNumberFormat="1" applyFill="1" applyBorder="1" applyAlignment="1" applyProtection="1">
      <alignment horizontal="center" vertical="center"/>
      <protection locked="0"/>
    </xf>
    <xf numFmtId="2" fontId="0" fillId="3" borderId="2" xfId="0" applyNumberFormat="1" applyFill="1" applyBorder="1" applyAlignment="1" applyProtection="1">
      <alignment horizontal="center" vertical="center"/>
      <protection locked="0"/>
    </xf>
    <xf numFmtId="2" fontId="0" fillId="2" borderId="2" xfId="0" applyNumberFormat="1" applyFill="1" applyBorder="1" applyAlignment="1" applyProtection="1">
      <alignment horizontal="center" vertical="center"/>
      <protection locked="0"/>
    </xf>
    <xf numFmtId="2" fontId="0" fillId="3" borderId="1" xfId="0" applyNumberFormat="1" applyFill="1" applyBorder="1" applyAlignment="1" applyProtection="1">
      <alignment horizontal="center" vertical="center"/>
      <protection locked="0"/>
    </xf>
    <xf numFmtId="2" fontId="0" fillId="2" borderId="1" xfId="0" applyNumberFormat="1" applyFill="1" applyBorder="1" applyAlignment="1" applyProtection="1">
      <alignment horizontal="center" vertical="center"/>
      <protection locked="0"/>
    </xf>
    <xf numFmtId="0" fontId="0" fillId="2" borderId="11" xfId="0" applyFill="1" applyBorder="1" applyAlignment="1">
      <alignment horizontal="center" vertical="center" textRotation="90"/>
    </xf>
    <xf numFmtId="14" fontId="0" fillId="3" borderId="1" xfId="0" applyNumberFormat="1" applyFill="1" applyBorder="1"/>
    <xf numFmtId="164" fontId="7" fillId="3" borderId="1" xfId="0" applyNumberFormat="1" applyFont="1" applyFill="1" applyBorder="1" applyAlignment="1">
      <alignment horizontal="center" vertical="center"/>
    </xf>
    <xf numFmtId="49" fontId="0" fillId="3" borderId="1" xfId="0" applyNumberFormat="1" applyFill="1" applyBorder="1" applyAlignment="1" applyProtection="1">
      <alignment horizontal="center" vertical="center"/>
      <protection locked="0"/>
    </xf>
    <xf numFmtId="0" fontId="29" fillId="0" borderId="0" xfId="0" applyFont="1" applyAlignment="1">
      <alignment horizontal="center" vertical="center"/>
    </xf>
    <xf numFmtId="1" fontId="0" fillId="9" borderId="1" xfId="0" applyNumberFormat="1" applyFill="1" applyBorder="1" applyAlignment="1" applyProtection="1">
      <alignment horizontal="center" vertical="center"/>
      <protection locked="0"/>
    </xf>
    <xf numFmtId="1" fontId="0" fillId="3" borderId="2" xfId="0" applyNumberFormat="1" applyFill="1" applyBorder="1" applyAlignment="1" applyProtection="1">
      <alignment horizontal="center" vertical="center"/>
      <protection locked="0"/>
    </xf>
    <xf numFmtId="1" fontId="0" fillId="3" borderId="1" xfId="0" applyNumberFormat="1" applyFill="1" applyBorder="1" applyAlignment="1" applyProtection="1">
      <alignment horizontal="center" vertical="center"/>
      <protection locked="0"/>
    </xf>
    <xf numFmtId="0" fontId="0" fillId="5" borderId="10" xfId="0" applyFill="1" applyBorder="1" applyAlignment="1">
      <alignment horizontal="center" vertical="center"/>
    </xf>
    <xf numFmtId="0" fontId="0" fillId="5" borderId="3" xfId="0" applyFill="1" applyBorder="1" applyAlignment="1">
      <alignment horizontal="center" vertical="center"/>
    </xf>
    <xf numFmtId="0" fontId="23" fillId="0" borderId="0" xfId="0" applyFont="1" applyAlignment="1">
      <alignment horizontal="center" vertical="center"/>
    </xf>
    <xf numFmtId="0" fontId="0" fillId="5" borderId="1" xfId="0" applyFill="1" applyBorder="1" applyAlignment="1">
      <alignment horizontal="center" vertical="center"/>
    </xf>
    <xf numFmtId="0" fontId="0" fillId="5" borderId="14" xfId="0" applyFill="1" applyBorder="1" applyAlignment="1">
      <alignment horizontal="center" vertical="center"/>
    </xf>
    <xf numFmtId="0" fontId="0" fillId="5" borderId="15" xfId="0" applyFill="1" applyBorder="1" applyAlignment="1">
      <alignment horizontal="center" vertical="center"/>
    </xf>
    <xf numFmtId="0" fontId="25" fillId="0" borderId="0" xfId="0" applyFont="1" applyAlignment="1">
      <alignment horizontal="center" vertical="center" wrapText="1"/>
    </xf>
    <xf numFmtId="0" fontId="24" fillId="0" borderId="0" xfId="0" applyFont="1" applyAlignment="1">
      <alignment horizontal="center" vertical="center"/>
    </xf>
    <xf numFmtId="0" fontId="0" fillId="2" borderId="10"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5" borderId="2" xfId="0" applyFill="1" applyBorder="1" applyAlignment="1">
      <alignment horizontal="center" vertical="center"/>
    </xf>
    <xf numFmtId="0" fontId="0" fillId="5" borderId="12" xfId="0" applyFill="1" applyBorder="1" applyAlignment="1">
      <alignment horizontal="center" vertical="center"/>
    </xf>
    <xf numFmtId="0" fontId="0" fillId="5" borderId="4" xfId="0" applyFill="1" applyBorder="1" applyAlignment="1">
      <alignment horizontal="center" vertical="center"/>
    </xf>
    <xf numFmtId="22" fontId="22" fillId="0" borderId="0" xfId="0" applyNumberFormat="1" applyFont="1" applyAlignment="1">
      <alignment horizontal="center" vertical="center"/>
    </xf>
    <xf numFmtId="2" fontId="0" fillId="0" borderId="1" xfId="0" applyNumberFormat="1" applyBorder="1" applyAlignment="1">
      <alignment horizontal="center"/>
    </xf>
    <xf numFmtId="0" fontId="0" fillId="0" borderId="0" xfId="0" applyAlignment="1">
      <alignment horizontal="center"/>
    </xf>
    <xf numFmtId="14" fontId="0" fillId="0" borderId="0" xfId="0" applyNumberFormat="1" applyAlignment="1">
      <alignment horizontal="center"/>
    </xf>
    <xf numFmtId="0" fontId="4" fillId="0" borderId="0" xfId="0" applyFont="1" applyAlignment="1">
      <alignment horizontal="center" vertical="center"/>
    </xf>
    <xf numFmtId="0" fontId="5" fillId="8" borderId="0" xfId="0" applyFont="1" applyFill="1" applyAlignment="1">
      <alignment horizontal="center" vertical="center"/>
    </xf>
    <xf numFmtId="0" fontId="6" fillId="0" borderId="0" xfId="0" applyFont="1" applyAlignment="1">
      <alignment horizontal="left" vertical="top" wrapText="1" readingOrder="1"/>
    </xf>
    <xf numFmtId="0" fontId="18" fillId="0" borderId="0" xfId="0" applyFont="1" applyAlignment="1">
      <alignment horizontal="center"/>
    </xf>
    <xf numFmtId="0" fontId="12" fillId="0" borderId="0" xfId="0" applyFont="1" applyAlignment="1">
      <alignment horizontal="left" vertical="center" readingOrder="1"/>
    </xf>
    <xf numFmtId="0" fontId="14" fillId="0" borderId="0" xfId="0" applyFont="1" applyAlignment="1">
      <alignment horizontal="center" vertical="center" readingOrder="1"/>
    </xf>
    <xf numFmtId="0" fontId="0" fillId="10" borderId="1" xfId="0" applyFill="1" applyBorder="1" applyAlignment="1">
      <alignment horizontal="center" vertical="center" textRotation="90" wrapText="1"/>
    </xf>
    <xf numFmtId="0" fontId="0" fillId="6" borderId="10" xfId="0" applyFill="1" applyBorder="1" applyAlignment="1">
      <alignment horizontal="center"/>
    </xf>
    <xf numFmtId="0" fontId="0" fillId="6" borderId="13" xfId="0" applyFill="1" applyBorder="1" applyAlignment="1">
      <alignment horizontal="center"/>
    </xf>
    <xf numFmtId="0" fontId="0" fillId="6" borderId="3" xfId="0" applyFill="1" applyBorder="1" applyAlignment="1">
      <alignment horizontal="center"/>
    </xf>
    <xf numFmtId="0" fontId="12" fillId="0" borderId="0" xfId="0" applyFont="1" applyAlignment="1">
      <alignment horizontal="center" vertical="center" readingOrder="1"/>
    </xf>
    <xf numFmtId="0" fontId="0" fillId="10" borderId="1" xfId="0" applyFill="1" applyBorder="1" applyAlignment="1">
      <alignment horizontal="center"/>
    </xf>
    <xf numFmtId="0" fontId="0" fillId="10" borderId="10" xfId="0" applyFill="1" applyBorder="1" applyAlignment="1">
      <alignment horizontal="center"/>
    </xf>
    <xf numFmtId="0" fontId="0" fillId="10" borderId="3" xfId="0" applyFill="1" applyBorder="1" applyAlignment="1">
      <alignment horizontal="center"/>
    </xf>
    <xf numFmtId="0" fontId="0" fillId="10" borderId="13" xfId="0" applyFill="1" applyBorder="1" applyAlignment="1">
      <alignment horizontal="center"/>
    </xf>
    <xf numFmtId="0" fontId="11" fillId="0" borderId="0" xfId="0" applyFont="1" applyAlignment="1">
      <alignment horizontal="center" vertical="center" readingOrder="1"/>
    </xf>
    <xf numFmtId="0" fontId="27" fillId="5" borderId="1" xfId="0" applyFont="1" applyFill="1" applyBorder="1" applyAlignment="1">
      <alignment horizontal="center" vertical="center"/>
    </xf>
    <xf numFmtId="0" fontId="21" fillId="0" borderId="0" xfId="0" applyFont="1" applyAlignment="1">
      <alignment horizontal="center" vertical="center" readingOrder="1"/>
    </xf>
    <xf numFmtId="0" fontId="19" fillId="0" borderId="0" xfId="0" applyFont="1" applyAlignment="1">
      <alignment horizontal="center" vertical="center" wrapText="1" readingOrder="1"/>
    </xf>
    <xf numFmtId="0" fontId="32" fillId="0" borderId="0" xfId="0" applyFont="1" applyAlignment="1">
      <alignment vertical="center"/>
    </xf>
    <xf numFmtId="0" fontId="32" fillId="0" borderId="0" xfId="0" applyFont="1" applyAlignment="1">
      <alignment horizontal="center" vertical="center"/>
    </xf>
    <xf numFmtId="0" fontId="33" fillId="0" borderId="0" xfId="0" applyFont="1" applyAlignment="1">
      <alignment vertical="center"/>
    </xf>
    <xf numFmtId="0" fontId="33" fillId="0" borderId="0" xfId="0" applyFont="1" applyAlignment="1">
      <alignment horizontal="center" vertical="center"/>
    </xf>
    <xf numFmtId="0" fontId="34" fillId="0" borderId="0" xfId="0" applyFont="1" applyAlignment="1">
      <alignment horizontal="left" vertical="center"/>
    </xf>
    <xf numFmtId="0" fontId="33" fillId="0" borderId="0" xfId="0" applyFont="1" applyAlignment="1">
      <alignment horizontal="left" vertical="center"/>
    </xf>
    <xf numFmtId="0" fontId="35" fillId="0" borderId="0" xfId="0" applyFont="1" applyAlignment="1">
      <alignment horizontal="center" vertical="center"/>
    </xf>
    <xf numFmtId="0" fontId="33" fillId="0" borderId="16" xfId="0" applyFont="1" applyBorder="1" applyAlignment="1">
      <alignment horizontal="center" vertical="center"/>
    </xf>
    <xf numFmtId="0" fontId="33" fillId="0" borderId="17" xfId="0" applyFont="1" applyBorder="1" applyAlignment="1">
      <alignment horizontal="center" vertical="center"/>
    </xf>
    <xf numFmtId="0" fontId="33" fillId="0" borderId="0" xfId="0" applyFont="1" applyAlignment="1">
      <alignment horizontal="center" vertical="center"/>
    </xf>
    <xf numFmtId="0" fontId="33" fillId="0" borderId="18" xfId="0" applyFont="1" applyBorder="1" applyAlignment="1">
      <alignment horizontal="center" vertical="center"/>
    </xf>
    <xf numFmtId="0" fontId="33" fillId="10" borderId="17" xfId="0" applyFont="1" applyFill="1" applyBorder="1" applyAlignment="1">
      <alignment horizontal="center" vertical="center"/>
    </xf>
    <xf numFmtId="0" fontId="33" fillId="10" borderId="16" xfId="0" applyFont="1" applyFill="1" applyBorder="1" applyAlignment="1">
      <alignment horizontal="center" vertical="center"/>
    </xf>
    <xf numFmtId="2" fontId="33" fillId="10" borderId="17" xfId="0" applyNumberFormat="1" applyFont="1" applyFill="1" applyBorder="1" applyAlignment="1">
      <alignment horizontal="center" vertical="center"/>
    </xf>
    <xf numFmtId="2" fontId="33" fillId="0" borderId="0" xfId="0" applyNumberFormat="1" applyFont="1" applyAlignment="1">
      <alignment horizontal="center" vertical="center"/>
    </xf>
    <xf numFmtId="2" fontId="33" fillId="0" borderId="19" xfId="0" applyNumberFormat="1" applyFont="1" applyBorder="1" applyAlignment="1">
      <alignment horizontal="center" vertical="center"/>
    </xf>
    <xf numFmtId="0" fontId="33" fillId="0" borderId="0" xfId="0" applyFont="1" applyAlignment="1">
      <alignment horizontal="left" vertical="center"/>
    </xf>
    <xf numFmtId="0" fontId="33" fillId="0" borderId="16" xfId="0" applyFont="1" applyBorder="1" applyAlignment="1">
      <alignment horizontal="center" vertical="center"/>
    </xf>
    <xf numFmtId="0" fontId="33" fillId="0" borderId="21" xfId="0" applyFont="1" applyBorder="1" applyAlignment="1">
      <alignment horizontal="center" vertical="center"/>
    </xf>
    <xf numFmtId="0" fontId="33" fillId="10" borderId="16" xfId="0" applyFont="1" applyFill="1" applyBorder="1" applyAlignment="1">
      <alignment horizontal="left" vertical="center"/>
    </xf>
    <xf numFmtId="0" fontId="33" fillId="10" borderId="21" xfId="0" applyFont="1" applyFill="1" applyBorder="1" applyAlignment="1">
      <alignment horizontal="left" vertical="center"/>
    </xf>
    <xf numFmtId="165" fontId="33" fillId="10" borderId="17" xfId="0" applyNumberFormat="1" applyFont="1" applyFill="1" applyBorder="1" applyAlignment="1">
      <alignment horizontal="center" vertical="center"/>
    </xf>
    <xf numFmtId="0" fontId="33" fillId="0" borderId="22" xfId="0" applyFont="1" applyBorder="1" applyAlignment="1">
      <alignment vertical="center"/>
    </xf>
    <xf numFmtId="0" fontId="33" fillId="10" borderId="23" xfId="0" applyFont="1" applyFill="1" applyBorder="1" applyAlignment="1">
      <alignment horizontal="center" vertical="center"/>
    </xf>
    <xf numFmtId="0" fontId="35" fillId="0" borderId="0" xfId="0" applyFont="1" applyAlignment="1">
      <alignment horizontal="left" vertical="center"/>
    </xf>
    <xf numFmtId="0" fontId="35" fillId="0" borderId="24" xfId="0" applyFont="1" applyBorder="1" applyAlignment="1">
      <alignment horizontal="center" vertical="center" wrapText="1"/>
    </xf>
    <xf numFmtId="0" fontId="35" fillId="0" borderId="25" xfId="0" applyFont="1" applyBorder="1" applyAlignment="1">
      <alignment horizontal="center" vertical="center" wrapText="1"/>
    </xf>
    <xf numFmtId="0" fontId="35" fillId="0" borderId="26" xfId="0" applyFont="1" applyBorder="1" applyAlignment="1">
      <alignment horizontal="center" vertical="center" wrapText="1"/>
    </xf>
    <xf numFmtId="0" fontId="33" fillId="0" borderId="27" xfId="0" applyFont="1" applyBorder="1" applyAlignment="1">
      <alignment horizontal="center" vertical="center" wrapText="1"/>
    </xf>
    <xf numFmtId="0" fontId="35" fillId="0" borderId="0" xfId="0" applyFont="1" applyAlignment="1">
      <alignment horizontal="center" vertical="center" wrapText="1"/>
    </xf>
    <xf numFmtId="0" fontId="35" fillId="0" borderId="0" xfId="0" applyFont="1" applyAlignment="1">
      <alignment horizontal="center" vertical="center" wrapText="1"/>
    </xf>
    <xf numFmtId="0" fontId="33" fillId="0" borderId="28" xfId="0" applyFont="1" applyBorder="1" applyAlignment="1">
      <alignment horizontal="center" vertical="center" wrapText="1"/>
    </xf>
    <xf numFmtId="0" fontId="33" fillId="0" borderId="1" xfId="0" applyFont="1" applyBorder="1" applyAlignment="1">
      <alignment horizontal="center" vertical="center" wrapText="1"/>
    </xf>
    <xf numFmtId="0" fontId="35" fillId="0" borderId="1" xfId="0" applyFont="1" applyBorder="1" applyAlignment="1">
      <alignment horizontal="center" vertical="center" wrapText="1"/>
    </xf>
    <xf numFmtId="0" fontId="33" fillId="0" borderId="10" xfId="0" applyFont="1" applyBorder="1" applyAlignment="1">
      <alignment horizontal="center" vertical="center" wrapText="1"/>
    </xf>
    <xf numFmtId="0" fontId="35" fillId="0" borderId="10" xfId="0" applyFont="1" applyBorder="1" applyAlignment="1">
      <alignment horizontal="center" vertical="center" wrapText="1"/>
    </xf>
    <xf numFmtId="0" fontId="35" fillId="0" borderId="0" xfId="0" applyFont="1" applyAlignment="1">
      <alignment horizontal="left" vertical="center" wrapText="1"/>
    </xf>
    <xf numFmtId="22" fontId="33" fillId="0" borderId="29" xfId="0" applyNumberFormat="1" applyFont="1" applyBorder="1" applyAlignment="1">
      <alignment horizontal="center" vertical="center"/>
    </xf>
    <xf numFmtId="0" fontId="33" fillId="0" borderId="30" xfId="0" applyFont="1" applyBorder="1" applyAlignment="1">
      <alignment horizontal="center" vertical="center"/>
    </xf>
    <xf numFmtId="2" fontId="33" fillId="0" borderId="30" xfId="0" applyNumberFormat="1" applyFont="1" applyBorder="1" applyAlignment="1">
      <alignment horizontal="center" vertical="center"/>
    </xf>
    <xf numFmtId="165" fontId="33" fillId="0" borderId="31" xfId="0" applyNumberFormat="1" applyFont="1" applyBorder="1" applyAlignment="1">
      <alignment horizontal="center" vertical="center"/>
    </xf>
    <xf numFmtId="165" fontId="33" fillId="0" borderId="30" xfId="0" applyNumberFormat="1" applyFont="1" applyBorder="1" applyAlignment="1">
      <alignment horizontal="center" vertical="center"/>
    </xf>
    <xf numFmtId="0" fontId="39" fillId="12" borderId="32" xfId="2" applyFont="1" applyBorder="1" applyAlignment="1">
      <alignment horizontal="right" vertical="center"/>
    </xf>
    <xf numFmtId="14" fontId="39" fillId="12" borderId="19" xfId="2" applyNumberFormat="1" applyFont="1" applyBorder="1" applyAlignment="1">
      <alignment horizontal="center" vertical="center"/>
    </xf>
    <xf numFmtId="0" fontId="33" fillId="0" borderId="0" xfId="0" applyFont="1" applyAlignment="1">
      <alignment vertical="top"/>
    </xf>
    <xf numFmtId="0" fontId="39" fillId="12" borderId="20" xfId="2" applyFont="1" applyBorder="1" applyAlignment="1">
      <alignment horizontal="right" vertical="center"/>
    </xf>
    <xf numFmtId="14" fontId="39" fillId="12" borderId="33" xfId="2" applyNumberFormat="1" applyFont="1" applyBorder="1" applyAlignment="1">
      <alignment horizontal="center" vertical="center"/>
    </xf>
    <xf numFmtId="0" fontId="33" fillId="10" borderId="34" xfId="0" applyFont="1" applyFill="1" applyBorder="1" applyAlignment="1">
      <alignment horizontal="center" vertical="center"/>
    </xf>
    <xf numFmtId="0" fontId="33" fillId="0" borderId="36" xfId="0" applyFont="1" applyBorder="1" applyAlignment="1">
      <alignment horizontal="center" vertical="center"/>
    </xf>
    <xf numFmtId="0" fontId="33" fillId="0" borderId="35" xfId="0" applyFont="1" applyBorder="1" applyAlignment="1">
      <alignment horizontal="center" vertical="center"/>
    </xf>
    <xf numFmtId="2" fontId="33" fillId="0" borderId="30" xfId="0" quotePrefix="1" applyNumberFormat="1" applyFont="1" applyBorder="1" applyAlignment="1">
      <alignment horizontal="center" vertical="center"/>
    </xf>
    <xf numFmtId="0" fontId="0" fillId="10" borderId="1" xfId="0" applyFill="1" applyBorder="1" applyAlignment="1">
      <alignment horizontal="center" vertical="center"/>
    </xf>
    <xf numFmtId="0" fontId="36" fillId="0" borderId="1" xfId="0" applyFont="1" applyBorder="1" applyAlignment="1">
      <alignment horizontal="center" vertical="center" wrapText="1"/>
    </xf>
    <xf numFmtId="0" fontId="0" fillId="10" borderId="1" xfId="0" applyFill="1" applyBorder="1" applyAlignment="1">
      <alignment horizontal="center" vertical="center" wrapText="1"/>
    </xf>
    <xf numFmtId="0" fontId="38" fillId="0" borderId="30" xfId="1" applyFont="1" applyFill="1" applyBorder="1" applyAlignment="1">
      <alignment horizontal="center" vertical="center"/>
    </xf>
  </cellXfs>
  <cellStyles count="3">
    <cellStyle name="Neutre" xfId="2" builtinId="28"/>
    <cellStyle name="Normal" xfId="0" builtinId="0"/>
    <cellStyle name="Satisfaisant" xfId="1" builtinId="26"/>
  </cellStyles>
  <dxfs count="1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Témpératures</a:t>
            </a:r>
            <a:r>
              <a:rPr lang="fr-FR" baseline="0"/>
              <a:t> enregistrées au cours de la 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1.9070079068881265E-2"/>
          <c:y val="7.7972205167934142E-2"/>
          <c:w val="0.97277530045427718"/>
          <c:h val="0.84361124252694719"/>
        </c:manualLayout>
      </c:layout>
      <c:lineChart>
        <c:grouping val="standard"/>
        <c:varyColors val="0"/>
        <c:ser>
          <c:idx val="0"/>
          <c:order val="0"/>
          <c:spPr>
            <a:ln w="28575" cap="rnd">
              <a:solidFill>
                <a:schemeClr val="accent1"/>
              </a:solidFill>
              <a:round/>
            </a:ln>
            <a:effectLst/>
          </c:spPr>
          <c:marker>
            <c:symbol val="none"/>
          </c:marker>
          <c:val>
            <c:numRef>
              <c:f>'Valeurs brutes'!$B$2:$B$3</c:f>
              <c:numCache>
                <c:formatCode>General</c:formatCode>
                <c:ptCount val="2"/>
              </c:numCache>
            </c:numRef>
          </c:val>
          <c:smooth val="0"/>
          <c:extLst>
            <c:ext xmlns:c16="http://schemas.microsoft.com/office/drawing/2014/chart" uri="{C3380CC4-5D6E-409C-BE32-E72D297353CC}">
              <c16:uniqueId val="{00000000-22AB-4908-8DDC-1492455C2BDF}"/>
            </c:ext>
          </c:extLst>
        </c:ser>
        <c:ser>
          <c:idx val="1"/>
          <c:order val="1"/>
          <c:spPr>
            <a:ln w="28575" cap="rnd">
              <a:solidFill>
                <a:schemeClr val="accent2"/>
              </a:solidFill>
              <a:round/>
            </a:ln>
            <a:effectLst/>
          </c:spPr>
          <c:marker>
            <c:symbol val="none"/>
          </c:marker>
          <c:val>
            <c:numRef>
              <c:f>'Valeurs brutes'!$C$2:$C$3</c:f>
              <c:numCache>
                <c:formatCode>General</c:formatCode>
                <c:ptCount val="2"/>
              </c:numCache>
            </c:numRef>
          </c:val>
          <c:smooth val="0"/>
          <c:extLst>
            <c:ext xmlns:c16="http://schemas.microsoft.com/office/drawing/2014/chart" uri="{C3380CC4-5D6E-409C-BE32-E72D297353CC}">
              <c16:uniqueId val="{00000001-22AB-4908-8DDC-1492455C2BDF}"/>
            </c:ext>
          </c:extLst>
        </c:ser>
        <c:ser>
          <c:idx val="2"/>
          <c:order val="2"/>
          <c:spPr>
            <a:ln w="28575" cap="rnd">
              <a:solidFill>
                <a:schemeClr val="accent3"/>
              </a:solidFill>
              <a:round/>
            </a:ln>
            <a:effectLst/>
          </c:spPr>
          <c:marker>
            <c:symbol val="none"/>
          </c:marker>
          <c:val>
            <c:numRef>
              <c:f>'Valeurs brutes'!$D$2:$D$3</c:f>
              <c:numCache>
                <c:formatCode>General</c:formatCode>
                <c:ptCount val="2"/>
              </c:numCache>
            </c:numRef>
          </c:val>
          <c:smooth val="0"/>
          <c:extLst>
            <c:ext xmlns:c16="http://schemas.microsoft.com/office/drawing/2014/chart" uri="{C3380CC4-5D6E-409C-BE32-E72D297353CC}">
              <c16:uniqueId val="{00000002-22AB-4908-8DDC-1492455C2BDF}"/>
            </c:ext>
          </c:extLst>
        </c:ser>
        <c:ser>
          <c:idx val="3"/>
          <c:order val="3"/>
          <c:spPr>
            <a:ln w="28575" cap="rnd">
              <a:solidFill>
                <a:schemeClr val="accent4"/>
              </a:solidFill>
              <a:round/>
            </a:ln>
            <a:effectLst/>
          </c:spPr>
          <c:marker>
            <c:symbol val="none"/>
          </c:marker>
          <c:val>
            <c:numRef>
              <c:f>'Valeurs brutes'!$E$2:$E$3</c:f>
              <c:numCache>
                <c:formatCode>General</c:formatCode>
                <c:ptCount val="2"/>
              </c:numCache>
            </c:numRef>
          </c:val>
          <c:smooth val="0"/>
          <c:extLst>
            <c:ext xmlns:c16="http://schemas.microsoft.com/office/drawing/2014/chart" uri="{C3380CC4-5D6E-409C-BE32-E72D297353CC}">
              <c16:uniqueId val="{00000003-22AB-4908-8DDC-1492455C2BDF}"/>
            </c:ext>
          </c:extLst>
        </c:ser>
        <c:ser>
          <c:idx val="4"/>
          <c:order val="4"/>
          <c:spPr>
            <a:ln w="28575" cap="rnd">
              <a:solidFill>
                <a:schemeClr val="accent5"/>
              </a:solidFill>
              <a:round/>
            </a:ln>
            <a:effectLst/>
          </c:spPr>
          <c:marker>
            <c:symbol val="none"/>
          </c:marker>
          <c:val>
            <c:numRef>
              <c:f>'Valeurs brutes'!$F$2:$F$3</c:f>
              <c:numCache>
                <c:formatCode>General</c:formatCode>
                <c:ptCount val="2"/>
              </c:numCache>
            </c:numRef>
          </c:val>
          <c:smooth val="0"/>
          <c:extLst>
            <c:ext xmlns:c16="http://schemas.microsoft.com/office/drawing/2014/chart" uri="{C3380CC4-5D6E-409C-BE32-E72D297353CC}">
              <c16:uniqueId val="{00000004-22AB-4908-8DDC-1492455C2BDF}"/>
            </c:ext>
          </c:extLst>
        </c:ser>
        <c:ser>
          <c:idx val="5"/>
          <c:order val="5"/>
          <c:spPr>
            <a:ln w="28575" cap="rnd">
              <a:solidFill>
                <a:schemeClr val="accent6"/>
              </a:solidFill>
              <a:round/>
            </a:ln>
            <a:effectLst/>
          </c:spPr>
          <c:marker>
            <c:symbol val="none"/>
          </c:marker>
          <c:val>
            <c:numRef>
              <c:f>'Valeurs brutes'!$G$2:$G$3</c:f>
              <c:numCache>
                <c:formatCode>General</c:formatCode>
                <c:ptCount val="2"/>
              </c:numCache>
            </c:numRef>
          </c:val>
          <c:smooth val="0"/>
          <c:extLst>
            <c:ext xmlns:c16="http://schemas.microsoft.com/office/drawing/2014/chart" uri="{C3380CC4-5D6E-409C-BE32-E72D297353CC}">
              <c16:uniqueId val="{00000005-22AB-4908-8DDC-1492455C2BDF}"/>
            </c:ext>
          </c:extLst>
        </c:ser>
        <c:ser>
          <c:idx val="6"/>
          <c:order val="6"/>
          <c:spPr>
            <a:ln w="28575" cap="rnd">
              <a:solidFill>
                <a:schemeClr val="accent1">
                  <a:lumMod val="60000"/>
                </a:schemeClr>
              </a:solidFill>
              <a:round/>
            </a:ln>
            <a:effectLst/>
          </c:spPr>
          <c:marker>
            <c:symbol val="none"/>
          </c:marker>
          <c:val>
            <c:numRef>
              <c:f>'Valeurs brutes'!$H$2:$H$3</c:f>
              <c:numCache>
                <c:formatCode>General</c:formatCode>
                <c:ptCount val="2"/>
              </c:numCache>
            </c:numRef>
          </c:val>
          <c:smooth val="0"/>
          <c:extLst>
            <c:ext xmlns:c16="http://schemas.microsoft.com/office/drawing/2014/chart" uri="{C3380CC4-5D6E-409C-BE32-E72D297353CC}">
              <c16:uniqueId val="{00000006-22AB-4908-8DDC-1492455C2BDF}"/>
            </c:ext>
          </c:extLst>
        </c:ser>
        <c:ser>
          <c:idx val="7"/>
          <c:order val="7"/>
          <c:spPr>
            <a:ln w="28575" cap="rnd">
              <a:solidFill>
                <a:schemeClr val="accent2">
                  <a:lumMod val="60000"/>
                </a:schemeClr>
              </a:solidFill>
              <a:round/>
            </a:ln>
            <a:effectLst/>
          </c:spPr>
          <c:marker>
            <c:symbol val="none"/>
          </c:marker>
          <c:val>
            <c:numRef>
              <c:f>'Valeurs brutes'!$I$2:$I$3</c:f>
              <c:numCache>
                <c:formatCode>General</c:formatCode>
                <c:ptCount val="2"/>
              </c:numCache>
            </c:numRef>
          </c:val>
          <c:smooth val="0"/>
          <c:extLst>
            <c:ext xmlns:c16="http://schemas.microsoft.com/office/drawing/2014/chart" uri="{C3380CC4-5D6E-409C-BE32-E72D297353CC}">
              <c16:uniqueId val="{00000007-22AB-4908-8DDC-1492455C2BDF}"/>
            </c:ext>
          </c:extLst>
        </c:ser>
        <c:ser>
          <c:idx val="8"/>
          <c:order val="8"/>
          <c:spPr>
            <a:ln w="28575" cap="rnd">
              <a:solidFill>
                <a:schemeClr val="accent3">
                  <a:lumMod val="60000"/>
                </a:schemeClr>
              </a:solidFill>
              <a:round/>
            </a:ln>
            <a:effectLst/>
          </c:spPr>
          <c:marker>
            <c:symbol val="none"/>
          </c:marker>
          <c:val>
            <c:numRef>
              <c:f>'Valeurs brutes'!$J$2:$J$3</c:f>
              <c:numCache>
                <c:formatCode>General</c:formatCode>
                <c:ptCount val="2"/>
              </c:numCache>
            </c:numRef>
          </c:val>
          <c:smooth val="0"/>
          <c:extLst>
            <c:ext xmlns:c16="http://schemas.microsoft.com/office/drawing/2014/chart" uri="{C3380CC4-5D6E-409C-BE32-E72D297353CC}">
              <c16:uniqueId val="{00000008-22AB-4908-8DDC-1492455C2BDF}"/>
            </c:ext>
          </c:extLst>
        </c:ser>
        <c:ser>
          <c:idx val="9"/>
          <c:order val="9"/>
          <c:spPr>
            <a:ln w="28575" cap="rnd">
              <a:solidFill>
                <a:schemeClr val="accent4">
                  <a:lumMod val="60000"/>
                </a:schemeClr>
              </a:solidFill>
              <a:round/>
            </a:ln>
            <a:effectLst/>
          </c:spPr>
          <c:marker>
            <c:symbol val="none"/>
          </c:marker>
          <c:val>
            <c:numRef>
              <c:f>'Valeurs brutes'!$K$2:$K$3</c:f>
              <c:numCache>
                <c:formatCode>General</c:formatCode>
                <c:ptCount val="2"/>
              </c:numCache>
            </c:numRef>
          </c:val>
          <c:smooth val="0"/>
          <c:extLst>
            <c:ext xmlns:c16="http://schemas.microsoft.com/office/drawing/2014/chart" uri="{C3380CC4-5D6E-409C-BE32-E72D297353CC}">
              <c16:uniqueId val="{00000009-22AB-4908-8DDC-1492455C2BDF}"/>
            </c:ext>
          </c:extLst>
        </c:ser>
        <c:ser>
          <c:idx val="10"/>
          <c:order val="10"/>
          <c:spPr>
            <a:ln w="28575" cap="rnd">
              <a:solidFill>
                <a:schemeClr val="accent5">
                  <a:lumMod val="60000"/>
                </a:schemeClr>
              </a:solidFill>
              <a:round/>
            </a:ln>
            <a:effectLst/>
          </c:spPr>
          <c:marker>
            <c:symbol val="none"/>
          </c:marker>
          <c:val>
            <c:numRef>
              <c:f>'Valeurs brutes'!$L$2:$L$3</c:f>
              <c:numCache>
                <c:formatCode>General</c:formatCode>
                <c:ptCount val="2"/>
              </c:numCache>
            </c:numRef>
          </c:val>
          <c:smooth val="0"/>
          <c:extLst>
            <c:ext xmlns:c16="http://schemas.microsoft.com/office/drawing/2014/chart" uri="{C3380CC4-5D6E-409C-BE32-E72D297353CC}">
              <c16:uniqueId val="{0000000A-22AB-4908-8DDC-1492455C2BDF}"/>
            </c:ext>
          </c:extLst>
        </c:ser>
        <c:ser>
          <c:idx val="11"/>
          <c:order val="11"/>
          <c:spPr>
            <a:ln w="28575" cap="rnd">
              <a:solidFill>
                <a:schemeClr val="accent6">
                  <a:lumMod val="60000"/>
                </a:schemeClr>
              </a:solidFill>
              <a:round/>
            </a:ln>
            <a:effectLst/>
          </c:spPr>
          <c:marker>
            <c:symbol val="none"/>
          </c:marker>
          <c:val>
            <c:numRef>
              <c:f>'Valeurs brutes'!$M$2:$M$3</c:f>
              <c:numCache>
                <c:formatCode>General</c:formatCode>
                <c:ptCount val="2"/>
              </c:numCache>
            </c:numRef>
          </c:val>
          <c:smooth val="0"/>
          <c:extLst>
            <c:ext xmlns:c16="http://schemas.microsoft.com/office/drawing/2014/chart" uri="{C3380CC4-5D6E-409C-BE32-E72D297353CC}">
              <c16:uniqueId val="{0000000B-22AB-4908-8DDC-1492455C2BDF}"/>
            </c:ext>
          </c:extLst>
        </c:ser>
        <c:dLbls>
          <c:showLegendKey val="0"/>
          <c:showVal val="0"/>
          <c:showCatName val="0"/>
          <c:showSerName val="0"/>
          <c:showPercent val="0"/>
          <c:showBubbleSize val="0"/>
        </c:dLbls>
        <c:smooth val="0"/>
        <c:axId val="906205600"/>
        <c:axId val="906207040"/>
      </c:lineChart>
      <c:catAx>
        <c:axId val="906205600"/>
        <c:scaling>
          <c:orientation val="minMax"/>
        </c:scaling>
        <c:delete val="1"/>
        <c:axPos val="b"/>
        <c:majorTickMark val="none"/>
        <c:minorTickMark val="none"/>
        <c:tickLblPos val="nextTo"/>
        <c:crossAx val="906207040"/>
        <c:crosses val="autoZero"/>
        <c:auto val="1"/>
        <c:lblAlgn val="ctr"/>
        <c:lblOffset val="100"/>
        <c:noMultiLvlLbl val="0"/>
      </c:catAx>
      <c:valAx>
        <c:axId val="906207040"/>
        <c:scaling>
          <c:orientation val="minMax"/>
          <c:max val="-23"/>
          <c:min val="-37"/>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906205600"/>
        <c:crosses val="autoZero"/>
        <c:crossBetween val="between"/>
      </c:valAx>
      <c:spPr>
        <a:noFill/>
        <a:ln>
          <a:noFill/>
        </a:ln>
        <a:effectLst/>
      </c:spPr>
    </c:plotArea>
    <c:legend>
      <c:legendPos val="b"/>
      <c:layout>
        <c:manualLayout>
          <c:xMode val="edge"/>
          <c:yMode val="edge"/>
          <c:x val="0.19044094631911856"/>
          <c:y val="0.90520809889003373"/>
          <c:w val="0.61911810736176287"/>
          <c:h val="8.1828940982296358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Témpératures</a:t>
            </a:r>
            <a:r>
              <a:rPr lang="fr-FR" baseline="0"/>
              <a:t> enregistrées au cours de la 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1.9070079068881265E-2"/>
          <c:y val="7.7972205167934142E-2"/>
          <c:w val="0.97277530045427718"/>
          <c:h val="0.84361124252694719"/>
        </c:manualLayout>
      </c:layout>
      <c:lineChart>
        <c:grouping val="standard"/>
        <c:varyColors val="0"/>
        <c:ser>
          <c:idx val="0"/>
          <c:order val="0"/>
          <c:spPr>
            <a:ln w="28575" cap="rnd">
              <a:solidFill>
                <a:schemeClr val="accent1"/>
              </a:solidFill>
              <a:round/>
            </a:ln>
            <a:effectLst/>
          </c:spPr>
          <c:marker>
            <c:symbol val="none"/>
          </c:marker>
          <c:val>
            <c:numRef>
              <c:f>'Valeurs brutes'!$B$2:$B$3</c:f>
              <c:numCache>
                <c:formatCode>General</c:formatCode>
                <c:ptCount val="2"/>
              </c:numCache>
            </c:numRef>
          </c:val>
          <c:smooth val="0"/>
          <c:extLst>
            <c:ext xmlns:c16="http://schemas.microsoft.com/office/drawing/2014/chart" uri="{C3380CC4-5D6E-409C-BE32-E72D297353CC}">
              <c16:uniqueId val="{00000000-8018-48EC-B7E4-95E0E2C61508}"/>
            </c:ext>
          </c:extLst>
        </c:ser>
        <c:ser>
          <c:idx val="1"/>
          <c:order val="1"/>
          <c:spPr>
            <a:ln w="28575" cap="rnd">
              <a:solidFill>
                <a:schemeClr val="accent2"/>
              </a:solidFill>
              <a:round/>
            </a:ln>
            <a:effectLst/>
          </c:spPr>
          <c:marker>
            <c:symbol val="none"/>
          </c:marker>
          <c:val>
            <c:numRef>
              <c:f>'Valeurs brutes'!$C$2:$C$3</c:f>
              <c:numCache>
                <c:formatCode>General</c:formatCode>
                <c:ptCount val="2"/>
              </c:numCache>
            </c:numRef>
          </c:val>
          <c:smooth val="0"/>
          <c:extLst>
            <c:ext xmlns:c16="http://schemas.microsoft.com/office/drawing/2014/chart" uri="{C3380CC4-5D6E-409C-BE32-E72D297353CC}">
              <c16:uniqueId val="{00000001-8018-48EC-B7E4-95E0E2C61508}"/>
            </c:ext>
          </c:extLst>
        </c:ser>
        <c:ser>
          <c:idx val="2"/>
          <c:order val="2"/>
          <c:spPr>
            <a:ln w="28575" cap="rnd">
              <a:solidFill>
                <a:schemeClr val="accent3"/>
              </a:solidFill>
              <a:round/>
            </a:ln>
            <a:effectLst/>
          </c:spPr>
          <c:marker>
            <c:symbol val="none"/>
          </c:marker>
          <c:val>
            <c:numRef>
              <c:f>'Valeurs brutes'!$D$2:$D$3</c:f>
              <c:numCache>
                <c:formatCode>General</c:formatCode>
                <c:ptCount val="2"/>
              </c:numCache>
            </c:numRef>
          </c:val>
          <c:smooth val="0"/>
          <c:extLst>
            <c:ext xmlns:c16="http://schemas.microsoft.com/office/drawing/2014/chart" uri="{C3380CC4-5D6E-409C-BE32-E72D297353CC}">
              <c16:uniqueId val="{00000002-8018-48EC-B7E4-95E0E2C61508}"/>
            </c:ext>
          </c:extLst>
        </c:ser>
        <c:ser>
          <c:idx val="3"/>
          <c:order val="3"/>
          <c:spPr>
            <a:ln w="28575" cap="rnd">
              <a:solidFill>
                <a:schemeClr val="accent4"/>
              </a:solidFill>
              <a:round/>
            </a:ln>
            <a:effectLst/>
          </c:spPr>
          <c:marker>
            <c:symbol val="none"/>
          </c:marker>
          <c:val>
            <c:numRef>
              <c:f>'Valeurs brutes'!$E$2:$E$3</c:f>
              <c:numCache>
                <c:formatCode>General</c:formatCode>
                <c:ptCount val="2"/>
              </c:numCache>
            </c:numRef>
          </c:val>
          <c:smooth val="0"/>
          <c:extLst>
            <c:ext xmlns:c16="http://schemas.microsoft.com/office/drawing/2014/chart" uri="{C3380CC4-5D6E-409C-BE32-E72D297353CC}">
              <c16:uniqueId val="{00000003-8018-48EC-B7E4-95E0E2C61508}"/>
            </c:ext>
          </c:extLst>
        </c:ser>
        <c:ser>
          <c:idx val="4"/>
          <c:order val="4"/>
          <c:spPr>
            <a:ln w="28575" cap="rnd">
              <a:solidFill>
                <a:schemeClr val="accent5"/>
              </a:solidFill>
              <a:round/>
            </a:ln>
            <a:effectLst/>
          </c:spPr>
          <c:marker>
            <c:symbol val="none"/>
          </c:marker>
          <c:val>
            <c:numRef>
              <c:f>'Valeurs brutes'!$F$2:$F$3</c:f>
              <c:numCache>
                <c:formatCode>General</c:formatCode>
                <c:ptCount val="2"/>
              </c:numCache>
            </c:numRef>
          </c:val>
          <c:smooth val="0"/>
          <c:extLst>
            <c:ext xmlns:c16="http://schemas.microsoft.com/office/drawing/2014/chart" uri="{C3380CC4-5D6E-409C-BE32-E72D297353CC}">
              <c16:uniqueId val="{00000004-8018-48EC-B7E4-95E0E2C61508}"/>
            </c:ext>
          </c:extLst>
        </c:ser>
        <c:ser>
          <c:idx val="5"/>
          <c:order val="5"/>
          <c:spPr>
            <a:ln w="28575" cap="rnd">
              <a:solidFill>
                <a:schemeClr val="accent6"/>
              </a:solidFill>
              <a:round/>
            </a:ln>
            <a:effectLst/>
          </c:spPr>
          <c:marker>
            <c:symbol val="none"/>
          </c:marker>
          <c:val>
            <c:numRef>
              <c:f>'Valeurs brutes'!$G$2:$G$3</c:f>
              <c:numCache>
                <c:formatCode>General</c:formatCode>
                <c:ptCount val="2"/>
              </c:numCache>
            </c:numRef>
          </c:val>
          <c:smooth val="0"/>
          <c:extLst>
            <c:ext xmlns:c16="http://schemas.microsoft.com/office/drawing/2014/chart" uri="{C3380CC4-5D6E-409C-BE32-E72D297353CC}">
              <c16:uniqueId val="{00000005-8018-48EC-B7E4-95E0E2C61508}"/>
            </c:ext>
          </c:extLst>
        </c:ser>
        <c:ser>
          <c:idx val="6"/>
          <c:order val="6"/>
          <c:spPr>
            <a:ln w="28575" cap="rnd">
              <a:solidFill>
                <a:schemeClr val="accent1">
                  <a:lumMod val="60000"/>
                </a:schemeClr>
              </a:solidFill>
              <a:round/>
            </a:ln>
            <a:effectLst/>
          </c:spPr>
          <c:marker>
            <c:symbol val="none"/>
          </c:marker>
          <c:val>
            <c:numRef>
              <c:f>'Valeurs brutes'!$H$2:$H$3</c:f>
              <c:numCache>
                <c:formatCode>General</c:formatCode>
                <c:ptCount val="2"/>
              </c:numCache>
            </c:numRef>
          </c:val>
          <c:smooth val="0"/>
          <c:extLst>
            <c:ext xmlns:c16="http://schemas.microsoft.com/office/drawing/2014/chart" uri="{C3380CC4-5D6E-409C-BE32-E72D297353CC}">
              <c16:uniqueId val="{00000006-8018-48EC-B7E4-95E0E2C61508}"/>
            </c:ext>
          </c:extLst>
        </c:ser>
        <c:ser>
          <c:idx val="7"/>
          <c:order val="7"/>
          <c:spPr>
            <a:ln w="28575" cap="rnd">
              <a:solidFill>
                <a:schemeClr val="accent2">
                  <a:lumMod val="60000"/>
                </a:schemeClr>
              </a:solidFill>
              <a:round/>
            </a:ln>
            <a:effectLst/>
          </c:spPr>
          <c:marker>
            <c:symbol val="none"/>
          </c:marker>
          <c:val>
            <c:numRef>
              <c:f>'Valeurs brutes'!$I$2:$I$3</c:f>
              <c:numCache>
                <c:formatCode>General</c:formatCode>
                <c:ptCount val="2"/>
              </c:numCache>
            </c:numRef>
          </c:val>
          <c:smooth val="0"/>
          <c:extLst>
            <c:ext xmlns:c16="http://schemas.microsoft.com/office/drawing/2014/chart" uri="{C3380CC4-5D6E-409C-BE32-E72D297353CC}">
              <c16:uniqueId val="{00000007-8018-48EC-B7E4-95E0E2C61508}"/>
            </c:ext>
          </c:extLst>
        </c:ser>
        <c:ser>
          <c:idx val="8"/>
          <c:order val="8"/>
          <c:spPr>
            <a:ln w="28575" cap="rnd">
              <a:solidFill>
                <a:schemeClr val="accent3">
                  <a:lumMod val="60000"/>
                </a:schemeClr>
              </a:solidFill>
              <a:round/>
            </a:ln>
            <a:effectLst/>
          </c:spPr>
          <c:marker>
            <c:symbol val="none"/>
          </c:marker>
          <c:val>
            <c:numRef>
              <c:f>'Valeurs brutes'!$J$2:$J$3</c:f>
              <c:numCache>
                <c:formatCode>General</c:formatCode>
                <c:ptCount val="2"/>
              </c:numCache>
            </c:numRef>
          </c:val>
          <c:smooth val="0"/>
          <c:extLst>
            <c:ext xmlns:c16="http://schemas.microsoft.com/office/drawing/2014/chart" uri="{C3380CC4-5D6E-409C-BE32-E72D297353CC}">
              <c16:uniqueId val="{00000008-8018-48EC-B7E4-95E0E2C61508}"/>
            </c:ext>
          </c:extLst>
        </c:ser>
        <c:ser>
          <c:idx val="9"/>
          <c:order val="9"/>
          <c:spPr>
            <a:ln w="28575" cap="rnd">
              <a:solidFill>
                <a:schemeClr val="accent4">
                  <a:lumMod val="60000"/>
                </a:schemeClr>
              </a:solidFill>
              <a:round/>
            </a:ln>
            <a:effectLst/>
          </c:spPr>
          <c:marker>
            <c:symbol val="none"/>
          </c:marker>
          <c:val>
            <c:numRef>
              <c:f>'Valeurs brutes'!$K$2:$K$3</c:f>
              <c:numCache>
                <c:formatCode>General</c:formatCode>
                <c:ptCount val="2"/>
              </c:numCache>
            </c:numRef>
          </c:val>
          <c:smooth val="0"/>
          <c:extLst>
            <c:ext xmlns:c16="http://schemas.microsoft.com/office/drawing/2014/chart" uri="{C3380CC4-5D6E-409C-BE32-E72D297353CC}">
              <c16:uniqueId val="{00000009-8018-48EC-B7E4-95E0E2C61508}"/>
            </c:ext>
          </c:extLst>
        </c:ser>
        <c:ser>
          <c:idx val="10"/>
          <c:order val="10"/>
          <c:spPr>
            <a:ln w="28575" cap="rnd">
              <a:solidFill>
                <a:schemeClr val="accent5">
                  <a:lumMod val="60000"/>
                </a:schemeClr>
              </a:solidFill>
              <a:round/>
            </a:ln>
            <a:effectLst/>
          </c:spPr>
          <c:marker>
            <c:symbol val="none"/>
          </c:marker>
          <c:val>
            <c:numRef>
              <c:f>'Valeurs brutes'!$L$2:$L$3</c:f>
              <c:numCache>
                <c:formatCode>General</c:formatCode>
                <c:ptCount val="2"/>
              </c:numCache>
            </c:numRef>
          </c:val>
          <c:smooth val="0"/>
          <c:extLst>
            <c:ext xmlns:c16="http://schemas.microsoft.com/office/drawing/2014/chart" uri="{C3380CC4-5D6E-409C-BE32-E72D297353CC}">
              <c16:uniqueId val="{0000000A-8018-48EC-B7E4-95E0E2C61508}"/>
            </c:ext>
          </c:extLst>
        </c:ser>
        <c:ser>
          <c:idx val="11"/>
          <c:order val="11"/>
          <c:spPr>
            <a:ln w="28575" cap="rnd">
              <a:solidFill>
                <a:schemeClr val="accent6">
                  <a:lumMod val="60000"/>
                </a:schemeClr>
              </a:solidFill>
              <a:round/>
            </a:ln>
            <a:effectLst/>
          </c:spPr>
          <c:marker>
            <c:symbol val="none"/>
          </c:marker>
          <c:val>
            <c:numRef>
              <c:f>'Valeurs brutes'!$M$2:$M$3</c:f>
              <c:numCache>
                <c:formatCode>General</c:formatCode>
                <c:ptCount val="2"/>
              </c:numCache>
            </c:numRef>
          </c:val>
          <c:smooth val="0"/>
          <c:extLst>
            <c:ext xmlns:c16="http://schemas.microsoft.com/office/drawing/2014/chart" uri="{C3380CC4-5D6E-409C-BE32-E72D297353CC}">
              <c16:uniqueId val="{0000000B-8018-48EC-B7E4-95E0E2C61508}"/>
            </c:ext>
          </c:extLst>
        </c:ser>
        <c:dLbls>
          <c:showLegendKey val="0"/>
          <c:showVal val="0"/>
          <c:showCatName val="0"/>
          <c:showSerName val="0"/>
          <c:showPercent val="0"/>
          <c:showBubbleSize val="0"/>
        </c:dLbls>
        <c:smooth val="0"/>
        <c:axId val="906205600"/>
        <c:axId val="906207040"/>
      </c:lineChart>
      <c:catAx>
        <c:axId val="906205600"/>
        <c:scaling>
          <c:orientation val="minMax"/>
        </c:scaling>
        <c:delete val="1"/>
        <c:axPos val="b"/>
        <c:majorTickMark val="none"/>
        <c:minorTickMark val="none"/>
        <c:tickLblPos val="nextTo"/>
        <c:crossAx val="906207040"/>
        <c:crosses val="autoZero"/>
        <c:auto val="1"/>
        <c:lblAlgn val="ctr"/>
        <c:lblOffset val="100"/>
        <c:noMultiLvlLbl val="0"/>
      </c:catAx>
      <c:valAx>
        <c:axId val="906207040"/>
        <c:scaling>
          <c:orientation val="minMax"/>
          <c:max val="-23"/>
          <c:min val="-37"/>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906205600"/>
        <c:crosses val="autoZero"/>
        <c:crossBetween val="between"/>
      </c:valAx>
      <c:spPr>
        <a:noFill/>
        <a:ln>
          <a:noFill/>
        </a:ln>
        <a:effectLst/>
      </c:spPr>
    </c:plotArea>
    <c:legend>
      <c:legendPos val="b"/>
      <c:layout>
        <c:manualLayout>
          <c:xMode val="edge"/>
          <c:yMode val="edge"/>
          <c:x val="0.19044094631911856"/>
          <c:y val="0.90520809889003373"/>
          <c:w val="0.61911810736176287"/>
          <c:h val="8.1828940982296358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g"/><Relationship Id="rId1" Type="http://schemas.openxmlformats.org/officeDocument/2006/relationships/image" Target="../media/image2.jpeg"/><Relationship Id="rId5" Type="http://schemas.microsoft.com/office/2007/relationships/hdphoto" Target="../media/hdphoto1.wdp"/><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11</xdr:col>
      <xdr:colOff>1210235</xdr:colOff>
      <xdr:row>34</xdr:row>
      <xdr:rowOff>33618</xdr:rowOff>
    </xdr:to>
    <xdr:grpSp>
      <xdr:nvGrpSpPr>
        <xdr:cNvPr id="24" name="Groupe 23">
          <a:extLst>
            <a:ext uri="{FF2B5EF4-FFF2-40B4-BE49-F238E27FC236}">
              <a16:creationId xmlns:a16="http://schemas.microsoft.com/office/drawing/2014/main" id="{00000000-0008-0000-0000-000018000000}"/>
            </a:ext>
          </a:extLst>
        </xdr:cNvPr>
        <xdr:cNvGrpSpPr/>
      </xdr:nvGrpSpPr>
      <xdr:grpSpPr>
        <a:xfrm>
          <a:off x="7378176" y="4295215"/>
          <a:ext cx="6405059" cy="3504079"/>
          <a:chOff x="6545579" y="1943100"/>
          <a:chExt cx="6151245" cy="4078885"/>
        </a:xfrm>
      </xdr:grpSpPr>
      <xdr:grpSp>
        <xdr:nvGrpSpPr>
          <xdr:cNvPr id="16" name="Groupe 15">
            <a:extLst>
              <a:ext uri="{FF2B5EF4-FFF2-40B4-BE49-F238E27FC236}">
                <a16:creationId xmlns:a16="http://schemas.microsoft.com/office/drawing/2014/main" id="{00000000-0008-0000-0000-000010000000}"/>
              </a:ext>
            </a:extLst>
          </xdr:cNvPr>
          <xdr:cNvGrpSpPr/>
        </xdr:nvGrpSpPr>
        <xdr:grpSpPr>
          <a:xfrm>
            <a:off x="6545579" y="1943100"/>
            <a:ext cx="6151245" cy="4078885"/>
            <a:chOff x="6497954" y="1828800"/>
            <a:chExt cx="6151245" cy="4078885"/>
          </a:xfrm>
        </xdr:grpSpPr>
        <xdr:grpSp>
          <xdr:nvGrpSpPr>
            <xdr:cNvPr id="8" name="Groupe 7">
              <a:extLst>
                <a:ext uri="{FF2B5EF4-FFF2-40B4-BE49-F238E27FC236}">
                  <a16:creationId xmlns:a16="http://schemas.microsoft.com/office/drawing/2014/main" id="{00000000-0008-0000-0000-000008000000}"/>
                </a:ext>
              </a:extLst>
            </xdr:cNvPr>
            <xdr:cNvGrpSpPr/>
          </xdr:nvGrpSpPr>
          <xdr:grpSpPr>
            <a:xfrm>
              <a:off x="6497954" y="1828800"/>
              <a:ext cx="6151245" cy="4078885"/>
              <a:chOff x="6097904" y="1828800"/>
              <a:chExt cx="6151245" cy="4078885"/>
            </a:xfrm>
          </xdr:grpSpPr>
          <xdr:grpSp>
            <xdr:nvGrpSpPr>
              <xdr:cNvPr id="2" name="Groupe 1">
                <a:extLst>
                  <a:ext uri="{FF2B5EF4-FFF2-40B4-BE49-F238E27FC236}">
                    <a16:creationId xmlns:a16="http://schemas.microsoft.com/office/drawing/2014/main" id="{00000000-0008-0000-0000-000002000000}"/>
                  </a:ext>
                </a:extLst>
              </xdr:cNvPr>
              <xdr:cNvGrpSpPr/>
            </xdr:nvGrpSpPr>
            <xdr:grpSpPr>
              <a:xfrm>
                <a:off x="6097904" y="2282190"/>
                <a:ext cx="6151245" cy="3625495"/>
                <a:chOff x="6097904" y="2282190"/>
                <a:chExt cx="6151245" cy="3625495"/>
              </a:xfrm>
            </xdr:grpSpPr>
            <xdr:pic>
              <xdr:nvPicPr>
                <xdr:cNvPr id="1072" name="Image 1071">
                  <a:extLst>
                    <a:ext uri="{FF2B5EF4-FFF2-40B4-BE49-F238E27FC236}">
                      <a16:creationId xmlns:a16="http://schemas.microsoft.com/office/drawing/2014/main" id="{00000000-0008-0000-0000-00003004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1073" name="Ellipse 1072">
                  <a:extLst>
                    <a:ext uri="{FF2B5EF4-FFF2-40B4-BE49-F238E27FC236}">
                      <a16:creationId xmlns:a16="http://schemas.microsoft.com/office/drawing/2014/main" id="{00000000-0008-0000-0000-00003104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1074" name="Ellipse 1073">
                  <a:extLst>
                    <a:ext uri="{FF2B5EF4-FFF2-40B4-BE49-F238E27FC236}">
                      <a16:creationId xmlns:a16="http://schemas.microsoft.com/office/drawing/2014/main" id="{00000000-0008-0000-0000-00003204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1075" name="Ellipse 1074">
                <a:extLst>
                  <a:ext uri="{FF2B5EF4-FFF2-40B4-BE49-F238E27FC236}">
                    <a16:creationId xmlns:a16="http://schemas.microsoft.com/office/drawing/2014/main" id="{00000000-0008-0000-0000-00003304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1077" name="Ellipse 1076">
                <a:extLst>
                  <a:ext uri="{FF2B5EF4-FFF2-40B4-BE49-F238E27FC236}">
                    <a16:creationId xmlns:a16="http://schemas.microsoft.com/office/drawing/2014/main" id="{00000000-0008-0000-0000-00003504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1078" name="Ellipse 1077">
                <a:extLst>
                  <a:ext uri="{FF2B5EF4-FFF2-40B4-BE49-F238E27FC236}">
                    <a16:creationId xmlns:a16="http://schemas.microsoft.com/office/drawing/2014/main" id="{00000000-0008-0000-0000-00003604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1079" name="Ellipse 1078">
                <a:extLst>
                  <a:ext uri="{FF2B5EF4-FFF2-40B4-BE49-F238E27FC236}">
                    <a16:creationId xmlns:a16="http://schemas.microsoft.com/office/drawing/2014/main" id="{00000000-0008-0000-0000-00003704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080" name="Ellipse 1079">
                <a:extLst>
                  <a:ext uri="{FF2B5EF4-FFF2-40B4-BE49-F238E27FC236}">
                    <a16:creationId xmlns:a16="http://schemas.microsoft.com/office/drawing/2014/main" id="{00000000-0008-0000-0000-00003804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1081" name="Ellipse 1080">
                <a:extLst>
                  <a:ext uri="{FF2B5EF4-FFF2-40B4-BE49-F238E27FC236}">
                    <a16:creationId xmlns:a16="http://schemas.microsoft.com/office/drawing/2014/main" id="{00000000-0008-0000-0000-00003904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1082" name="Ellipse 1081">
                <a:extLst>
                  <a:ext uri="{FF2B5EF4-FFF2-40B4-BE49-F238E27FC236}">
                    <a16:creationId xmlns:a16="http://schemas.microsoft.com/office/drawing/2014/main" id="{00000000-0008-0000-0000-00003A04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1083" name="Ellipse 1082">
                <a:extLst>
                  <a:ext uri="{FF2B5EF4-FFF2-40B4-BE49-F238E27FC236}">
                    <a16:creationId xmlns:a16="http://schemas.microsoft.com/office/drawing/2014/main" id="{00000000-0008-0000-0000-00003B04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1084" name="Ellipse 1083">
                <a:extLst>
                  <a:ext uri="{FF2B5EF4-FFF2-40B4-BE49-F238E27FC236}">
                    <a16:creationId xmlns:a16="http://schemas.microsoft.com/office/drawing/2014/main" id="{00000000-0008-0000-0000-00003C04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1085" name="Ellipse 1084">
                <a:extLst>
                  <a:ext uri="{FF2B5EF4-FFF2-40B4-BE49-F238E27FC236}">
                    <a16:creationId xmlns:a16="http://schemas.microsoft.com/office/drawing/2014/main" id="{00000000-0008-0000-0000-00003D04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1086" name="Ellipse 1085">
                <a:extLst>
                  <a:ext uri="{FF2B5EF4-FFF2-40B4-BE49-F238E27FC236}">
                    <a16:creationId xmlns:a16="http://schemas.microsoft.com/office/drawing/2014/main" id="{00000000-0008-0000-0000-00003E04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1087" name="Ellipse 1086">
                <a:extLst>
                  <a:ext uri="{FF2B5EF4-FFF2-40B4-BE49-F238E27FC236}">
                    <a16:creationId xmlns:a16="http://schemas.microsoft.com/office/drawing/2014/main" id="{00000000-0008-0000-0000-00003F04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1088" name="Ellipse 1087">
                <a:extLst>
                  <a:ext uri="{FF2B5EF4-FFF2-40B4-BE49-F238E27FC236}">
                    <a16:creationId xmlns:a16="http://schemas.microsoft.com/office/drawing/2014/main" id="{00000000-0008-0000-0000-00004004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1089" name="Ellipse 1088">
                <a:extLst>
                  <a:ext uri="{FF2B5EF4-FFF2-40B4-BE49-F238E27FC236}">
                    <a16:creationId xmlns:a16="http://schemas.microsoft.com/office/drawing/2014/main" id="{00000000-0008-0000-0000-00004104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1090" name="Ellipse 1089">
                <a:extLst>
                  <a:ext uri="{FF2B5EF4-FFF2-40B4-BE49-F238E27FC236}">
                    <a16:creationId xmlns:a16="http://schemas.microsoft.com/office/drawing/2014/main" id="{00000000-0008-0000-0000-00004204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1091" name="Ellipse 1090">
                <a:extLst>
                  <a:ext uri="{FF2B5EF4-FFF2-40B4-BE49-F238E27FC236}">
                    <a16:creationId xmlns:a16="http://schemas.microsoft.com/office/drawing/2014/main" id="{00000000-0008-0000-0000-00004304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13" name="ZoneTexte 12">
              <a:extLst>
                <a:ext uri="{FF2B5EF4-FFF2-40B4-BE49-F238E27FC236}">
                  <a16:creationId xmlns:a16="http://schemas.microsoft.com/office/drawing/2014/main" id="{00000000-0008-0000-0000-00000D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14" name="ZoneTexte 13">
              <a:extLst>
                <a:ext uri="{FF2B5EF4-FFF2-40B4-BE49-F238E27FC236}">
                  <a16:creationId xmlns:a16="http://schemas.microsoft.com/office/drawing/2014/main" id="{00000000-0008-0000-0000-00000E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17" name="Ellipse 16">
            <a:extLst>
              <a:ext uri="{FF2B5EF4-FFF2-40B4-BE49-F238E27FC236}">
                <a16:creationId xmlns:a16="http://schemas.microsoft.com/office/drawing/2014/main" id="{00000000-0008-0000-0000-000011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18" name="Ellipse 17">
            <a:extLst>
              <a:ext uri="{FF2B5EF4-FFF2-40B4-BE49-F238E27FC236}">
                <a16:creationId xmlns:a16="http://schemas.microsoft.com/office/drawing/2014/main" id="{00000000-0008-0000-0000-000012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20" name="Ellipse 19">
            <a:extLst>
              <a:ext uri="{FF2B5EF4-FFF2-40B4-BE49-F238E27FC236}">
                <a16:creationId xmlns:a16="http://schemas.microsoft.com/office/drawing/2014/main" id="{00000000-0008-0000-0000-000014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21" name="Ellipse 20">
            <a:extLst>
              <a:ext uri="{FF2B5EF4-FFF2-40B4-BE49-F238E27FC236}">
                <a16:creationId xmlns:a16="http://schemas.microsoft.com/office/drawing/2014/main" id="{00000000-0008-0000-0000-000015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22" name="Ellipse 21">
            <a:extLst>
              <a:ext uri="{FF2B5EF4-FFF2-40B4-BE49-F238E27FC236}">
                <a16:creationId xmlns:a16="http://schemas.microsoft.com/office/drawing/2014/main" id="{00000000-0008-0000-0000-000016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23" name="Ellipse 22">
            <a:extLst>
              <a:ext uri="{FF2B5EF4-FFF2-40B4-BE49-F238E27FC236}">
                <a16:creationId xmlns:a16="http://schemas.microsoft.com/office/drawing/2014/main" id="{00000000-0008-0000-0000-000017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333375</xdr:colOff>
          <xdr:row>5</xdr:row>
          <xdr:rowOff>57150</xdr:rowOff>
        </xdr:from>
        <xdr:to>
          <xdr:col>12</xdr:col>
          <xdr:colOff>409575</xdr:colOff>
          <xdr:row>10</xdr:row>
          <xdr:rowOff>57150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1209675</xdr:colOff>
          <xdr:row>5</xdr:row>
          <xdr:rowOff>180975</xdr:rowOff>
        </xdr:from>
        <xdr:to>
          <xdr:col>14</xdr:col>
          <xdr:colOff>19050</xdr:colOff>
          <xdr:row>9</xdr:row>
          <xdr:rowOff>123825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Supprimer les données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1020536</xdr:colOff>
      <xdr:row>28</xdr:row>
      <xdr:rowOff>108856</xdr:rowOff>
    </xdr:from>
    <xdr:to>
      <xdr:col>17</xdr:col>
      <xdr:colOff>721178</xdr:colOff>
      <xdr:row>59</xdr:row>
      <xdr:rowOff>81643</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98" name="Image 97">
          <a:extLst>
            <a:ext uri="{FF2B5EF4-FFF2-40B4-BE49-F238E27FC236}">
              <a16:creationId xmlns:a16="http://schemas.microsoft.com/office/drawing/2014/main" id="{00000000-0008-0000-0400-00006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28979"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99" name="Image 98">
          <a:extLst>
            <a:ext uri="{FF2B5EF4-FFF2-40B4-BE49-F238E27FC236}">
              <a16:creationId xmlns:a16="http://schemas.microsoft.com/office/drawing/2014/main" id="{00000000-0008-0000-0400-00006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398000"/>
          <a:ext cx="1928979"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100" name="Image 99" descr="fregate">
          <a:extLst>
            <a:ext uri="{FF2B5EF4-FFF2-40B4-BE49-F238E27FC236}">
              <a16:creationId xmlns:a16="http://schemas.microsoft.com/office/drawing/2014/main" id="{00000000-0008-0000-0400-00006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76750"/>
          <a:ext cx="1809750" cy="793750"/>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101" name="Sous-titre 2">
          <a:extLst>
            <a:ext uri="{FF2B5EF4-FFF2-40B4-BE49-F238E27FC236}">
              <a16:creationId xmlns:a16="http://schemas.microsoft.com/office/drawing/2014/main" id="{00000000-0008-0000-0400-000065000000}"/>
            </a:ext>
          </a:extLst>
        </xdr:cNvPr>
        <xdr:cNvSpPr txBox="1">
          <a:spLocks/>
        </xdr:cNvSpPr>
      </xdr:nvSpPr>
      <xdr:spPr>
        <a:xfrm>
          <a:off x="603250" y="26543000"/>
          <a:ext cx="11401425"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121" name="Image 120" descr="fregate">
          <a:extLst>
            <a:ext uri="{FF2B5EF4-FFF2-40B4-BE49-F238E27FC236}">
              <a16:creationId xmlns:a16="http://schemas.microsoft.com/office/drawing/2014/main" id="{00000000-0008-0000-04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5041890"/>
          <a:ext cx="1816765" cy="784889"/>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122" name="Image 121" descr="fregate">
          <a:extLst>
            <a:ext uri="{FF2B5EF4-FFF2-40B4-BE49-F238E27FC236}">
              <a16:creationId xmlns:a16="http://schemas.microsoft.com/office/drawing/2014/main" id="{00000000-0008-0000-0400-00007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340698"/>
          <a:ext cx="1816765" cy="784889"/>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123" name="Image 122" descr="fregate">
          <a:extLst>
            <a:ext uri="{FF2B5EF4-FFF2-40B4-BE49-F238E27FC236}">
              <a16:creationId xmlns:a16="http://schemas.microsoft.com/office/drawing/2014/main" id="{00000000-0008-0000-0400-00007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8260812"/>
          <a:ext cx="1818203" cy="779424"/>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2" name="Image 1" descr="fregat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4087143"/>
          <a:ext cx="1818203" cy="779424"/>
        </a:xfrm>
        <a:prstGeom prst="rect">
          <a:avLst/>
        </a:prstGeom>
        <a:noFill/>
        <a:ln>
          <a:noFill/>
        </a:ln>
      </xdr:spPr>
    </xdr:pic>
    <xdr:clientData/>
  </xdr:twoCellAnchor>
  <xdr:twoCellAnchor>
    <xdr:from>
      <xdr:col>0</xdr:col>
      <xdr:colOff>816429</xdr:colOff>
      <xdr:row>257</xdr:row>
      <xdr:rowOff>98960</xdr:rowOff>
    </xdr:from>
    <xdr:to>
      <xdr:col>9</xdr:col>
      <xdr:colOff>309254</xdr:colOff>
      <xdr:row>289</xdr:row>
      <xdr:rowOff>39585</xdr:rowOff>
    </xdr:to>
    <xdr:graphicFrame macro="">
      <xdr:nvGraphicFramePr>
        <xdr:cNvPr id="135" name="Graphique 134">
          <a:extLst>
            <a:ext uri="{FF2B5EF4-FFF2-40B4-BE49-F238E27FC236}">
              <a16:creationId xmlns:a16="http://schemas.microsoft.com/office/drawing/2014/main" id="{00000000-0008-0000-0400-00008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251</xdr:row>
      <xdr:rowOff>160812</xdr:rowOff>
    </xdr:from>
    <xdr:to>
      <xdr:col>1</xdr:col>
      <xdr:colOff>915184</xdr:colOff>
      <xdr:row>254</xdr:row>
      <xdr:rowOff>111436</xdr:rowOff>
    </xdr:to>
    <xdr:pic>
      <xdr:nvPicPr>
        <xdr:cNvPr id="136" name="Image 135" descr="fregate">
          <a:extLst>
            <a:ext uri="{FF2B5EF4-FFF2-40B4-BE49-F238E27FC236}">
              <a16:creationId xmlns:a16="http://schemas.microsoft.com/office/drawing/2014/main" id="{00000000-0008-0000-0400-00008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668052"/>
          <a:ext cx="1818203" cy="7794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37" name="Image 136" descr="fregate">
          <a:extLst>
            <a:ext uri="{FF2B5EF4-FFF2-40B4-BE49-F238E27FC236}">
              <a16:creationId xmlns:a16="http://schemas.microsoft.com/office/drawing/2014/main" id="{00000000-0008-0000-0400-00008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991169"/>
          <a:ext cx="1818203" cy="779424"/>
        </a:xfrm>
        <a:prstGeom prst="rect">
          <a:avLst/>
        </a:prstGeom>
        <a:noFill/>
        <a:ln>
          <a:noFill/>
        </a:ln>
      </xdr:spPr>
    </xdr:pic>
    <xdr:clientData/>
  </xdr:twoCellAnchor>
  <xdr:twoCellAnchor>
    <xdr:from>
      <xdr:col>4</xdr:col>
      <xdr:colOff>37110</xdr:colOff>
      <xdr:row>163</xdr:row>
      <xdr:rowOff>74222</xdr:rowOff>
    </xdr:from>
    <xdr:to>
      <xdr:col>9</xdr:col>
      <xdr:colOff>312965</xdr:colOff>
      <xdr:row>191</xdr:row>
      <xdr:rowOff>0</xdr:rowOff>
    </xdr:to>
    <xdr:grpSp>
      <xdr:nvGrpSpPr>
        <xdr:cNvPr id="138" name="Groupe 137">
          <a:extLst>
            <a:ext uri="{FF2B5EF4-FFF2-40B4-BE49-F238E27FC236}">
              <a16:creationId xmlns:a16="http://schemas.microsoft.com/office/drawing/2014/main" id="{00000000-0008-0000-0400-00008A000000}"/>
            </a:ext>
          </a:extLst>
        </xdr:cNvPr>
        <xdr:cNvGrpSpPr/>
      </xdr:nvGrpSpPr>
      <xdr:grpSpPr>
        <a:xfrm>
          <a:off x="7072003" y="36446115"/>
          <a:ext cx="8385712" cy="5259778"/>
          <a:chOff x="6545579" y="1943100"/>
          <a:chExt cx="6151245" cy="4078885"/>
        </a:xfrm>
      </xdr:grpSpPr>
      <xdr:grpSp>
        <xdr:nvGrpSpPr>
          <xdr:cNvPr id="139" name="Groupe 138">
            <a:extLst>
              <a:ext uri="{FF2B5EF4-FFF2-40B4-BE49-F238E27FC236}">
                <a16:creationId xmlns:a16="http://schemas.microsoft.com/office/drawing/2014/main" id="{00000000-0008-0000-0400-00008B000000}"/>
              </a:ext>
            </a:extLst>
          </xdr:cNvPr>
          <xdr:cNvGrpSpPr/>
        </xdr:nvGrpSpPr>
        <xdr:grpSpPr>
          <a:xfrm>
            <a:off x="6545579" y="1943100"/>
            <a:ext cx="6151245" cy="4078885"/>
            <a:chOff x="6497954" y="1828800"/>
            <a:chExt cx="6151245" cy="4078885"/>
          </a:xfrm>
        </xdr:grpSpPr>
        <xdr:grpSp>
          <xdr:nvGrpSpPr>
            <xdr:cNvPr id="146" name="Groupe 145">
              <a:extLst>
                <a:ext uri="{FF2B5EF4-FFF2-40B4-BE49-F238E27FC236}">
                  <a16:creationId xmlns:a16="http://schemas.microsoft.com/office/drawing/2014/main" id="{00000000-0008-0000-0400-000092000000}"/>
                </a:ext>
              </a:extLst>
            </xdr:cNvPr>
            <xdr:cNvGrpSpPr/>
          </xdr:nvGrpSpPr>
          <xdr:grpSpPr>
            <a:xfrm>
              <a:off x="6497954" y="1828800"/>
              <a:ext cx="6151245" cy="4078885"/>
              <a:chOff x="6097904" y="1828800"/>
              <a:chExt cx="6151245" cy="4078885"/>
            </a:xfrm>
          </xdr:grpSpPr>
          <xdr:grpSp>
            <xdr:nvGrpSpPr>
              <xdr:cNvPr id="150" name="Groupe 149">
                <a:extLst>
                  <a:ext uri="{FF2B5EF4-FFF2-40B4-BE49-F238E27FC236}">
                    <a16:creationId xmlns:a16="http://schemas.microsoft.com/office/drawing/2014/main" id="{00000000-0008-0000-0400-000096000000}"/>
                  </a:ext>
                </a:extLst>
              </xdr:cNvPr>
              <xdr:cNvGrpSpPr/>
            </xdr:nvGrpSpPr>
            <xdr:grpSpPr>
              <a:xfrm>
                <a:off x="6097904" y="2282190"/>
                <a:ext cx="6151245" cy="3625495"/>
                <a:chOff x="6097904" y="2282190"/>
                <a:chExt cx="6151245" cy="3625495"/>
              </a:xfrm>
            </xdr:grpSpPr>
            <xdr:pic>
              <xdr:nvPicPr>
                <xdr:cNvPr id="167" name="Image 166">
                  <a:extLst>
                    <a:ext uri="{FF2B5EF4-FFF2-40B4-BE49-F238E27FC236}">
                      <a16:creationId xmlns:a16="http://schemas.microsoft.com/office/drawing/2014/main" id="{00000000-0008-0000-0400-0000A7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168">
              <xdr:nvSpPr>
                <xdr:cNvPr id="168" name="Ellipse 167">
                  <a:extLst>
                    <a:ext uri="{FF2B5EF4-FFF2-40B4-BE49-F238E27FC236}">
                      <a16:creationId xmlns:a16="http://schemas.microsoft.com/office/drawing/2014/main" id="{00000000-0008-0000-0400-0000A8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E8CA509-3860-4059-BA5F-A22C35BBA7B8}" type="TxLink">
                    <a:rPr lang="en-US" sz="1100" b="0" i="0" u="none" strike="noStrike">
                      <a:solidFill>
                        <a:srgbClr val="000000"/>
                      </a:solidFill>
                      <a:latin typeface="Calibri"/>
                      <a:cs typeface="Calibri"/>
                    </a:rPr>
                    <a:pPr algn="ctr"/>
                    <a:t>0</a:t>
                  </a:fld>
                  <a:endParaRPr lang="fr-FR" sz="1100"/>
                </a:p>
              </xdr:txBody>
            </xdr:sp>
            <xdr:sp macro="" textlink="$B$168">
              <xdr:nvSpPr>
                <xdr:cNvPr id="169" name="Ellipse 168">
                  <a:extLst>
                    <a:ext uri="{FF2B5EF4-FFF2-40B4-BE49-F238E27FC236}">
                      <a16:creationId xmlns:a16="http://schemas.microsoft.com/office/drawing/2014/main" id="{00000000-0008-0000-0400-0000A9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ED7CAC-63C3-4052-85DD-DFB7BC858CD1}" type="TxLink">
                    <a:rPr lang="en-US" sz="1100" b="0" i="0" u="none" strike="noStrike">
                      <a:solidFill>
                        <a:srgbClr val="000000"/>
                      </a:solidFill>
                      <a:latin typeface="Calibri"/>
                      <a:cs typeface="Calibri"/>
                    </a:rPr>
                    <a:pPr algn="ctr"/>
                    <a:t>0</a:t>
                  </a:fld>
                  <a:endParaRPr lang="fr-FR" sz="1100"/>
                </a:p>
              </xdr:txBody>
            </xdr:sp>
          </xdr:grpSp>
          <xdr:sp macro="" textlink="$B$173">
            <xdr:nvSpPr>
              <xdr:cNvPr id="151" name="Ellipse 150">
                <a:extLst>
                  <a:ext uri="{FF2B5EF4-FFF2-40B4-BE49-F238E27FC236}">
                    <a16:creationId xmlns:a16="http://schemas.microsoft.com/office/drawing/2014/main" id="{00000000-0008-0000-0400-000097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D87973C-5DAC-40A1-9B3E-092506FB37E9}"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4">
            <xdr:nvSpPr>
              <xdr:cNvPr id="152" name="Ellipse 151">
                <a:extLst>
                  <a:ext uri="{FF2B5EF4-FFF2-40B4-BE49-F238E27FC236}">
                    <a16:creationId xmlns:a16="http://schemas.microsoft.com/office/drawing/2014/main" id="{00000000-0008-0000-0400-000098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F110B4C-2B1D-445D-A880-71667F43DD10}"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5">
            <xdr:nvSpPr>
              <xdr:cNvPr id="153" name="Ellipse 152">
                <a:extLst>
                  <a:ext uri="{FF2B5EF4-FFF2-40B4-BE49-F238E27FC236}">
                    <a16:creationId xmlns:a16="http://schemas.microsoft.com/office/drawing/2014/main" id="{00000000-0008-0000-0400-000099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0393260-8AB4-428C-8237-D8335D94D165}"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69">
            <xdr:nvSpPr>
              <xdr:cNvPr id="154" name="Ellipse 153">
                <a:extLst>
                  <a:ext uri="{FF2B5EF4-FFF2-40B4-BE49-F238E27FC236}">
                    <a16:creationId xmlns:a16="http://schemas.microsoft.com/office/drawing/2014/main" id="{00000000-0008-0000-0400-00009A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A1A8430-85FC-4EC5-9BE8-A38E53FE46DD}"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6">
            <xdr:nvSpPr>
              <xdr:cNvPr id="155" name="Ellipse 154">
                <a:extLst>
                  <a:ext uri="{FF2B5EF4-FFF2-40B4-BE49-F238E27FC236}">
                    <a16:creationId xmlns:a16="http://schemas.microsoft.com/office/drawing/2014/main" id="{00000000-0008-0000-0400-00009B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F0DEBB8-66C7-459E-AF22-F508D8E7EDE3}"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2">
            <xdr:nvSpPr>
              <xdr:cNvPr id="156" name="Ellipse 155">
                <a:extLst>
                  <a:ext uri="{FF2B5EF4-FFF2-40B4-BE49-F238E27FC236}">
                    <a16:creationId xmlns:a16="http://schemas.microsoft.com/office/drawing/2014/main" id="{00000000-0008-0000-0400-00009C000000}"/>
                  </a:ext>
                </a:extLst>
              </xdr:cNvPr>
              <xdr:cNvSpPr/>
            </xdr:nvSpPr>
            <xdr:spPr>
              <a:xfrm>
                <a:off x="8916711" y="4332298"/>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16B188B-1A2D-4901-ABB2-B151F4EAF188}"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0">
            <xdr:nvSpPr>
              <xdr:cNvPr id="157" name="Ellipse 156">
                <a:extLst>
                  <a:ext uri="{FF2B5EF4-FFF2-40B4-BE49-F238E27FC236}">
                    <a16:creationId xmlns:a16="http://schemas.microsoft.com/office/drawing/2014/main" id="{00000000-0008-0000-0400-00009D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AF2B3D3-A4DF-4415-A284-965798435B12}"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1">
            <xdr:nvSpPr>
              <xdr:cNvPr id="158" name="Ellipse 157">
                <a:extLst>
                  <a:ext uri="{FF2B5EF4-FFF2-40B4-BE49-F238E27FC236}">
                    <a16:creationId xmlns:a16="http://schemas.microsoft.com/office/drawing/2014/main" id="{00000000-0008-0000-0400-00009E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D8548DD-921F-462B-9C1A-3CD357BB73C6}"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3">
            <xdr:nvSpPr>
              <xdr:cNvPr id="159" name="Ellipse 158">
                <a:extLst>
                  <a:ext uri="{FF2B5EF4-FFF2-40B4-BE49-F238E27FC236}">
                    <a16:creationId xmlns:a16="http://schemas.microsoft.com/office/drawing/2014/main" id="{00000000-0008-0000-0400-00009F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58061C07-06DC-4CF3-B96C-B80E20E2AFAD}"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4">
            <xdr:nvSpPr>
              <xdr:cNvPr id="160" name="Ellipse 159">
                <a:extLst>
                  <a:ext uri="{FF2B5EF4-FFF2-40B4-BE49-F238E27FC236}">
                    <a16:creationId xmlns:a16="http://schemas.microsoft.com/office/drawing/2014/main" id="{00000000-0008-0000-0400-0000A0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F5D446-6DB3-4B4E-8792-A8415AB1B3B6}"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5">
            <xdr:nvSpPr>
              <xdr:cNvPr id="161" name="Ellipse 160">
                <a:extLst>
                  <a:ext uri="{FF2B5EF4-FFF2-40B4-BE49-F238E27FC236}">
                    <a16:creationId xmlns:a16="http://schemas.microsoft.com/office/drawing/2014/main" id="{00000000-0008-0000-0400-0000A1000000}"/>
                  </a:ext>
                </a:extLst>
              </xdr:cNvPr>
              <xdr:cNvSpPr/>
            </xdr:nvSpPr>
            <xdr:spPr>
              <a:xfrm>
                <a:off x="11174731" y="3983356"/>
                <a:ext cx="283844" cy="226694"/>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FF2710B-17AC-4639-96F0-F5E3475DD966}"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6">
            <xdr:nvSpPr>
              <xdr:cNvPr id="162" name="Ellipse 161">
                <a:extLst>
                  <a:ext uri="{FF2B5EF4-FFF2-40B4-BE49-F238E27FC236}">
                    <a16:creationId xmlns:a16="http://schemas.microsoft.com/office/drawing/2014/main" id="{00000000-0008-0000-0400-0000A2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C50B1F4-A8F6-4666-8209-C371B246ED9B}"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2">
            <xdr:nvSpPr>
              <xdr:cNvPr id="163" name="Ellipse 162">
                <a:extLst>
                  <a:ext uri="{FF2B5EF4-FFF2-40B4-BE49-F238E27FC236}">
                    <a16:creationId xmlns:a16="http://schemas.microsoft.com/office/drawing/2014/main" id="{00000000-0008-0000-0400-0000A3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2CEC41E-FA13-44EC-A465-15024F7F5749}"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0">
            <xdr:nvSpPr>
              <xdr:cNvPr id="164" name="Ellipse 163">
                <a:extLst>
                  <a:ext uri="{FF2B5EF4-FFF2-40B4-BE49-F238E27FC236}">
                    <a16:creationId xmlns:a16="http://schemas.microsoft.com/office/drawing/2014/main" id="{00000000-0008-0000-0400-0000A4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5D201F-E93C-4BAC-A562-022AAEA96BD5}"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1">
            <xdr:nvSpPr>
              <xdr:cNvPr id="165" name="Ellipse 164">
                <a:extLst>
                  <a:ext uri="{FF2B5EF4-FFF2-40B4-BE49-F238E27FC236}">
                    <a16:creationId xmlns:a16="http://schemas.microsoft.com/office/drawing/2014/main" id="{00000000-0008-0000-0400-0000A5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2264BC-0223-41FA-81D0-10B1B1C64463}"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69">
            <xdr:nvSpPr>
              <xdr:cNvPr id="166" name="Ellipse 165">
                <a:extLst>
                  <a:ext uri="{FF2B5EF4-FFF2-40B4-BE49-F238E27FC236}">
                    <a16:creationId xmlns:a16="http://schemas.microsoft.com/office/drawing/2014/main" id="{00000000-0008-0000-0400-0000A6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64C22A0-7AA7-43AD-AD0F-758221B3B0BF}" type="TxLink">
                  <a:rPr lang="en-US" sz="1100" b="0" i="0" u="none" strike="noStrike">
                    <a:solidFill>
                      <a:srgbClr val="000000"/>
                    </a:solidFill>
                    <a:latin typeface="Calibri"/>
                    <a:cs typeface="Calibri"/>
                  </a:rPr>
                  <a:pPr algn="ctr"/>
                  <a:t>0</a:t>
                </a:fld>
                <a:endParaRPr lang="fr-FR" sz="1100"/>
              </a:p>
            </xdr:txBody>
          </xdr:sp>
        </xdr:grpSp>
        <xdr:sp macro="" textlink="">
          <xdr:nvSpPr>
            <xdr:cNvPr id="147" name="ZoneTexte 146">
              <a:extLst>
                <a:ext uri="{FF2B5EF4-FFF2-40B4-BE49-F238E27FC236}">
                  <a16:creationId xmlns:a16="http://schemas.microsoft.com/office/drawing/2014/main" id="{00000000-0008-0000-0400-000093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148" name="ZoneTexte 147">
              <a:extLst>
                <a:ext uri="{FF2B5EF4-FFF2-40B4-BE49-F238E27FC236}">
                  <a16:creationId xmlns:a16="http://schemas.microsoft.com/office/drawing/2014/main" id="{00000000-0008-0000-0400-000094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149" name="ZoneTexte 148">
              <a:extLst>
                <a:ext uri="{FF2B5EF4-FFF2-40B4-BE49-F238E27FC236}">
                  <a16:creationId xmlns:a16="http://schemas.microsoft.com/office/drawing/2014/main" id="{00000000-0008-0000-0400-000095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179">
        <xdr:nvSpPr>
          <xdr:cNvPr id="140" name="Ellipse 139">
            <a:extLst>
              <a:ext uri="{FF2B5EF4-FFF2-40B4-BE49-F238E27FC236}">
                <a16:creationId xmlns:a16="http://schemas.microsoft.com/office/drawing/2014/main" id="{00000000-0008-0000-0400-00008C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9273311-FD3F-49D6-AEE9-A4FDAAF45A50}"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8">
        <xdr:nvSpPr>
          <xdr:cNvPr id="141" name="Ellipse 140">
            <a:extLst>
              <a:ext uri="{FF2B5EF4-FFF2-40B4-BE49-F238E27FC236}">
                <a16:creationId xmlns:a16="http://schemas.microsoft.com/office/drawing/2014/main" id="{00000000-0008-0000-0400-00008D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5E2BFE2-700A-4E2C-8E40-699939E5C931}"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C$177">
        <xdr:nvSpPr>
          <xdr:cNvPr id="142" name="Ellipse 141">
            <a:extLst>
              <a:ext uri="{FF2B5EF4-FFF2-40B4-BE49-F238E27FC236}">
                <a16:creationId xmlns:a16="http://schemas.microsoft.com/office/drawing/2014/main" id="{00000000-0008-0000-0400-00008E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1AE87E-8E02-4726-86D2-6172ECEE39D8}"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9">
        <xdr:nvSpPr>
          <xdr:cNvPr id="143" name="Ellipse 142">
            <a:extLst>
              <a:ext uri="{FF2B5EF4-FFF2-40B4-BE49-F238E27FC236}">
                <a16:creationId xmlns:a16="http://schemas.microsoft.com/office/drawing/2014/main" id="{00000000-0008-0000-0400-00008F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74F774-D6F4-4250-AABD-02DDEEF5D90A}"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8">
        <xdr:nvSpPr>
          <xdr:cNvPr id="144" name="Ellipse 143">
            <a:extLst>
              <a:ext uri="{FF2B5EF4-FFF2-40B4-BE49-F238E27FC236}">
                <a16:creationId xmlns:a16="http://schemas.microsoft.com/office/drawing/2014/main" id="{00000000-0008-0000-0400-000090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D1B42C3-A2FB-41B4-9FBF-00577682C0A7}"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sp macro="" textlink="$B$177">
        <xdr:nvSpPr>
          <xdr:cNvPr id="145" name="Ellipse 144">
            <a:extLst>
              <a:ext uri="{FF2B5EF4-FFF2-40B4-BE49-F238E27FC236}">
                <a16:creationId xmlns:a16="http://schemas.microsoft.com/office/drawing/2014/main" id="{00000000-0008-0000-0400-000091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BE071B0-F856-4F94-B08D-2183316A0517}" type="TxLink">
              <a:rPr lang="en-US" sz="1100" b="0" i="0" u="none" strike="noStrike">
                <a:solidFill>
                  <a:srgbClr val="000000"/>
                </a:solidFill>
                <a:latin typeface="Calibri"/>
                <a:ea typeface="+mn-ea"/>
                <a:cs typeface="Calibri"/>
              </a:rPr>
              <a:pPr marL="0" indent="0" algn="ctr"/>
              <a:t>0</a:t>
            </a:fld>
            <a:endParaRPr lang="fr-FR" sz="1100" b="0" i="0" u="none" strike="noStrike">
              <a:solidFill>
                <a:srgbClr val="000000"/>
              </a:solidFill>
              <a:latin typeface="Calibri"/>
              <a:ea typeface="+mn-ea"/>
              <a:cs typeface="Calibri"/>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D4647084-07C9-4D26-8D6D-D389C1A134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315E69-8D0B-4AE0-AE58-5C6D560EABC1}" name="Valeurs_Brutes" displayName="Valeurs_Brutes" ref="A1:M2" totalsRowShown="0">
  <autoFilter ref="A1:M2" xr:uid="{33315E69-8D0B-4AE0-AE58-5C6D560EABC1}"/>
  <tableColumns count="13">
    <tableColumn id="1" xr3:uid="{9C602B99-10D0-494F-861F-5F4E2E2DB6AA}" name="Date/Heure"/>
    <tableColumn id="2" xr3:uid="{3BF57CB0-1C5D-4AE3-985A-F5D7D64B411A}" name="Connecteur 1"/>
    <tableColumn id="3" xr3:uid="{FB70DEF5-1262-42C5-A9F7-78FF6037131A}" name="Connecteur 2"/>
    <tableColumn id="4" xr3:uid="{C2478662-C188-43B8-8F3C-15BD4E7CEC25}" name="Connecteur 3"/>
    <tableColumn id="5" xr3:uid="{3A678CC4-7E1C-4695-BD7A-84198274B130}" name="Connecteur 4"/>
    <tableColumn id="6" xr3:uid="{E9C9272C-76DD-4C3E-924D-CFD12D40B3EE}" name="Connecteur 5"/>
    <tableColumn id="7" xr3:uid="{56B810A6-9EFE-4A5A-8585-43374E2C0C09}" name="Connecteur 6"/>
    <tableColumn id="8" xr3:uid="{12A45B99-B68F-4836-B522-86208FB65B4C}" name="Connecteur 7"/>
    <tableColumn id="9" xr3:uid="{64F8012F-5F95-4865-BFBB-BA7FDBCC46A6}" name="Connecteur 8"/>
    <tableColumn id="10" xr3:uid="{C15133D9-3A71-48E0-BAF1-24C06C984193}" name="Connecteur 9"/>
    <tableColumn id="11" xr3:uid="{CC4B189E-78CC-48A7-BEB6-2903BBE903EA}" name="Connecteur 10"/>
    <tableColumn id="12" xr3:uid="{AB94625D-3E29-47F0-A1E9-07A21D51E8C7}" name="Connecteur 11"/>
    <tableColumn id="13" xr3:uid="{50F81F8F-A022-4F4B-951C-24B9C6FFC503}" name="Connecteur 12"/>
  </tableColumns>
  <tableStyleInfo name="TableStyleLight2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E7209-65DF-4768-8AD9-C2E7ED73A485}">
  <sheetPr codeName="Feuil1"/>
  <dimension ref="A2:O53"/>
  <sheetViews>
    <sheetView topLeftCell="A19" zoomScale="85" zoomScaleNormal="85" workbookViewId="0">
      <selection activeCell="C26" sqref="C26"/>
    </sheetView>
  </sheetViews>
  <sheetFormatPr baseColWidth="10" defaultRowHeight="15" x14ac:dyDescent="0.25"/>
  <cols>
    <col min="1" max="1" width="13.5703125" style="17" bestFit="1" customWidth="1"/>
    <col min="2" max="2" width="14.7109375" style="17" bestFit="1" customWidth="1"/>
    <col min="3" max="3" width="21.42578125" style="17" bestFit="1" customWidth="1"/>
    <col min="4" max="4" width="20.42578125" style="17" bestFit="1" customWidth="1"/>
    <col min="5" max="5" width="25.85546875" style="17" bestFit="1" customWidth="1"/>
    <col min="6" max="6" width="13.5703125" style="17" bestFit="1" customWidth="1"/>
    <col min="7" max="7" width="12.85546875" style="17" customWidth="1"/>
    <col min="8" max="8" width="21.85546875" style="17" customWidth="1"/>
    <col min="9" max="9" width="14.28515625" style="17" customWidth="1"/>
    <col min="10" max="10" width="11.42578125" style="17"/>
    <col min="11" max="11" width="18.140625" style="17" customWidth="1"/>
    <col min="12" max="12" width="25.140625" style="17" customWidth="1"/>
    <col min="13" max="13" width="25" style="17" customWidth="1"/>
    <col min="14" max="14" width="17.28515625" style="17" bestFit="1" customWidth="1"/>
    <col min="15" max="15" width="25.85546875" style="17" bestFit="1" customWidth="1"/>
    <col min="16" max="16384" width="11.42578125" style="17"/>
  </cols>
  <sheetData>
    <row r="2" spans="1:15" ht="57" customHeight="1" x14ac:dyDescent="0.25">
      <c r="B2" s="101" t="s">
        <v>168</v>
      </c>
      <c r="C2" s="102"/>
      <c r="D2" s="102"/>
      <c r="E2" s="102"/>
      <c r="F2" s="102"/>
      <c r="G2" s="102"/>
      <c r="H2" s="102"/>
      <c r="I2" s="102"/>
      <c r="J2" s="102"/>
      <c r="K2" s="102"/>
    </row>
    <row r="3" spans="1:15" ht="57" customHeight="1" x14ac:dyDescent="0.25">
      <c r="B3" s="102"/>
      <c r="C3" s="102"/>
      <c r="D3" s="102"/>
      <c r="E3" s="102"/>
      <c r="F3" s="102"/>
      <c r="G3" s="102"/>
      <c r="H3" s="102"/>
      <c r="I3" s="102"/>
      <c r="J3" s="102"/>
      <c r="K3" s="102"/>
    </row>
    <row r="4" spans="1:15" ht="21.75" customHeight="1" x14ac:dyDescent="0.25">
      <c r="B4" s="60"/>
      <c r="C4" s="60"/>
      <c r="D4" s="60"/>
      <c r="E4" s="60"/>
      <c r="F4" s="60"/>
      <c r="G4" s="60"/>
      <c r="H4" s="60"/>
      <c r="I4" s="60"/>
      <c r="J4" s="60"/>
      <c r="K4" s="60"/>
    </row>
    <row r="5" spans="1:15" ht="23.25" customHeight="1" x14ac:dyDescent="0.25">
      <c r="A5" s="98" t="s">
        <v>169</v>
      </c>
      <c r="B5" s="98"/>
      <c r="C5" s="98"/>
      <c r="D5" s="103"/>
      <c r="E5" s="104"/>
    </row>
    <row r="7" spans="1:15" x14ac:dyDescent="0.25">
      <c r="A7" s="98" t="s">
        <v>70</v>
      </c>
      <c r="B7" s="98"/>
      <c r="C7" s="81"/>
      <c r="E7" s="98" t="s">
        <v>75</v>
      </c>
      <c r="F7" s="98"/>
      <c r="G7" s="81"/>
      <c r="O7" s="91" t="s">
        <v>184</v>
      </c>
    </row>
    <row r="8" spans="1:15" x14ac:dyDescent="0.25">
      <c r="A8" s="98" t="s">
        <v>71</v>
      </c>
      <c r="B8" s="98"/>
      <c r="C8" s="82"/>
      <c r="E8" s="98" t="s">
        <v>76</v>
      </c>
      <c r="F8" s="98"/>
      <c r="G8" s="82"/>
      <c r="O8" s="91" t="s">
        <v>182</v>
      </c>
    </row>
    <row r="9" spans="1:15" x14ac:dyDescent="0.25">
      <c r="O9" s="91" t="s">
        <v>183</v>
      </c>
    </row>
    <row r="10" spans="1:15" x14ac:dyDescent="0.25">
      <c r="A10" s="95" t="s">
        <v>62</v>
      </c>
      <c r="B10" s="96"/>
      <c r="C10" s="66"/>
      <c r="E10" s="95" t="s">
        <v>63</v>
      </c>
      <c r="F10" s="96"/>
      <c r="G10" s="90"/>
    </row>
    <row r="11" spans="1:15" x14ac:dyDescent="0.25">
      <c r="A11" s="95" t="s">
        <v>64</v>
      </c>
      <c r="B11" s="96"/>
      <c r="C11" s="90"/>
      <c r="E11" s="98" t="s">
        <v>161</v>
      </c>
      <c r="F11" s="98"/>
      <c r="G11" s="80">
        <v>9</v>
      </c>
    </row>
    <row r="12" spans="1:15" x14ac:dyDescent="0.25">
      <c r="E12" s="98" t="s">
        <v>162</v>
      </c>
      <c r="F12" s="98"/>
      <c r="G12" s="79"/>
    </row>
    <row r="14" spans="1:15" x14ac:dyDescent="0.25">
      <c r="A14" s="95" t="s">
        <v>65</v>
      </c>
      <c r="B14" s="96"/>
      <c r="C14" s="81"/>
    </row>
    <row r="15" spans="1:15" x14ac:dyDescent="0.25">
      <c r="A15" s="95" t="s">
        <v>160</v>
      </c>
      <c r="B15" s="96"/>
      <c r="C15" s="79" t="s">
        <v>184</v>
      </c>
    </row>
    <row r="19" spans="1:5" x14ac:dyDescent="0.25">
      <c r="A19" s="7" t="s">
        <v>6</v>
      </c>
      <c r="B19" s="94"/>
    </row>
    <row r="20" spans="1:5" x14ac:dyDescent="0.25">
      <c r="A20" s="7" t="s">
        <v>9</v>
      </c>
      <c r="B20" s="94"/>
    </row>
    <row r="21" spans="1:5" ht="15.75" thickBot="1" x14ac:dyDescent="0.3"/>
    <row r="22" spans="1:5" ht="15.75" thickBot="1" x14ac:dyDescent="0.3">
      <c r="A22" s="61" t="s">
        <v>2</v>
      </c>
      <c r="B22" s="62" t="s">
        <v>1</v>
      </c>
      <c r="C22" s="62" t="s">
        <v>3</v>
      </c>
      <c r="D22" s="62" t="s">
        <v>4</v>
      </c>
      <c r="E22" s="63" t="s">
        <v>5</v>
      </c>
    </row>
    <row r="23" spans="1:5" x14ac:dyDescent="0.25">
      <c r="A23" s="64">
        <v>1</v>
      </c>
      <c r="B23" s="92"/>
      <c r="C23" s="93"/>
      <c r="D23" s="83"/>
      <c r="E23" s="84"/>
    </row>
    <row r="24" spans="1:5" x14ac:dyDescent="0.25">
      <c r="A24" s="65">
        <v>2</v>
      </c>
      <c r="B24" s="92"/>
      <c r="C24" s="93"/>
      <c r="D24" s="85"/>
      <c r="E24" s="86"/>
    </row>
    <row r="25" spans="1:5" x14ac:dyDescent="0.25">
      <c r="A25" s="64">
        <v>3</v>
      </c>
      <c r="B25" s="92"/>
      <c r="C25" s="93"/>
      <c r="D25" s="85"/>
      <c r="E25" s="86"/>
    </row>
    <row r="26" spans="1:5" x14ac:dyDescent="0.25">
      <c r="A26" s="65">
        <v>4</v>
      </c>
      <c r="B26" s="92"/>
      <c r="C26" s="93"/>
      <c r="D26" s="85"/>
      <c r="E26" s="86"/>
    </row>
    <row r="27" spans="1:5" x14ac:dyDescent="0.25">
      <c r="A27" s="64">
        <v>5</v>
      </c>
      <c r="B27" s="92"/>
      <c r="C27" s="93"/>
      <c r="D27" s="85"/>
      <c r="E27" s="86"/>
    </row>
    <row r="28" spans="1:5" x14ac:dyDescent="0.25">
      <c r="A28" s="65">
        <v>6</v>
      </c>
      <c r="B28" s="92"/>
      <c r="C28" s="93"/>
      <c r="D28" s="85"/>
      <c r="E28" s="86"/>
    </row>
    <row r="29" spans="1:5" x14ac:dyDescent="0.25">
      <c r="A29" s="64">
        <v>7</v>
      </c>
      <c r="B29" s="92"/>
      <c r="C29" s="93"/>
      <c r="D29" s="85"/>
      <c r="E29" s="86"/>
    </row>
    <row r="30" spans="1:5" x14ac:dyDescent="0.25">
      <c r="A30" s="65">
        <v>8</v>
      </c>
      <c r="B30" s="92"/>
      <c r="C30" s="93"/>
      <c r="D30" s="85"/>
      <c r="E30" s="86"/>
    </row>
    <row r="31" spans="1:5" x14ac:dyDescent="0.25">
      <c r="A31" s="64">
        <v>9</v>
      </c>
      <c r="B31" s="92"/>
      <c r="C31" s="93"/>
      <c r="D31" s="85"/>
      <c r="E31" s="86"/>
    </row>
    <row r="32" spans="1:5" x14ac:dyDescent="0.25">
      <c r="A32" s="65">
        <v>10</v>
      </c>
      <c r="B32" s="92"/>
      <c r="C32" s="93"/>
      <c r="D32" s="85"/>
      <c r="E32" s="86"/>
    </row>
    <row r="33" spans="1:15" x14ac:dyDescent="0.25">
      <c r="A33" s="64">
        <v>11</v>
      </c>
      <c r="B33" s="92"/>
      <c r="C33" s="93"/>
      <c r="D33" s="85"/>
      <c r="E33" s="86"/>
    </row>
    <row r="34" spans="1:15" x14ac:dyDescent="0.25">
      <c r="A34" s="65">
        <v>12</v>
      </c>
      <c r="B34" s="92"/>
      <c r="C34" s="93"/>
      <c r="D34" s="85"/>
      <c r="E34" s="86"/>
    </row>
    <row r="38" spans="1:15" ht="26.25" x14ac:dyDescent="0.25">
      <c r="B38" s="97" t="s">
        <v>163</v>
      </c>
      <c r="C38" s="97"/>
      <c r="L38" s="97" t="s">
        <v>164</v>
      </c>
      <c r="M38" s="97"/>
    </row>
    <row r="40" spans="1:15" x14ac:dyDescent="0.25">
      <c r="A40" s="98" t="s">
        <v>157</v>
      </c>
      <c r="B40" s="98"/>
      <c r="C40" s="99"/>
      <c r="D40" s="99"/>
      <c r="E40" s="99"/>
      <c r="F40" s="100"/>
      <c r="K40" s="98" t="s">
        <v>165</v>
      </c>
      <c r="L40" s="98"/>
      <c r="M40" s="98"/>
      <c r="N40" s="98"/>
      <c r="O40" s="98"/>
    </row>
    <row r="41" spans="1:15" ht="30" x14ac:dyDescent="0.25">
      <c r="A41" s="98"/>
      <c r="B41" s="98"/>
      <c r="C41" s="7" t="s">
        <v>66</v>
      </c>
      <c r="D41" s="59" t="s">
        <v>180</v>
      </c>
      <c r="E41" s="59" t="s">
        <v>158</v>
      </c>
      <c r="F41" s="59" t="s">
        <v>181</v>
      </c>
      <c r="K41" s="105"/>
      <c r="L41" s="105"/>
      <c r="M41" s="7" t="s">
        <v>166</v>
      </c>
      <c r="N41" s="7" t="s">
        <v>159</v>
      </c>
      <c r="O41" s="7" t="s">
        <v>167</v>
      </c>
    </row>
    <row r="42" spans="1:15" x14ac:dyDescent="0.25">
      <c r="A42" s="95" t="str">
        <f>CONCATENATE("Sonde ", B23)</f>
        <v xml:space="preserve">Sonde </v>
      </c>
      <c r="B42" s="96"/>
      <c r="C42" s="79"/>
      <c r="D42" s="79"/>
      <c r="E42" s="79"/>
      <c r="F42" s="79"/>
      <c r="K42" s="106" t="s">
        <v>60</v>
      </c>
      <c r="L42" s="107"/>
      <c r="M42" s="79"/>
      <c r="N42" s="79"/>
      <c r="O42" s="79"/>
    </row>
    <row r="43" spans="1:15" x14ac:dyDescent="0.25">
      <c r="A43" s="95" t="str">
        <f t="shared" ref="A42:A53" si="0">"Sonde " &amp; B24</f>
        <v xml:space="preserve">Sonde </v>
      </c>
      <c r="B43" s="96"/>
      <c r="C43" s="79"/>
      <c r="D43" s="79"/>
      <c r="E43" s="79"/>
      <c r="F43" s="79"/>
    </row>
    <row r="44" spans="1:15" x14ac:dyDescent="0.25">
      <c r="A44" s="95" t="str">
        <f>"Sonde " &amp; B25</f>
        <v xml:space="preserve">Sonde </v>
      </c>
      <c r="B44" s="96"/>
      <c r="C44" s="79"/>
      <c r="D44" s="79"/>
      <c r="E44" s="79"/>
      <c r="F44" s="79"/>
    </row>
    <row r="45" spans="1:15" x14ac:dyDescent="0.25">
      <c r="A45" s="95" t="str">
        <f t="shared" si="0"/>
        <v xml:space="preserve">Sonde </v>
      </c>
      <c r="B45" s="96"/>
      <c r="C45" s="79"/>
      <c r="D45" s="79"/>
      <c r="E45" s="79"/>
      <c r="F45" s="79"/>
    </row>
    <row r="46" spans="1:15" ht="26.25" x14ac:dyDescent="0.25">
      <c r="A46" s="95" t="str">
        <f t="shared" si="0"/>
        <v xml:space="preserve">Sonde </v>
      </c>
      <c r="B46" s="96"/>
      <c r="C46" s="79"/>
      <c r="D46" s="79"/>
      <c r="E46" s="79"/>
      <c r="F46" s="79"/>
      <c r="L46" s="97" t="s">
        <v>223</v>
      </c>
      <c r="M46" s="97"/>
    </row>
    <row r="47" spans="1:15" ht="30" x14ac:dyDescent="0.25">
      <c r="A47" s="95" t="str">
        <f t="shared" si="0"/>
        <v xml:space="preserve">Sonde </v>
      </c>
      <c r="B47" s="96"/>
      <c r="C47" s="79"/>
      <c r="D47" s="79"/>
      <c r="E47" s="79"/>
      <c r="F47" s="79"/>
      <c r="M47" s="184" t="s">
        <v>224</v>
      </c>
    </row>
    <row r="48" spans="1:15" x14ac:dyDescent="0.25">
      <c r="A48" s="95" t="str">
        <f t="shared" si="0"/>
        <v xml:space="preserve">Sonde </v>
      </c>
      <c r="B48" s="96"/>
      <c r="C48" s="79"/>
      <c r="D48" s="79"/>
      <c r="E48" s="79"/>
      <c r="F48" s="79"/>
      <c r="K48" s="182" t="s">
        <v>206</v>
      </c>
      <c r="L48" s="182"/>
      <c r="M48" s="79"/>
    </row>
    <row r="49" spans="1:13" x14ac:dyDescent="0.25">
      <c r="A49" s="95" t="str">
        <f t="shared" si="0"/>
        <v xml:space="preserve">Sonde </v>
      </c>
      <c r="B49" s="96"/>
      <c r="C49" s="79"/>
      <c r="D49" s="79"/>
      <c r="E49" s="79"/>
      <c r="F49" s="79"/>
      <c r="K49" s="182" t="s">
        <v>218</v>
      </c>
      <c r="L49" s="182"/>
      <c r="M49" s="79"/>
    </row>
    <row r="50" spans="1:13" x14ac:dyDescent="0.25">
      <c r="A50" s="95" t="str">
        <f t="shared" si="0"/>
        <v xml:space="preserve">Sonde </v>
      </c>
      <c r="B50" s="96"/>
      <c r="C50" s="79"/>
      <c r="D50" s="79"/>
      <c r="E50" s="79"/>
      <c r="F50" s="79"/>
      <c r="K50" s="182" t="s">
        <v>164</v>
      </c>
      <c r="L50" s="182"/>
      <c r="M50" s="79"/>
    </row>
    <row r="51" spans="1:13" x14ac:dyDescent="0.25">
      <c r="A51" s="95" t="str">
        <f t="shared" si="0"/>
        <v xml:space="preserve">Sonde </v>
      </c>
      <c r="B51" s="96"/>
      <c r="C51" s="79"/>
      <c r="D51" s="79"/>
      <c r="E51" s="79"/>
      <c r="F51" s="79"/>
    </row>
    <row r="52" spans="1:13" x14ac:dyDescent="0.25">
      <c r="A52" s="95" t="str">
        <f t="shared" si="0"/>
        <v xml:space="preserve">Sonde </v>
      </c>
      <c r="B52" s="96"/>
      <c r="C52" s="79"/>
      <c r="D52" s="79"/>
      <c r="E52" s="79"/>
      <c r="F52" s="79"/>
    </row>
    <row r="53" spans="1:13" x14ac:dyDescent="0.25">
      <c r="A53" s="95" t="str">
        <f t="shared" si="0"/>
        <v xml:space="preserve">Sonde </v>
      </c>
      <c r="B53" s="96"/>
      <c r="C53" s="79"/>
      <c r="D53" s="79"/>
      <c r="E53" s="79"/>
      <c r="F53" s="79"/>
    </row>
  </sheetData>
  <sheetProtection algorithmName="SHA-512" hashValue="pfSt8ivnRZJyQLlR+mjWCJg6+gRR2PxsCmF0XLXYXoQ9YlpO2hJTOPfT/SJnoBdx4tOofJ6x8n8anUPM1C8rSQ==" saltValue="aaHqXKm0FmdT1ejbY66D8g==" spinCount="100000" sheet="1" autoFilter="0"/>
  <protectedRanges>
    <protectedRange sqref="C10" name="Donnees controleur"/>
  </protectedRanges>
  <dataConsolidate/>
  <mergeCells count="37">
    <mergeCell ref="K50:L50"/>
    <mergeCell ref="L38:M38"/>
    <mergeCell ref="K40:O40"/>
    <mergeCell ref="K41:L41"/>
    <mergeCell ref="A51:B51"/>
    <mergeCell ref="K42:L42"/>
    <mergeCell ref="A41:B41"/>
    <mergeCell ref="A42:B42"/>
    <mergeCell ref="A43:B43"/>
    <mergeCell ref="A44:B44"/>
    <mergeCell ref="A45:B45"/>
    <mergeCell ref="A46:B46"/>
    <mergeCell ref="A47:B47"/>
    <mergeCell ref="A48:B48"/>
    <mergeCell ref="L46:M46"/>
    <mergeCell ref="K48:L48"/>
    <mergeCell ref="K49:L49"/>
    <mergeCell ref="B2:K3"/>
    <mergeCell ref="A5:C5"/>
    <mergeCell ref="D5:E5"/>
    <mergeCell ref="A7:B7"/>
    <mergeCell ref="A8:B8"/>
    <mergeCell ref="E7:F7"/>
    <mergeCell ref="E8:F8"/>
    <mergeCell ref="A10:B10"/>
    <mergeCell ref="A15:B15"/>
    <mergeCell ref="A14:B14"/>
    <mergeCell ref="E10:F10"/>
    <mergeCell ref="A11:B11"/>
    <mergeCell ref="A53:B53"/>
    <mergeCell ref="A52:B52"/>
    <mergeCell ref="B38:C38"/>
    <mergeCell ref="E11:F11"/>
    <mergeCell ref="E12:F12"/>
    <mergeCell ref="A49:B49"/>
    <mergeCell ref="A40:F40"/>
    <mergeCell ref="A50:B50"/>
  </mergeCells>
  <phoneticPr fontId="1" type="noConversion"/>
  <dataValidations count="3">
    <dataValidation type="list" allowBlank="1" showInputMessage="1" showErrorMessage="1" sqref="C10" xr:uid="{885B3628-60A9-4AED-98C9-B6681BD9B636}">
      <formula1>"BCH , LV"</formula1>
    </dataValidation>
    <dataValidation type="list" showInputMessage="1" showErrorMessage="1" sqref="D16:D17" xr:uid="{22E7096F-B844-4435-B177-9CE13CA1B223}">
      <formula1>$C$15:$C$17</formula1>
    </dataValidation>
    <dataValidation type="list" showErrorMessage="1" promptTitle="Périodicité" prompt="Veuillez choisir" sqref="C15" xr:uid="{4E063C9F-BE57-4AE9-AF86-AE8CD52AB6D8}">
      <formula1>$O$7:$O$9</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alisation_TUS">
                <anchor moveWithCells="1" sizeWithCells="1">
                  <from>
                    <xdr:col>8</xdr:col>
                    <xdr:colOff>333375</xdr:colOff>
                    <xdr:row>5</xdr:row>
                    <xdr:rowOff>57150</xdr:rowOff>
                  </from>
                  <to>
                    <xdr:col>12</xdr:col>
                    <xdr:colOff>409575</xdr:colOff>
                    <xdr:row>10</xdr:row>
                    <xdr:rowOff>57150</xdr:rowOff>
                  </to>
                </anchor>
              </controlPr>
            </control>
          </mc:Choice>
        </mc:AlternateContent>
        <mc:AlternateContent xmlns:mc="http://schemas.openxmlformats.org/markup-compatibility/2006">
          <mc:Choice Requires="x14">
            <control shapeId="1027" r:id="rId5" name="Button 3">
              <controlPr defaultSize="0" print="0" autoFill="0" autoPict="0" macro="[0]!Clear_Content">
                <anchor moveWithCells="1" sizeWithCells="1">
                  <from>
                    <xdr:col>12</xdr:col>
                    <xdr:colOff>1209675</xdr:colOff>
                    <xdr:row>5</xdr:row>
                    <xdr:rowOff>180975</xdr:rowOff>
                  </from>
                  <to>
                    <xdr:col>14</xdr:col>
                    <xdr:colOff>19050</xdr:colOff>
                    <xdr:row>9</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2CB60-E118-4CE3-9EA4-3D2CC37D2B55}">
  <sheetPr codeName="Feuil2"/>
  <dimension ref="A1:M1"/>
  <sheetViews>
    <sheetView workbookViewId="0">
      <selection activeCell="E17" sqref="E17"/>
    </sheetView>
  </sheetViews>
  <sheetFormatPr baseColWidth="10" defaultRowHeight="15" x14ac:dyDescent="0.25"/>
  <cols>
    <col min="1" max="1" width="15.7109375" bestFit="1" customWidth="1"/>
    <col min="2" max="5" width="15" bestFit="1" customWidth="1"/>
    <col min="6" max="10" width="15.42578125" bestFit="1" customWidth="1"/>
    <col min="11" max="11" width="16.42578125" bestFit="1" customWidth="1"/>
    <col min="12" max="12" width="16" bestFit="1" customWidth="1"/>
    <col min="13" max="13" width="16.140625" customWidth="1"/>
    <col min="15" max="15" width="23.42578125" bestFit="1" customWidth="1"/>
  </cols>
  <sheetData>
    <row r="1" spans="1:13" x14ac:dyDescent="0.25">
      <c r="A1" s="1" t="s">
        <v>0</v>
      </c>
      <c r="B1" t="s">
        <v>54</v>
      </c>
      <c r="C1" t="s">
        <v>55</v>
      </c>
      <c r="D1" t="s">
        <v>56</v>
      </c>
      <c r="E1" t="s">
        <v>57</v>
      </c>
      <c r="F1" t="s">
        <v>129</v>
      </c>
      <c r="G1" t="s">
        <v>130</v>
      </c>
      <c r="H1" t="s">
        <v>131</v>
      </c>
      <c r="I1" t="s">
        <v>132</v>
      </c>
      <c r="J1" t="s">
        <v>133</v>
      </c>
      <c r="K1" t="s">
        <v>134</v>
      </c>
      <c r="L1" t="s">
        <v>58</v>
      </c>
      <c r="M1" t="s">
        <v>59</v>
      </c>
    </row>
  </sheetData>
  <sheetProtection algorithmName="SHA-512" hashValue="3AVZX8yHiYuMd6MZVP0GJdBHPpXJ5PLNvtbgKD5jKiqlbLGLRN/wiaQnkz7ZqLEUM16Vh3ztxoQQ4oDWdOwrLw==" saltValue="YdRoLPnMgz7lIH4sgFrklQ==" spinCount="100000" sheet="1" objects="1" scenarios="1"/>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75D3A-D9CE-45F4-93BB-CACDF88D216C}">
  <sheetPr codeName="Feuil3"/>
  <dimension ref="A1:N20"/>
  <sheetViews>
    <sheetView workbookViewId="0">
      <selection activeCell="E22" sqref="E22"/>
    </sheetView>
  </sheetViews>
  <sheetFormatPr baseColWidth="10" defaultRowHeight="15" x14ac:dyDescent="0.25"/>
  <cols>
    <col min="1" max="1" width="13.140625" customWidth="1"/>
    <col min="2" max="2" width="6.7109375" bestFit="1" customWidth="1"/>
    <col min="3" max="3" width="8.140625" bestFit="1" customWidth="1"/>
    <col min="4" max="4" width="9.42578125" bestFit="1" customWidth="1"/>
    <col min="5" max="5" width="11.28515625" bestFit="1" customWidth="1"/>
    <col min="6" max="6" width="6.7109375" bestFit="1" customWidth="1"/>
    <col min="7" max="7" width="8.5703125" bestFit="1" customWidth="1"/>
    <col min="8" max="8" width="9.85546875" bestFit="1" customWidth="1"/>
    <col min="9" max="9" width="10.28515625" bestFit="1" customWidth="1"/>
    <col min="10" max="10" width="11.28515625" bestFit="1" customWidth="1"/>
    <col min="11" max="11" width="14" bestFit="1" customWidth="1"/>
  </cols>
  <sheetData>
    <row r="1" spans="1:12" x14ac:dyDescent="0.25">
      <c r="A1" t="s">
        <v>10</v>
      </c>
      <c r="B1" t="s">
        <v>11</v>
      </c>
      <c r="C1" t="s">
        <v>12</v>
      </c>
      <c r="E1" t="s">
        <v>13</v>
      </c>
      <c r="F1">
        <v>8480381</v>
      </c>
      <c r="H1" t="s">
        <v>14</v>
      </c>
      <c r="I1" t="s">
        <v>15</v>
      </c>
    </row>
    <row r="2" spans="1:12" x14ac:dyDescent="0.25">
      <c r="B2" t="s">
        <v>16</v>
      </c>
      <c r="C2" t="s">
        <v>17</v>
      </c>
      <c r="E2" t="s">
        <v>18</v>
      </c>
      <c r="F2" t="s">
        <v>19</v>
      </c>
      <c r="H2" t="s">
        <v>20</v>
      </c>
      <c r="I2" t="s">
        <v>21</v>
      </c>
      <c r="K2" t="s">
        <v>22</v>
      </c>
      <c r="L2" t="s">
        <v>23</v>
      </c>
    </row>
    <row r="3" spans="1:12" x14ac:dyDescent="0.25">
      <c r="A3" t="s">
        <v>24</v>
      </c>
      <c r="B3" t="s">
        <v>25</v>
      </c>
    </row>
    <row r="4" spans="1:12" x14ac:dyDescent="0.25">
      <c r="A4" t="s">
        <v>26</v>
      </c>
      <c r="B4" t="s">
        <v>27</v>
      </c>
      <c r="C4">
        <v>20</v>
      </c>
      <c r="D4" t="s">
        <v>28</v>
      </c>
      <c r="E4">
        <v>550</v>
      </c>
      <c r="F4" t="s">
        <v>29</v>
      </c>
      <c r="G4" t="s">
        <v>30</v>
      </c>
    </row>
    <row r="5" spans="1:12" x14ac:dyDescent="0.25">
      <c r="A5" t="s">
        <v>31</v>
      </c>
      <c r="B5" t="s">
        <v>27</v>
      </c>
      <c r="C5">
        <v>20</v>
      </c>
      <c r="D5" t="s">
        <v>28</v>
      </c>
      <c r="E5">
        <v>550</v>
      </c>
      <c r="F5" t="s">
        <v>29</v>
      </c>
      <c r="G5" t="s">
        <v>30</v>
      </c>
    </row>
    <row r="6" spans="1:12" x14ac:dyDescent="0.25">
      <c r="A6" t="s">
        <v>32</v>
      </c>
      <c r="B6" t="s">
        <v>27</v>
      </c>
      <c r="C6">
        <v>20</v>
      </c>
      <c r="D6" t="s">
        <v>28</v>
      </c>
      <c r="E6">
        <v>550</v>
      </c>
      <c r="F6" t="s">
        <v>29</v>
      </c>
      <c r="G6" t="s">
        <v>30</v>
      </c>
    </row>
    <row r="7" spans="1:12" x14ac:dyDescent="0.25">
      <c r="A7" t="s">
        <v>33</v>
      </c>
      <c r="B7" t="s">
        <v>27</v>
      </c>
      <c r="C7">
        <v>20</v>
      </c>
      <c r="D7" t="s">
        <v>28</v>
      </c>
      <c r="E7">
        <v>550</v>
      </c>
      <c r="F7" t="s">
        <v>29</v>
      </c>
      <c r="G7" t="s">
        <v>30</v>
      </c>
    </row>
    <row r="8" spans="1:12" x14ac:dyDescent="0.25">
      <c r="A8" t="s">
        <v>34</v>
      </c>
      <c r="B8" t="s">
        <v>27</v>
      </c>
      <c r="C8">
        <v>20</v>
      </c>
      <c r="D8" t="s">
        <v>28</v>
      </c>
      <c r="E8">
        <v>550</v>
      </c>
      <c r="F8" t="s">
        <v>29</v>
      </c>
      <c r="G8" t="s">
        <v>30</v>
      </c>
    </row>
    <row r="9" spans="1:12" x14ac:dyDescent="0.25">
      <c r="A9" t="s">
        <v>35</v>
      </c>
      <c r="B9" t="s">
        <v>27</v>
      </c>
      <c r="C9">
        <v>20</v>
      </c>
      <c r="D9" t="s">
        <v>28</v>
      </c>
      <c r="E9">
        <v>550</v>
      </c>
      <c r="F9" t="s">
        <v>29</v>
      </c>
      <c r="G9" t="s">
        <v>30</v>
      </c>
    </row>
    <row r="10" spans="1:12" x14ac:dyDescent="0.25">
      <c r="A10" t="s">
        <v>36</v>
      </c>
      <c r="B10" t="s">
        <v>27</v>
      </c>
      <c r="C10">
        <v>20</v>
      </c>
      <c r="D10" t="s">
        <v>28</v>
      </c>
      <c r="E10">
        <v>550</v>
      </c>
      <c r="F10" t="s">
        <v>29</v>
      </c>
      <c r="G10" t="s">
        <v>30</v>
      </c>
    </row>
    <row r="11" spans="1:12" x14ac:dyDescent="0.25">
      <c r="A11" t="s">
        <v>37</v>
      </c>
      <c r="B11" t="s">
        <v>27</v>
      </c>
      <c r="C11">
        <v>20</v>
      </c>
      <c r="D11" t="s">
        <v>28</v>
      </c>
      <c r="E11">
        <v>550</v>
      </c>
      <c r="F11" t="s">
        <v>29</v>
      </c>
      <c r="G11" t="s">
        <v>30</v>
      </c>
    </row>
    <row r="12" spans="1:12" x14ac:dyDescent="0.25">
      <c r="A12" t="s">
        <v>38</v>
      </c>
      <c r="B12" t="s">
        <v>27</v>
      </c>
      <c r="C12">
        <v>20</v>
      </c>
      <c r="D12" t="s">
        <v>28</v>
      </c>
      <c r="E12">
        <v>550</v>
      </c>
      <c r="F12" t="s">
        <v>29</v>
      </c>
      <c r="G12" t="s">
        <v>30</v>
      </c>
    </row>
    <row r="13" spans="1:12" x14ac:dyDescent="0.25">
      <c r="A13" t="s">
        <v>39</v>
      </c>
      <c r="B13" t="s">
        <v>27</v>
      </c>
      <c r="C13">
        <v>0</v>
      </c>
      <c r="D13" t="s">
        <v>28</v>
      </c>
      <c r="E13">
        <v>550</v>
      </c>
      <c r="F13" t="s">
        <v>29</v>
      </c>
      <c r="G13" t="s">
        <v>30</v>
      </c>
    </row>
    <row r="14" spans="1:12" x14ac:dyDescent="0.25">
      <c r="A14" t="s">
        <v>7</v>
      </c>
      <c r="B14" t="s">
        <v>27</v>
      </c>
      <c r="C14">
        <v>-30</v>
      </c>
      <c r="D14" t="s">
        <v>28</v>
      </c>
      <c r="E14">
        <v>535</v>
      </c>
      <c r="F14" t="s">
        <v>29</v>
      </c>
      <c r="G14" t="s">
        <v>30</v>
      </c>
    </row>
    <row r="15" spans="1:12" x14ac:dyDescent="0.25">
      <c r="A15" t="s">
        <v>8</v>
      </c>
      <c r="B15" t="s">
        <v>27</v>
      </c>
      <c r="C15">
        <v>-30</v>
      </c>
      <c r="D15" t="s">
        <v>28</v>
      </c>
      <c r="E15">
        <v>535</v>
      </c>
      <c r="F15" t="s">
        <v>29</v>
      </c>
      <c r="G15" t="s">
        <v>30</v>
      </c>
    </row>
    <row r="16" spans="1:12" x14ac:dyDescent="0.25">
      <c r="A16" t="s">
        <v>40</v>
      </c>
      <c r="B16" t="s">
        <v>27</v>
      </c>
      <c r="C16">
        <v>-30</v>
      </c>
      <c r="D16" t="s">
        <v>28</v>
      </c>
      <c r="E16">
        <v>535</v>
      </c>
      <c r="F16" t="s">
        <v>29</v>
      </c>
      <c r="G16" t="s">
        <v>30</v>
      </c>
    </row>
    <row r="17" spans="1:14" x14ac:dyDescent="0.25">
      <c r="A17" t="s">
        <v>41</v>
      </c>
      <c r="B17" t="s">
        <v>27</v>
      </c>
      <c r="C17">
        <v>-35</v>
      </c>
      <c r="D17" t="s">
        <v>28</v>
      </c>
      <c r="E17">
        <v>550</v>
      </c>
      <c r="F17" t="s">
        <v>29</v>
      </c>
      <c r="G17" t="s">
        <v>30</v>
      </c>
    </row>
    <row r="18" spans="1:14" x14ac:dyDescent="0.25">
      <c r="A18" t="s">
        <v>42</v>
      </c>
      <c r="B18" t="s">
        <v>27</v>
      </c>
      <c r="C18">
        <v>-35</v>
      </c>
      <c r="D18" t="s">
        <v>28</v>
      </c>
      <c r="E18">
        <v>550</v>
      </c>
      <c r="F18" t="s">
        <v>29</v>
      </c>
      <c r="G18" t="s">
        <v>30</v>
      </c>
    </row>
    <row r="19" spans="1:14" x14ac:dyDescent="0.25">
      <c r="A19" t="s">
        <v>0</v>
      </c>
      <c r="C19" t="s">
        <v>26</v>
      </c>
      <c r="D19" t="s">
        <v>31</v>
      </c>
      <c r="E19" t="s">
        <v>32</v>
      </c>
      <c r="F19" t="s">
        <v>33</v>
      </c>
      <c r="G19" t="s">
        <v>34</v>
      </c>
      <c r="H19" t="s">
        <v>35</v>
      </c>
      <c r="I19" t="s">
        <v>36</v>
      </c>
      <c r="J19" t="s">
        <v>37</v>
      </c>
      <c r="K19" t="s">
        <v>38</v>
      </c>
      <c r="L19" t="s">
        <v>39</v>
      </c>
      <c r="M19" t="s">
        <v>8</v>
      </c>
      <c r="N19" t="s">
        <v>40</v>
      </c>
    </row>
    <row r="20" spans="1:14" x14ac:dyDescent="0.25">
      <c r="C20" t="s">
        <v>30</v>
      </c>
      <c r="D20" t="s">
        <v>30</v>
      </c>
      <c r="E20" t="s">
        <v>30</v>
      </c>
      <c r="F20" t="s">
        <v>30</v>
      </c>
      <c r="G20" t="s">
        <v>30</v>
      </c>
      <c r="H20" t="s">
        <v>30</v>
      </c>
      <c r="I20" t="s">
        <v>30</v>
      </c>
      <c r="J20" t="s">
        <v>30</v>
      </c>
      <c r="K20" t="s">
        <v>30</v>
      </c>
      <c r="L20" t="s">
        <v>30</v>
      </c>
      <c r="M20" t="s">
        <v>30</v>
      </c>
      <c r="N20" t="s">
        <v>30</v>
      </c>
    </row>
  </sheetData>
  <sheetProtection algorithmName="SHA-512" hashValue="bEpbHHD5wFlo3bywX3ISKoikaA3H3U/2nbI+lrA68OXU2hi8yEdauGRvieg0sy5oTyIV35BxLcN801UsJuTqyg==" saltValue="mgqD1UkAQ//0MuzdHN2Ulg==" spinCount="100000" sheet="1" objects="1" scenarios="1" autoFilter="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E971A-A4D9-4389-8750-3C25DED1C047}">
  <sheetPr codeName="Feuil4"/>
  <dimension ref="A1:S23"/>
  <sheetViews>
    <sheetView zoomScale="70" zoomScaleNormal="70" workbookViewId="0">
      <selection activeCell="C16" sqref="C16"/>
    </sheetView>
  </sheetViews>
  <sheetFormatPr baseColWidth="10" defaultRowHeight="15" x14ac:dyDescent="0.25"/>
  <cols>
    <col min="1" max="1" width="17.140625" style="4" bestFit="1" customWidth="1"/>
    <col min="2" max="3" width="18.7109375" style="4" bestFit="1" customWidth="1"/>
    <col min="4" max="4" width="14.85546875" style="4" bestFit="1" customWidth="1"/>
    <col min="5" max="5" width="17.140625" style="4" bestFit="1" customWidth="1"/>
    <col min="6" max="6" width="14.85546875" style="4" bestFit="1" customWidth="1"/>
    <col min="7" max="12" width="15.85546875" style="4" bestFit="1" customWidth="1"/>
    <col min="13" max="13" width="15" style="4" customWidth="1"/>
    <col min="14" max="14" width="15" style="4" bestFit="1" customWidth="1"/>
    <col min="15" max="15" width="11.42578125" style="4"/>
    <col min="16" max="16" width="23.42578125" style="5" bestFit="1" customWidth="1"/>
    <col min="17" max="17" width="17.140625" style="4" bestFit="1" customWidth="1"/>
    <col min="18" max="18" width="5.85546875" style="4" bestFit="1" customWidth="1"/>
    <col min="19" max="16384" width="11.42578125" style="4"/>
  </cols>
  <sheetData>
    <row r="1" spans="1:19" x14ac:dyDescent="0.25">
      <c r="A1" s="108" t="str">
        <f>"-30°C"</f>
        <v>-30°C</v>
      </c>
      <c r="B1" s="108"/>
      <c r="C1" s="108"/>
      <c r="D1" s="108"/>
      <c r="E1" s="108"/>
      <c r="F1" s="108"/>
      <c r="G1" s="108"/>
      <c r="H1" s="108"/>
      <c r="I1" s="108"/>
      <c r="J1" s="108"/>
      <c r="K1" s="108"/>
      <c r="L1" s="108"/>
      <c r="M1" s="108"/>
      <c r="N1" s="108"/>
      <c r="O1" s="108"/>
      <c r="P1" s="108"/>
      <c r="Q1" s="108"/>
      <c r="R1" s="108"/>
      <c r="S1" s="108"/>
    </row>
    <row r="2" spans="1:19" x14ac:dyDescent="0.25">
      <c r="A2" s="108"/>
      <c r="B2" s="108"/>
      <c r="C2" s="108"/>
      <c r="D2" s="108"/>
      <c r="E2" s="108"/>
      <c r="F2" s="108"/>
      <c r="G2" s="108"/>
      <c r="H2" s="108"/>
      <c r="I2" s="108"/>
      <c r="J2" s="108"/>
      <c r="K2" s="108"/>
      <c r="L2" s="108"/>
      <c r="M2" s="108"/>
      <c r="N2" s="108"/>
      <c r="O2" s="108"/>
      <c r="P2" s="108"/>
      <c r="Q2" s="108"/>
      <c r="R2" s="108"/>
      <c r="S2" s="108"/>
    </row>
    <row r="3" spans="1:19" x14ac:dyDescent="0.25">
      <c r="A3" s="108"/>
      <c r="B3" s="108"/>
      <c r="C3" s="108"/>
      <c r="D3" s="108"/>
      <c r="E3" s="108"/>
      <c r="F3" s="108"/>
      <c r="G3" s="108"/>
      <c r="H3" s="108"/>
      <c r="I3" s="108"/>
      <c r="J3" s="108"/>
      <c r="K3" s="108"/>
      <c r="L3" s="108"/>
      <c r="M3" s="108"/>
      <c r="N3" s="108"/>
      <c r="O3" s="108"/>
      <c r="P3" s="108"/>
      <c r="Q3" s="108"/>
      <c r="R3" s="108"/>
      <c r="S3" s="108"/>
    </row>
    <row r="5" spans="1:19" x14ac:dyDescent="0.25">
      <c r="B5" s="33" t="s">
        <v>5</v>
      </c>
      <c r="C5" s="6" t="e">
        <f>_xlfn.XLOOKUP(INT(SUBSTITUTE(C15,"Connecteur ","")),Mesures!C23:C34,Mesures!D23:D34)</f>
        <v>#N/A</v>
      </c>
      <c r="D5" s="6" t="e">
        <f>_xlfn.XLOOKUP(INT(SUBSTITUTE(D15,"Connecteur ","")),Mesures!C23:C34,Mesures!D23:D34)</f>
        <v>#N/A</v>
      </c>
      <c r="E5" s="6" t="e">
        <f>_xlfn.XLOOKUP(INT(SUBSTITUTE(E15,"Connecteur ","")),Mesures!C23:C34,Mesures!D23:D34)</f>
        <v>#N/A</v>
      </c>
      <c r="F5" s="6" t="e">
        <f>_xlfn.XLOOKUP(INT(SUBSTITUTE(F15,"Connecteur ","")),Mesures!C23:C34,Mesures!D23:D34)</f>
        <v>#N/A</v>
      </c>
      <c r="G5" s="6" t="e">
        <f>_xlfn.XLOOKUP(INT(SUBSTITUTE(G15,"Connecteur ","")),Mesures!C23:C34,Mesures!D23:D34)</f>
        <v>#N/A</v>
      </c>
      <c r="H5" s="6" t="e">
        <f>_xlfn.XLOOKUP(INT(SUBSTITUTE(H15,"Connecteur ","")),Mesures!C23:C34,Mesures!D23:D34)</f>
        <v>#N/A</v>
      </c>
      <c r="I5" s="6" t="e">
        <f>_xlfn.XLOOKUP(INT(SUBSTITUTE(I15,"Connecteur ","")),Mesures!C23:C34,Mesures!D23:D34)</f>
        <v>#N/A</v>
      </c>
      <c r="J5" s="6" t="e">
        <f>_xlfn.XLOOKUP(INT(SUBSTITUTE(J15,"Connecteur ","")),Mesures!C23:C34,Mesures!D23:D34)</f>
        <v>#N/A</v>
      </c>
      <c r="K5" s="6" t="e">
        <f>_xlfn.XLOOKUP(INT(SUBSTITUTE(K15,"Connecteur ","")),Mesures!C23:C34,Mesures!D23:D34)</f>
        <v>#N/A</v>
      </c>
      <c r="L5" s="6" t="e">
        <f>_xlfn.XLOOKUP(INT(SUBSTITUTE(L15,"Connecteur ","")),Mesures!C23:C34,Mesures!D23:D34)</f>
        <v>#N/A</v>
      </c>
      <c r="M5" s="6" t="e">
        <f>_xlfn.XLOOKUP(INT(SUBSTITUTE(M15,"Connecteur ","")),Mesures!C23:C34,Mesures!D23:D34)</f>
        <v>#N/A</v>
      </c>
      <c r="N5" s="6" t="e">
        <f>_xlfn.XLOOKUP(INT(SUBSTITUTE(N15,"Connecteur ","")),Mesures!C23:C34,Mesures!D23:D34)</f>
        <v>#N/A</v>
      </c>
    </row>
    <row r="6" spans="1:19" x14ac:dyDescent="0.25">
      <c r="B6" s="33" t="s">
        <v>50</v>
      </c>
      <c r="C6" s="6" t="e">
        <f>_xlfn.XLOOKUP(INT(SUBSTITUTE(C15,"Connecteur ","")),Mesures!C23:C34,Mesures!E23:E34)</f>
        <v>#N/A</v>
      </c>
      <c r="D6" s="6" t="e">
        <f>_xlfn.XLOOKUP(INT(SUBSTITUTE(D15,"Connecteur ","")),Mesures!C23:C34,Mesures!E23:E34)</f>
        <v>#N/A</v>
      </c>
      <c r="E6" s="6" t="e">
        <f>_xlfn.XLOOKUP(INT(SUBSTITUTE(E15,"Connecteur ","")),Mesures!C23:C34,Mesures!E23:E34)</f>
        <v>#N/A</v>
      </c>
      <c r="F6" s="6" t="e">
        <f>_xlfn.XLOOKUP(INT(SUBSTITUTE(F15,"Connecteur ","")),Mesures!C23:C34,Mesures!E23:E34)</f>
        <v>#N/A</v>
      </c>
      <c r="G6" s="6" t="e">
        <f>_xlfn.XLOOKUP(INT(SUBSTITUTE(G15,"Connecteur ","")),Mesures!C23:C34,Mesures!E23:E34)</f>
        <v>#N/A</v>
      </c>
      <c r="H6" s="6" t="e">
        <f>_xlfn.XLOOKUP(INT(SUBSTITUTE(H15,"Connecteur ","")),Mesures!C23:C34,Mesures!E23:E34)</f>
        <v>#N/A</v>
      </c>
      <c r="I6" s="6" t="e">
        <f>_xlfn.XLOOKUP(INT(SUBSTITUTE(I15,"Connecteur ","")),Mesures!C23:C34,Mesures!E23:E34)</f>
        <v>#N/A</v>
      </c>
      <c r="J6" s="6" t="e">
        <f>_xlfn.XLOOKUP(INT(SUBSTITUTE(J15,"Connecteur ","")),Mesures!C23:C34,Mesures!E23:E34)</f>
        <v>#N/A</v>
      </c>
      <c r="K6" s="6" t="e">
        <f>_xlfn.XLOOKUP(INT(SUBSTITUTE(K15,"Connecteur ","")),Mesures!C23:C34,Mesures!E23:E34)</f>
        <v>#N/A</v>
      </c>
      <c r="L6" s="6" t="e">
        <f>_xlfn.XLOOKUP(INT(SUBSTITUTE(L15,"Connecteur ","")),Mesures!C23:C34,Mesures!E23:E34)</f>
        <v>#N/A</v>
      </c>
      <c r="M6" s="6" t="e">
        <f>_xlfn.XLOOKUP(INT(SUBSTITUTE(M15,"Connecteur ","")),Mesures!C23:C34,Mesures!E23:E34)</f>
        <v>#N/A</v>
      </c>
      <c r="N6" s="6" t="e">
        <f>_xlfn.XLOOKUP(INT(SUBSTITUTE(N15,"Connecteur ","")),Mesures!C23:C34,Mesures!E23:E34)</f>
        <v>#N/A</v>
      </c>
    </row>
    <row r="9" spans="1:19" x14ac:dyDescent="0.25">
      <c r="A9" s="110" t="s">
        <v>53</v>
      </c>
      <c r="B9" s="110"/>
      <c r="C9" s="110"/>
      <c r="D9" s="110"/>
      <c r="E9" s="110"/>
      <c r="F9" s="110"/>
      <c r="G9" s="110"/>
      <c r="H9" s="110"/>
      <c r="I9" s="110"/>
      <c r="J9" s="110"/>
      <c r="K9" s="110"/>
      <c r="L9" s="110"/>
      <c r="M9" s="110"/>
      <c r="N9" s="110"/>
    </row>
    <row r="10" spans="1:19" x14ac:dyDescent="0.25">
      <c r="A10" s="5"/>
      <c r="B10" s="33" t="str">
        <f>Valeurs_Brutes[[#Headers],[Date/Heure]]</f>
        <v>Date/Heure</v>
      </c>
      <c r="C10" s="34" t="str" cm="1">
        <f t="array" ref="C10:N10">Valeurs_Brutes[[#Headers],[Connecteur 1]:[Connecteur 12]]</f>
        <v>Connecteur 1</v>
      </c>
      <c r="D10" s="34" t="str">
        <v>Connecteur 2</v>
      </c>
      <c r="E10" s="34" t="str">
        <v>Connecteur 3</v>
      </c>
      <c r="F10" s="34" t="str">
        <v>Connecteur 4</v>
      </c>
      <c r="G10" s="34" t="str">
        <v>Connecteur 5</v>
      </c>
      <c r="H10" s="34" t="str">
        <v>Connecteur 6</v>
      </c>
      <c r="I10" s="34" t="str">
        <v>Connecteur 7</v>
      </c>
      <c r="J10" s="34" t="str">
        <v>Connecteur 8</v>
      </c>
      <c r="K10" s="34" t="str">
        <v>Connecteur 9</v>
      </c>
      <c r="L10" s="34" t="str">
        <v>Connecteur 10</v>
      </c>
      <c r="M10" s="34" t="str">
        <v>Connecteur 11</v>
      </c>
      <c r="N10" s="34" t="str">
        <v>Connecteur 12</v>
      </c>
    </row>
    <row r="11" spans="1:19" ht="13.5" customHeight="1" x14ac:dyDescent="0.25">
      <c r="A11" s="87" t="s">
        <v>67</v>
      </c>
      <c r="B11" s="37" cm="1">
        <f t="array" ref="B11">Valeurs_Brutes[Date/Heure]</f>
        <v>0</v>
      </c>
      <c r="C11" s="38" t="e" cm="1">
        <f t="array" ref="C11:N11">Valeurs_Brutes[[Connecteur 1]:[Connecteur 12]] + C5:N5 +C6:N6</f>
        <v>#N/A</v>
      </c>
      <c r="D11" s="38" t="e">
        <v>#N/A</v>
      </c>
      <c r="E11" s="38" t="e">
        <v>#N/A</v>
      </c>
      <c r="F11" s="38" t="e">
        <v>#N/A</v>
      </c>
      <c r="G11" s="38" t="e">
        <v>#N/A</v>
      </c>
      <c r="H11" s="38" t="e">
        <v>#N/A</v>
      </c>
      <c r="I11" s="38" t="e">
        <v>#N/A</v>
      </c>
      <c r="J11" s="38" t="e">
        <v>#N/A</v>
      </c>
      <c r="K11" s="38" t="e">
        <v>#N/A</v>
      </c>
      <c r="L11" s="38" t="e">
        <v>#N/A</v>
      </c>
      <c r="M11" s="38" t="e">
        <v>#N/A</v>
      </c>
      <c r="N11" s="38" t="e">
        <v>#N/A</v>
      </c>
    </row>
    <row r="12" spans="1:19" ht="13.5" customHeight="1" x14ac:dyDescent="0.25">
      <c r="A12" s="39" t="s">
        <v>67</v>
      </c>
      <c r="B12" s="9"/>
      <c r="C12" s="10"/>
      <c r="D12" s="10"/>
      <c r="E12" s="10"/>
      <c r="F12" s="10"/>
      <c r="G12" s="10"/>
      <c r="H12" s="10"/>
      <c r="I12" s="10"/>
      <c r="J12" s="10"/>
      <c r="K12" s="10"/>
      <c r="L12" s="10"/>
      <c r="M12" s="10"/>
      <c r="N12" s="10"/>
    </row>
    <row r="14" spans="1:19" s="111" customFormat="1" x14ac:dyDescent="0.25"/>
    <row r="15" spans="1:19" x14ac:dyDescent="0.25">
      <c r="C15" s="36" t="str" cm="1">
        <f t="array" ref="C15:N15">Valeurs_Brutes[[#Headers],[Connecteur 1]:[Connecteur 12]]</f>
        <v>Connecteur 1</v>
      </c>
      <c r="D15" s="36" t="str">
        <v>Connecteur 2</v>
      </c>
      <c r="E15" s="36" t="str">
        <v>Connecteur 3</v>
      </c>
      <c r="F15" s="36" t="str">
        <v>Connecteur 4</v>
      </c>
      <c r="G15" s="36" t="str">
        <v>Connecteur 5</v>
      </c>
      <c r="H15" s="36" t="str">
        <v>Connecteur 6</v>
      </c>
      <c r="I15" s="36" t="str">
        <v>Connecteur 7</v>
      </c>
      <c r="J15" s="36" t="str">
        <v>Connecteur 8</v>
      </c>
      <c r="K15" s="36" t="str">
        <v>Connecteur 9</v>
      </c>
      <c r="L15" s="36" t="str">
        <v>Connecteur 10</v>
      </c>
      <c r="M15" s="36" t="str">
        <v>Connecteur 11</v>
      </c>
      <c r="N15" s="36" t="str">
        <v>Connecteur 12</v>
      </c>
    </row>
    <row r="16" spans="1:19" x14ac:dyDescent="0.25">
      <c r="B16" s="35" t="s">
        <v>43</v>
      </c>
      <c r="C16" s="44" t="e">
        <f>MAX(Valeurs_Brutes[Connecteur 1]) + '-30°C'!C5 + '-30°C'!C6</f>
        <v>#N/A</v>
      </c>
      <c r="D16" s="44" t="e">
        <f>MAX(Valeurs_Brutes[Connecteur 2]) + '-30°C'!D5 + '-30°C'!D6</f>
        <v>#N/A</v>
      </c>
      <c r="E16" s="44" t="e">
        <f>MAX(Valeurs_Brutes[Connecteur 3]) + '-30°C'!E5 + '-30°C'!E6</f>
        <v>#N/A</v>
      </c>
      <c r="F16" s="44" t="e">
        <f>MAX(Valeurs_Brutes[Connecteur 4]) + '-30°C'!F5 + '-30°C'!F6</f>
        <v>#N/A</v>
      </c>
      <c r="G16" s="44" t="e">
        <f>MAX(Valeurs_Brutes[Connecteur 5]) + '-30°C'!G5 + '-30°C'!G6</f>
        <v>#N/A</v>
      </c>
      <c r="H16" s="44" t="e">
        <f>MAX(Valeurs_Brutes[Connecteur 6]) + '-30°C'!H5 + '-30°C'!H6</f>
        <v>#N/A</v>
      </c>
      <c r="I16" s="44" t="e">
        <f>MAX(Valeurs_Brutes[Connecteur 7]) + '-30°C'!I5 + '-30°C'!I6</f>
        <v>#N/A</v>
      </c>
      <c r="J16" s="44" t="e">
        <f>MAX(Valeurs_Brutes[Connecteur 8]) + '-30°C'!J5 + '-30°C'!J6</f>
        <v>#N/A</v>
      </c>
      <c r="K16" s="44" t="e">
        <f>MAX(Valeurs_Brutes[Connecteur 9]) + '-30°C'!K5 + '-30°C'!K6</f>
        <v>#N/A</v>
      </c>
      <c r="L16" s="44" t="e">
        <f>MAX(Valeurs_Brutes[Connecteur 10]) + '-30°C'!L5 + '-30°C'!L6</f>
        <v>#N/A</v>
      </c>
      <c r="M16" s="44" t="e">
        <f>MAX(Valeurs_Brutes[Connecteur 11]) + '-30°C'!M5 + '-30°C'!M6</f>
        <v>#N/A</v>
      </c>
      <c r="N16" s="44" t="e">
        <f>MAX(Valeurs_Brutes[Connecteur 12]) + '-30°C'!N5 + '-30°C'!N6</f>
        <v>#N/A</v>
      </c>
      <c r="O16" s="6">
        <f>Mesures!B19+Mesures!B20</f>
        <v>0</v>
      </c>
      <c r="Q16" s="34" t="s">
        <v>6</v>
      </c>
      <c r="R16" s="6">
        <f>Mesures!B19</f>
        <v>0</v>
      </c>
    </row>
    <row r="17" spans="2:18" x14ac:dyDescent="0.25">
      <c r="B17" s="35" t="s">
        <v>44</v>
      </c>
      <c r="C17" s="44" t="e">
        <f ca="1">MAX(OFFSET(INDEX(Valeurs_Brutes[Connecteur 1],1),COUNT(Valeurs_Brutes[Connecteur 1])-30,0,30))+C5+C6</f>
        <v>#REF!</v>
      </c>
      <c r="D17" s="44" t="e">
        <f ca="1">MAX(OFFSET(INDEX(Valeurs_Brutes[Connecteur 2],1),COUNT(Valeurs_Brutes[Connecteur 2])-30,0,30))+D5+D6</f>
        <v>#REF!</v>
      </c>
      <c r="E17" s="44" t="e">
        <f ca="1">MAX(OFFSET(INDEX(Valeurs_Brutes[Connecteur 3],1),COUNT(Valeurs_Brutes[Connecteur 3])-30,0,30))+E5+E6</f>
        <v>#REF!</v>
      </c>
      <c r="F17" s="44" t="e">
        <f ca="1">MAX(OFFSET(INDEX(Valeurs_Brutes[Connecteur 4],1),COUNT(Valeurs_Brutes[Connecteur 4])-30,0,30))+F5+F6</f>
        <v>#REF!</v>
      </c>
      <c r="G17" s="44" t="e">
        <f ca="1">MAX(OFFSET(INDEX(Valeurs_Brutes[Connecteur 5],1),COUNT(Valeurs_Brutes[Connecteur 5])-30,0,30))+G5+G6</f>
        <v>#REF!</v>
      </c>
      <c r="H17" s="44" t="e">
        <f ca="1">MAX(OFFSET(INDEX(Valeurs_Brutes[Connecteur 6],1),COUNT(Valeurs_Brutes[Connecteur 6])-30,0,30))+H5+H6</f>
        <v>#REF!</v>
      </c>
      <c r="I17" s="44" t="e">
        <f ca="1">MAX(OFFSET(INDEX(Valeurs_Brutes[Connecteur 7],1),COUNT(Valeurs_Brutes[Connecteur 7])-30,0,30))+I5+I6</f>
        <v>#REF!</v>
      </c>
      <c r="J17" s="44" t="e">
        <f ca="1">MAX(OFFSET(INDEX(Valeurs_Brutes[Connecteur 8],1),COUNT(Valeurs_Brutes[Connecteur 8])-30,0,30))+J5+J6</f>
        <v>#REF!</v>
      </c>
      <c r="K17" s="44" t="e">
        <f ca="1">MAX(OFFSET(INDEX(Valeurs_Brutes[Connecteur 9],1),COUNT(Valeurs_Brutes[Connecteur 9])-30,0,30))+K5+K6</f>
        <v>#REF!</v>
      </c>
      <c r="L17" s="44" t="e">
        <f ca="1">MAX(OFFSET(INDEX(Valeurs_Brutes[Connecteur 10],1),COUNT(Valeurs_Brutes[Connecteur 10])-30,0,30))+L5+L6</f>
        <v>#REF!</v>
      </c>
      <c r="M17" s="44" t="e">
        <f ca="1">MAX(OFFSET(INDEX(Valeurs_Brutes[Connecteur 11],1),COUNT(Valeurs_Brutes[Connecteur 11])-30,0,30))+M5+M6</f>
        <v>#REF!</v>
      </c>
      <c r="N17" s="44" t="e">
        <f ca="1">MAX(OFFSET(INDEX(Valeurs_Brutes[Connecteur 12],1),COUNT(Valeurs_Brutes[Connecteur 12])-30,0,30))+N5+N6</f>
        <v>#REF!</v>
      </c>
      <c r="O17" s="6">
        <f>Mesures!B$19+Mesures!B$20</f>
        <v>0</v>
      </c>
      <c r="Q17" s="34" t="s">
        <v>51</v>
      </c>
      <c r="R17" s="6" t="str">
        <f>"+" &amp; Mesures!B20 &amp; "°C"</f>
        <v>+°C</v>
      </c>
    </row>
    <row r="18" spans="2:18" x14ac:dyDescent="0.25">
      <c r="B18" s="35" t="s">
        <v>45</v>
      </c>
      <c r="C18" s="44" t="e">
        <f ca="1">MIN(OFFSET(INDEX(Valeurs_Brutes[Connecteur 1],1),COUNT(Valeurs_Brutes[Connecteur 1])-30,0,30))+C5+C6</f>
        <v>#REF!</v>
      </c>
      <c r="D18" s="44" t="e">
        <f ca="1">MIN(OFFSET(INDEX(Valeurs_Brutes[Connecteur 2],1),COUNT(Valeurs_Brutes[Connecteur 2])-30,0,30))+D5+D6</f>
        <v>#REF!</v>
      </c>
      <c r="E18" s="44" t="e">
        <f ca="1">MIN(OFFSET(INDEX(Valeurs_Brutes[Connecteur 3],1),COUNT(Valeurs_Brutes[Connecteur 3])-30,0,30))+E5+E6</f>
        <v>#REF!</v>
      </c>
      <c r="F18" s="44" t="e">
        <f ca="1">MIN(OFFSET(INDEX(Valeurs_Brutes[Connecteur 4],1),COUNT(Valeurs_Brutes[Connecteur 4])-30,0,30))+F5+F6</f>
        <v>#REF!</v>
      </c>
      <c r="G18" s="44" t="e">
        <f ca="1">MIN(OFFSET(INDEX(Valeurs_Brutes[Connecteur 5],1),COUNT(Valeurs_Brutes[Connecteur 5])-30,0,30))+G5+G6</f>
        <v>#REF!</v>
      </c>
      <c r="H18" s="44" t="e">
        <f ca="1">MIN(OFFSET(INDEX(Valeurs_Brutes[Connecteur 6],1),COUNT(Valeurs_Brutes[Connecteur 6])-30,0,30))+H5+H6</f>
        <v>#REF!</v>
      </c>
      <c r="I18" s="44" t="e">
        <f ca="1">MIN(OFFSET(INDEX(Valeurs_Brutes[Connecteur 7],1),COUNT(Valeurs_Brutes[Connecteur 7])-30,0,30))+I5+I6</f>
        <v>#REF!</v>
      </c>
      <c r="J18" s="44" t="e">
        <f ca="1">MIN(OFFSET(INDEX(Valeurs_Brutes[Connecteur 8],1),COUNT(Valeurs_Brutes[Connecteur 8])-30,0,30))+J5+J6</f>
        <v>#REF!</v>
      </c>
      <c r="K18" s="44" t="e">
        <f ca="1">MIN(OFFSET(INDEX(Valeurs_Brutes[Connecteur 9],1),COUNT(Valeurs_Brutes[Connecteur 9])-30,0,30))+K5+K6</f>
        <v>#REF!</v>
      </c>
      <c r="L18" s="44" t="e">
        <f ca="1">MIN(OFFSET(INDEX(Valeurs_Brutes[Connecteur 10],1),COUNT(Valeurs_Brutes[Connecteur 10])-30,0,30))+L5+L6</f>
        <v>#REF!</v>
      </c>
      <c r="M18" s="44" t="e">
        <f ca="1">MIN(OFFSET(INDEX(Valeurs_Brutes[Connecteur 11],1),COUNT(Valeurs_Brutes[Connecteur 11])-30,0,30))+M5+M6</f>
        <v>#REF!</v>
      </c>
      <c r="N18" s="44" t="e">
        <f ca="1">MIN(OFFSET(INDEX(Valeurs_Brutes[Connecteur 12],1),COUNT(Valeurs_Brutes[Connecteur 12])-30,0,30))+N5+N6</f>
        <v>#REF!</v>
      </c>
      <c r="O18" s="6">
        <f>Mesures!B$19-Mesures!B$20</f>
        <v>0</v>
      </c>
      <c r="Q18" s="34" t="s">
        <v>52</v>
      </c>
      <c r="R18" s="6" t="str">
        <f>"-" &amp; Mesures!B20 &amp; "°C"</f>
        <v>-°C</v>
      </c>
    </row>
    <row r="19" spans="2:18" x14ac:dyDescent="0.25">
      <c r="B19" s="35" t="s">
        <v>46</v>
      </c>
      <c r="C19" s="44" t="e">
        <f ca="1">AVERAGE(OFFSET(INDEX(Valeurs_Brutes[Connecteur 1],1),COUNT(Valeurs_Brutes[Connecteur 1])-30,0,30))+C5+C6</f>
        <v>#REF!</v>
      </c>
      <c r="D19" s="44" t="e">
        <f ca="1">AVERAGE(OFFSET(INDEX(Valeurs_Brutes[Connecteur 2],1),COUNT(Valeurs_Brutes[Connecteur 2])-30,0,30))+D5+D6</f>
        <v>#REF!</v>
      </c>
      <c r="E19" s="44" t="e">
        <f ca="1">AVERAGE(OFFSET(INDEX(Valeurs_Brutes[Connecteur 3],1),COUNT(Valeurs_Brutes[Connecteur 3])-30,0,30))+E5+E6</f>
        <v>#REF!</v>
      </c>
      <c r="F19" s="44" t="e">
        <f ca="1">AVERAGE(OFFSET(INDEX(Valeurs_Brutes[Connecteur 4],1),COUNT(Valeurs_Brutes[Connecteur 4])-30,0,30))+F5+F6</f>
        <v>#REF!</v>
      </c>
      <c r="G19" s="44" t="e">
        <f ca="1">AVERAGE(OFFSET(INDEX(Valeurs_Brutes[Connecteur 5],1),COUNT(Valeurs_Brutes[Connecteur 5])-30,0,30))+G5+G6</f>
        <v>#REF!</v>
      </c>
      <c r="H19" s="44" t="e">
        <f ca="1">AVERAGE(OFFSET(INDEX(Valeurs_Brutes[Connecteur 6],1),COUNT(Valeurs_Brutes[Connecteur 6])-30,0,30))+H5+H6</f>
        <v>#REF!</v>
      </c>
      <c r="I19" s="44" t="e">
        <f ca="1">AVERAGE(OFFSET(INDEX(Valeurs_Brutes[Connecteur 7],1),COUNT(Valeurs_Brutes[Connecteur 7])-30,0,30))+I5+I6</f>
        <v>#REF!</v>
      </c>
      <c r="J19" s="44" t="e">
        <f ca="1">AVERAGE(OFFSET(INDEX(Valeurs_Brutes[Connecteur 8],1),COUNT(Valeurs_Brutes[Connecteur 8])-30,0,30))+J5+J6</f>
        <v>#REF!</v>
      </c>
      <c r="K19" s="44" t="e">
        <f ca="1">AVERAGE(OFFSET(INDEX(Valeurs_Brutes[Connecteur 9],1),COUNT(Valeurs_Brutes[Connecteur 9])-30,0,30))+K5+K6</f>
        <v>#REF!</v>
      </c>
      <c r="L19" s="44" t="e">
        <f ca="1">AVERAGE(OFFSET(INDEX(Valeurs_Brutes[Connecteur 10],1),COUNT(Valeurs_Brutes[Connecteur 10])-30,0,30))+L5+L6</f>
        <v>#REF!</v>
      </c>
      <c r="M19" s="44" t="e">
        <f ca="1">AVERAGE(OFFSET(INDEX(Valeurs_Brutes[Connecteur 11],1),COUNT(Valeurs_Brutes[Connecteur 11])-30,0,30))+M5+M6</f>
        <v>#REF!</v>
      </c>
      <c r="N19" s="44" t="e">
        <f ca="1">AVERAGE(OFFSET(INDEX(Valeurs_Brutes[Connecteur 12],1),COUNT(Valeurs_Brutes[Connecteur 12])-30,0,30))+N5+N6</f>
        <v>#REF!</v>
      </c>
      <c r="O19" s="57"/>
    </row>
    <row r="20" spans="2:18" x14ac:dyDescent="0.25">
      <c r="B20" s="35" t="s">
        <v>47</v>
      </c>
      <c r="C20" s="58" t="e">
        <f ca="1">C17-C18</f>
        <v>#REF!</v>
      </c>
      <c r="D20" s="58" t="e">
        <f ca="1">D17-D18</f>
        <v>#REF!</v>
      </c>
      <c r="E20" s="58" t="e">
        <f t="shared" ref="E20:N20" ca="1" si="0">E17-E18</f>
        <v>#REF!</v>
      </c>
      <c r="F20" s="58" t="e">
        <f t="shared" ca="1" si="0"/>
        <v>#REF!</v>
      </c>
      <c r="G20" s="58" t="e">
        <f t="shared" ca="1" si="0"/>
        <v>#REF!</v>
      </c>
      <c r="H20" s="58" t="e">
        <f t="shared" ca="1" si="0"/>
        <v>#REF!</v>
      </c>
      <c r="I20" s="58" t="e">
        <f t="shared" ca="1" si="0"/>
        <v>#REF!</v>
      </c>
      <c r="J20" s="58" t="e">
        <f t="shared" ca="1" si="0"/>
        <v>#REF!</v>
      </c>
      <c r="K20" s="58" t="e">
        <f t="shared" ca="1" si="0"/>
        <v>#REF!</v>
      </c>
      <c r="L20" s="58" t="e">
        <f t="shared" ca="1" si="0"/>
        <v>#REF!</v>
      </c>
      <c r="M20" s="58" t="e">
        <f t="shared" ca="1" si="0"/>
        <v>#REF!</v>
      </c>
      <c r="N20" s="44" t="e">
        <f t="shared" ca="1" si="0"/>
        <v>#REF!</v>
      </c>
      <c r="O20" s="57"/>
    </row>
    <row r="21" spans="2:18" x14ac:dyDescent="0.25">
      <c r="B21" s="35" t="s">
        <v>48</v>
      </c>
      <c r="C21" s="109" t="e">
        <f ca="1">ABS(MAX('-30°C'!C17:N17)-MIN('-30°C'!C18:N18))</f>
        <v>#REF!</v>
      </c>
      <c r="D21" s="109"/>
      <c r="E21" s="109"/>
      <c r="F21" s="109"/>
      <c r="G21" s="109"/>
      <c r="H21" s="109"/>
      <c r="I21" s="109"/>
      <c r="J21" s="109"/>
      <c r="K21" s="109"/>
      <c r="L21" s="109"/>
      <c r="M21" s="109"/>
      <c r="N21" s="109"/>
      <c r="O21" s="109"/>
    </row>
    <row r="22" spans="2:18" x14ac:dyDescent="0.25">
      <c r="B22" s="35" t="s">
        <v>49</v>
      </c>
      <c r="C22" s="109" t="e">
        <f ca="1">AVERAGE(C19:N19)</f>
        <v>#REF!</v>
      </c>
      <c r="D22" s="109"/>
      <c r="E22" s="109"/>
      <c r="F22" s="109"/>
      <c r="G22" s="109"/>
      <c r="H22" s="109"/>
      <c r="I22" s="109"/>
      <c r="J22" s="109"/>
      <c r="K22" s="109"/>
      <c r="L22" s="109"/>
      <c r="M22" s="109"/>
      <c r="N22" s="109"/>
      <c r="O22" s="109"/>
    </row>
    <row r="23" spans="2:18" x14ac:dyDescent="0.25">
      <c r="B23" s="34" t="s">
        <v>61</v>
      </c>
      <c r="C23" s="56" t="e">
        <f ca="1">STDEV(OFFSET(INDEX(Valeurs_Brutes[Connecteur 1],1),COUNT(Valeurs_Brutes[Connecteur 1])-30,0,30))+C5+C6</f>
        <v>#REF!</v>
      </c>
      <c r="D23" s="56" t="e">
        <f ca="1">STDEV(OFFSET(INDEX(Valeurs_Brutes[Connecteur 2],1),COUNT(Valeurs_Brutes[Connecteur 2])-30,0,30))+D5+D6</f>
        <v>#REF!</v>
      </c>
      <c r="E23" s="56" t="e">
        <f ca="1">STDEV(OFFSET(INDEX(Valeurs_Brutes[Connecteur 3],1),COUNT(Valeurs_Brutes[Connecteur 3])-30,0,30))+E5+E6</f>
        <v>#REF!</v>
      </c>
      <c r="F23" s="56" t="e">
        <f ca="1">STDEV(OFFSET(INDEX(Valeurs_Brutes[Connecteur 4],1),COUNT(Valeurs_Brutes[Connecteur 4])-30,0,30))+F5+F6</f>
        <v>#REF!</v>
      </c>
      <c r="G23" s="56" t="e">
        <f ca="1">STDEV(OFFSET(INDEX(Valeurs_Brutes[Connecteur 5],1),COUNT(Valeurs_Brutes[Connecteur 5])-30,0,30))+G5+G6</f>
        <v>#REF!</v>
      </c>
      <c r="H23" s="56" t="e">
        <f ca="1">STDEV(OFFSET(INDEX(Valeurs_Brutes[Connecteur 6],1),COUNT(Valeurs_Brutes[Connecteur 6])-30,0,30))+H5+H6</f>
        <v>#REF!</v>
      </c>
      <c r="I23" s="56" t="e">
        <f ca="1">STDEV(OFFSET(INDEX(Valeurs_Brutes[Connecteur 7],1),COUNT(Valeurs_Brutes[Connecteur 7])-30,0,30))+I5+I6</f>
        <v>#REF!</v>
      </c>
      <c r="J23" s="56" t="e">
        <f ca="1">STDEV(OFFSET(INDEX(Valeurs_Brutes[Connecteur 8],1),COUNT(Valeurs_Brutes[Connecteur 8])-30,0,30))+J5+J6</f>
        <v>#REF!</v>
      </c>
      <c r="K23" s="56" t="e">
        <f ca="1">STDEV(OFFSET(INDEX(Valeurs_Brutes[Connecteur 9],1),COUNT(Valeurs_Brutes[Connecteur 9])-30,0,30))+K5+K6</f>
        <v>#REF!</v>
      </c>
      <c r="L23" s="56" t="e">
        <f ca="1">STDEV(OFFSET(INDEX(Valeurs_Brutes[Connecteur 10],1),COUNT(Valeurs_Brutes[Connecteur 10])-30,0,30))+L5+L6</f>
        <v>#REF!</v>
      </c>
      <c r="M23" s="56" t="e">
        <f ca="1">STDEV(OFFSET(INDEX(Valeurs_Brutes[Connecteur 11],1),COUNT(Valeurs_Brutes[Connecteur 11])-30,0,30))+M5+M6</f>
        <v>#REF!</v>
      </c>
      <c r="N23" s="56" t="e">
        <f ca="1">STDEV(OFFSET(INDEX(Valeurs_Brutes[Connecteur 12],1),COUNT(Valeurs_Brutes[Connecteur 12])-30,0,30))+N5+N6</f>
        <v>#REF!</v>
      </c>
      <c r="O23" s="57"/>
    </row>
  </sheetData>
  <sheetProtection algorithmName="SHA-512" hashValue="qLwGW9uY3zLxNtlFKwmgJ7vQccXcxEl5ogvF2ZDg0FHDilE4U8ReoqYyXUtJEngA74U1Si9xcKFaFSHY0KAoaA==" saltValue="WyjllVkL1dfgNMpL4zTXbA==" spinCount="100000" sheet="1" objects="1" scenarios="1"/>
  <mergeCells count="5">
    <mergeCell ref="A1:S3"/>
    <mergeCell ref="C21:O21"/>
    <mergeCell ref="C22:O22"/>
    <mergeCell ref="A9:N9"/>
    <mergeCell ref="A14:XFD14"/>
  </mergeCells>
  <conditionalFormatting sqref="C16:N16">
    <cfRule type="cellIs" dxfId="10" priority="3" operator="greaterThan">
      <formula>$O$16</formula>
    </cfRule>
  </conditionalFormatting>
  <conditionalFormatting sqref="C17:N17">
    <cfRule type="cellIs" dxfId="9" priority="2" operator="greaterThan">
      <formula>$O$17</formula>
    </cfRule>
  </conditionalFormatting>
  <conditionalFormatting sqref="C18:N18">
    <cfRule type="cellIs" dxfId="8" priority="1" operator="lessThan">
      <formula>$O$18</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A5452-AC68-48A8-A5F1-E8236A5E324C}">
  <sheetPr codeName="Feuil5"/>
  <dimension ref="A5:J308"/>
  <sheetViews>
    <sheetView view="pageLayout" zoomScale="70" zoomScaleNormal="60" zoomScaleSheetLayoutView="77" zoomScalePageLayoutView="70" workbookViewId="0">
      <selection activeCell="E10" sqref="E10:F10"/>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18" t="s">
        <v>69</v>
      </c>
      <c r="C5" s="18"/>
      <c r="D5" s="18"/>
      <c r="E5" s="18"/>
      <c r="F5" s="18"/>
      <c r="G5" s="18"/>
      <c r="H5" s="18"/>
      <c r="I5" s="15"/>
    </row>
    <row r="10" spans="2:9" ht="21" x14ac:dyDescent="0.25">
      <c r="C10" s="112" t="s">
        <v>68</v>
      </c>
      <c r="D10" s="112"/>
      <c r="E10" s="113" t="str">
        <f>IF(Mesures!D5&lt;&gt;"",Mesures!D5,"")</f>
        <v/>
      </c>
      <c r="F10" s="113"/>
    </row>
    <row r="11" spans="2:9" ht="21" x14ac:dyDescent="0.25">
      <c r="C11" s="11"/>
      <c r="D11" s="11"/>
      <c r="E11" s="12"/>
      <c r="F11" s="12"/>
    </row>
    <row r="12" spans="2:9" x14ac:dyDescent="0.25">
      <c r="C12" s="20" t="s">
        <v>70</v>
      </c>
      <c r="D12" s="88">
        <f>Mesures!C7</f>
        <v>0</v>
      </c>
      <c r="F12" s="20" t="s">
        <v>75</v>
      </c>
      <c r="G12" s="88">
        <f>Mesures!G7</f>
        <v>0</v>
      </c>
    </row>
    <row r="13" spans="2:9" ht="15.75" x14ac:dyDescent="0.25">
      <c r="C13" s="21" t="s">
        <v>71</v>
      </c>
      <c r="D13" s="89">
        <f>Mesures!C8</f>
        <v>0</v>
      </c>
      <c r="F13" s="25" t="s">
        <v>76</v>
      </c>
      <c r="G13" s="89">
        <f>Mesures!G8</f>
        <v>0</v>
      </c>
    </row>
    <row r="14" spans="2:9" ht="15.75" x14ac:dyDescent="0.25">
      <c r="C14" s="14"/>
      <c r="D14" s="13"/>
      <c r="G14" s="19"/>
    </row>
    <row r="15" spans="2:9" ht="15.75" x14ac:dyDescent="0.25">
      <c r="C15" s="22" t="s">
        <v>72</v>
      </c>
      <c r="D15" s="23">
        <f>Mesures!C14</f>
        <v>0</v>
      </c>
      <c r="F15" s="20" t="s">
        <v>77</v>
      </c>
      <c r="G15" s="2" t="e">
        <f>Mesures!#REF!</f>
        <v>#REF!</v>
      </c>
    </row>
    <row r="16" spans="2:9" ht="15.75" x14ac:dyDescent="0.25">
      <c r="C16" s="22" t="s">
        <v>73</v>
      </c>
      <c r="D16" s="24">
        <f>Mesures!G11</f>
        <v>9</v>
      </c>
      <c r="F16" s="20" t="s">
        <v>78</v>
      </c>
      <c r="G16" s="2">
        <f>Mesures!G12</f>
        <v>0</v>
      </c>
    </row>
    <row r="17" spans="1:9" ht="15.75" x14ac:dyDescent="0.25">
      <c r="C17" s="14"/>
      <c r="D17" s="13"/>
      <c r="F17" s="14"/>
      <c r="G17" s="4"/>
    </row>
    <row r="18" spans="1:9" ht="15.75" x14ac:dyDescent="0.25">
      <c r="C18" s="22" t="s">
        <v>74</v>
      </c>
      <c r="D18" s="24">
        <f>Mesures!C11</f>
        <v>0</v>
      </c>
      <c r="F18" s="20" t="s">
        <v>79</v>
      </c>
      <c r="G18" s="2">
        <f>Mesures!G10</f>
        <v>0</v>
      </c>
    </row>
    <row r="19" spans="1:9" ht="15.75" x14ac:dyDescent="0.25">
      <c r="C19" s="21" t="s">
        <v>156</v>
      </c>
      <c r="D19" s="23">
        <f>Mesures!C10</f>
        <v>0</v>
      </c>
    </row>
    <row r="20" spans="1:9" ht="15.75" x14ac:dyDescent="0.25">
      <c r="C20" s="14"/>
      <c r="D20" s="13"/>
    </row>
    <row r="21" spans="1:9" ht="15.75" x14ac:dyDescent="0.25">
      <c r="C21" s="14"/>
      <c r="D21" s="13"/>
    </row>
    <row r="28" spans="1:9" ht="36" x14ac:dyDescent="0.55000000000000004">
      <c r="A28" s="115" t="s">
        <v>155</v>
      </c>
      <c r="B28" s="115"/>
    </row>
    <row r="30" spans="1:9" x14ac:dyDescent="0.25">
      <c r="A30" s="114" t="s">
        <v>154</v>
      </c>
      <c r="B30" s="114"/>
      <c r="C30" s="114"/>
      <c r="D30" s="114"/>
      <c r="E30" s="114"/>
      <c r="F30" s="114"/>
      <c r="G30" s="114"/>
      <c r="H30" s="114"/>
      <c r="I30" s="114"/>
    </row>
    <row r="31" spans="1:9" x14ac:dyDescent="0.25">
      <c r="A31" s="114"/>
      <c r="B31" s="114"/>
      <c r="C31" s="114"/>
      <c r="D31" s="114"/>
      <c r="E31" s="114"/>
      <c r="F31" s="114"/>
      <c r="G31" s="114"/>
      <c r="H31" s="114"/>
      <c r="I31" s="114"/>
    </row>
    <row r="32" spans="1:9" x14ac:dyDescent="0.25">
      <c r="A32" s="114"/>
      <c r="B32" s="114"/>
      <c r="C32" s="114"/>
      <c r="D32" s="114"/>
      <c r="E32" s="114"/>
      <c r="F32" s="114"/>
      <c r="G32" s="114"/>
      <c r="H32" s="114"/>
      <c r="I32" s="114"/>
    </row>
    <row r="33" spans="1:9" x14ac:dyDescent="0.25">
      <c r="A33" s="114"/>
      <c r="B33" s="114"/>
      <c r="C33" s="114"/>
      <c r="D33" s="114"/>
      <c r="E33" s="114"/>
      <c r="F33" s="114"/>
      <c r="G33" s="114"/>
      <c r="H33" s="114"/>
      <c r="I33" s="114"/>
    </row>
    <row r="34" spans="1:9" x14ac:dyDescent="0.25">
      <c r="A34" s="114"/>
      <c r="B34" s="114"/>
      <c r="C34" s="114"/>
      <c r="D34" s="114"/>
      <c r="E34" s="114"/>
      <c r="F34" s="114"/>
      <c r="G34" s="114"/>
      <c r="H34" s="114"/>
      <c r="I34" s="114"/>
    </row>
    <row r="35" spans="1:9" x14ac:dyDescent="0.25">
      <c r="A35" s="114"/>
      <c r="B35" s="114"/>
      <c r="C35" s="114"/>
      <c r="D35" s="114"/>
      <c r="E35" s="114"/>
      <c r="F35" s="114"/>
      <c r="G35" s="114"/>
      <c r="H35" s="114"/>
      <c r="I35" s="114"/>
    </row>
    <row r="36" spans="1:9" x14ac:dyDescent="0.25">
      <c r="A36" s="114"/>
      <c r="B36" s="114"/>
      <c r="C36" s="114"/>
      <c r="D36" s="114"/>
      <c r="E36" s="114"/>
      <c r="F36" s="114"/>
      <c r="G36" s="114"/>
      <c r="H36" s="114"/>
      <c r="I36" s="114"/>
    </row>
    <row r="37" spans="1:9" x14ac:dyDescent="0.25">
      <c r="A37" s="114"/>
      <c r="B37" s="114"/>
      <c r="C37" s="114"/>
      <c r="D37" s="114"/>
      <c r="E37" s="114"/>
      <c r="F37" s="114"/>
      <c r="G37" s="114"/>
      <c r="H37" s="114"/>
      <c r="I37" s="114"/>
    </row>
    <row r="38" spans="1:9" x14ac:dyDescent="0.25">
      <c r="A38" s="114"/>
      <c r="B38" s="114"/>
      <c r="C38" s="114"/>
      <c r="D38" s="114"/>
      <c r="E38" s="114"/>
      <c r="F38" s="114"/>
      <c r="G38" s="114"/>
      <c r="H38" s="114"/>
      <c r="I38" s="114"/>
    </row>
    <row r="39" spans="1:9" x14ac:dyDescent="0.25">
      <c r="A39" s="114"/>
      <c r="B39" s="114"/>
      <c r="C39" s="114"/>
      <c r="D39" s="114"/>
      <c r="E39" s="114"/>
      <c r="F39" s="114"/>
      <c r="G39" s="114"/>
      <c r="H39" s="114"/>
      <c r="I39" s="114"/>
    </row>
    <row r="40" spans="1:9" x14ac:dyDescent="0.25">
      <c r="A40" s="114"/>
      <c r="B40" s="114"/>
      <c r="C40" s="114"/>
      <c r="D40" s="114"/>
      <c r="E40" s="114"/>
      <c r="F40" s="114"/>
      <c r="G40" s="114"/>
      <c r="H40" s="114"/>
      <c r="I40" s="114"/>
    </row>
    <row r="41" spans="1:9" x14ac:dyDescent="0.25">
      <c r="A41" s="114"/>
      <c r="B41" s="114"/>
      <c r="C41" s="114"/>
      <c r="D41" s="114"/>
      <c r="E41" s="114"/>
      <c r="F41" s="114"/>
      <c r="G41" s="114"/>
      <c r="H41" s="114"/>
      <c r="I41" s="114"/>
    </row>
    <row r="42" spans="1:9" x14ac:dyDescent="0.25">
      <c r="A42" s="114"/>
      <c r="B42" s="114"/>
      <c r="C42" s="114"/>
      <c r="D42" s="114"/>
      <c r="E42" s="114"/>
      <c r="F42" s="114"/>
      <c r="G42" s="114"/>
      <c r="H42" s="114"/>
      <c r="I42" s="114"/>
    </row>
    <row r="43" spans="1:9" x14ac:dyDescent="0.25">
      <c r="A43" s="114"/>
      <c r="B43" s="114"/>
      <c r="C43" s="114"/>
      <c r="D43" s="114"/>
      <c r="E43" s="114"/>
      <c r="F43" s="114"/>
      <c r="G43" s="114"/>
      <c r="H43" s="114"/>
      <c r="I43" s="114"/>
    </row>
    <row r="44" spans="1:9" x14ac:dyDescent="0.25">
      <c r="A44" s="114"/>
      <c r="B44" s="114"/>
      <c r="C44" s="114"/>
      <c r="D44" s="114"/>
      <c r="E44" s="114"/>
      <c r="F44" s="114"/>
      <c r="G44" s="114"/>
      <c r="H44" s="114"/>
      <c r="I44" s="114"/>
    </row>
    <row r="45" spans="1:9" x14ac:dyDescent="0.25">
      <c r="A45" s="114"/>
      <c r="B45" s="114"/>
      <c r="C45" s="114"/>
      <c r="D45" s="114"/>
      <c r="E45" s="114"/>
      <c r="F45" s="114"/>
      <c r="G45" s="114"/>
      <c r="H45" s="114"/>
      <c r="I45" s="114"/>
    </row>
    <row r="46" spans="1:9" x14ac:dyDescent="0.25">
      <c r="A46" s="114"/>
      <c r="B46" s="114"/>
      <c r="C46" s="114"/>
      <c r="D46" s="114"/>
      <c r="E46" s="114"/>
      <c r="F46" s="114"/>
      <c r="G46" s="114"/>
      <c r="H46" s="114"/>
      <c r="I46" s="114"/>
    </row>
    <row r="47" spans="1:9" x14ac:dyDescent="0.25">
      <c r="A47" s="114"/>
      <c r="B47" s="114"/>
      <c r="C47" s="114"/>
      <c r="D47" s="114"/>
      <c r="E47" s="114"/>
      <c r="F47" s="114"/>
      <c r="G47" s="114"/>
      <c r="H47" s="114"/>
      <c r="I47" s="114"/>
    </row>
    <row r="51" spans="2:8" ht="36" x14ac:dyDescent="0.25">
      <c r="C51" s="117" t="s">
        <v>153</v>
      </c>
      <c r="D51" s="117"/>
      <c r="E51" s="117"/>
      <c r="F51" s="117"/>
    </row>
    <row r="52" spans="2:8" ht="20.25" customHeight="1" x14ac:dyDescent="0.25">
      <c r="B52" s="26"/>
    </row>
    <row r="53" spans="2:8" ht="23.25" x14ac:dyDescent="0.25">
      <c r="B53" s="27" t="s">
        <v>80</v>
      </c>
    </row>
    <row r="55" spans="2:8" ht="21" x14ac:dyDescent="0.25">
      <c r="B55" s="28" t="s">
        <v>81</v>
      </c>
      <c r="E55" s="116" t="s">
        <v>84</v>
      </c>
      <c r="F55" s="116"/>
      <c r="G55" s="116"/>
      <c r="H55" s="16"/>
    </row>
    <row r="56" spans="2:8" ht="21" customHeight="1" x14ac:dyDescent="0.25">
      <c r="B56" s="28" t="s">
        <v>82</v>
      </c>
      <c r="E56" s="116" t="s">
        <v>85</v>
      </c>
      <c r="F56" s="116"/>
      <c r="G56" s="116"/>
      <c r="H56" s="116"/>
    </row>
    <row r="57" spans="2:8" ht="21" x14ac:dyDescent="0.25">
      <c r="B57" s="28" t="s">
        <v>83</v>
      </c>
      <c r="E57" s="116" t="s">
        <v>86</v>
      </c>
      <c r="F57" s="116"/>
      <c r="G57" s="16"/>
      <c r="H57" s="16"/>
    </row>
    <row r="59" spans="2:8" ht="23.25" x14ac:dyDescent="0.25">
      <c r="B59" s="27" t="s">
        <v>87</v>
      </c>
    </row>
    <row r="61" spans="2:8" ht="21" x14ac:dyDescent="0.25">
      <c r="B61" s="116" t="s">
        <v>88</v>
      </c>
      <c r="C61" s="116"/>
      <c r="D61" s="116"/>
      <c r="E61" s="116" t="s">
        <v>90</v>
      </c>
      <c r="F61" s="116"/>
      <c r="G61" s="116"/>
    </row>
    <row r="62" spans="2:8" ht="21" x14ac:dyDescent="0.25">
      <c r="B62" s="116" t="s">
        <v>89</v>
      </c>
      <c r="C62" s="116"/>
      <c r="D62" s="116"/>
    </row>
    <row r="64" spans="2:8" ht="21" x14ac:dyDescent="0.25">
      <c r="B64" s="28" t="s">
        <v>91</v>
      </c>
    </row>
    <row r="66" spans="1:10" ht="21" x14ac:dyDescent="0.25">
      <c r="B66" s="116" t="s">
        <v>92</v>
      </c>
      <c r="C66" s="116"/>
      <c r="D66" s="116"/>
      <c r="E66" s="116" t="s">
        <v>96</v>
      </c>
      <c r="F66" s="116"/>
      <c r="G66" s="116"/>
      <c r="H66" s="116"/>
      <c r="I66" s="116"/>
    </row>
    <row r="67" spans="1:10" ht="23.25" x14ac:dyDescent="0.25">
      <c r="B67" s="116" t="s">
        <v>93</v>
      </c>
      <c r="C67" s="116"/>
      <c r="D67" s="116"/>
      <c r="E67" s="116" t="s">
        <v>97</v>
      </c>
      <c r="F67" s="116"/>
      <c r="G67" s="116"/>
      <c r="H67" s="116"/>
      <c r="I67" s="116"/>
    </row>
    <row r="68" spans="1:10" ht="21" x14ac:dyDescent="0.25">
      <c r="B68" s="116" t="s">
        <v>94</v>
      </c>
      <c r="C68" s="116"/>
      <c r="D68" s="116"/>
      <c r="E68" s="116" t="s">
        <v>98</v>
      </c>
      <c r="F68" s="116"/>
      <c r="G68" s="116"/>
      <c r="H68" s="116"/>
      <c r="I68" s="116"/>
    </row>
    <row r="69" spans="1:10" ht="23.25" x14ac:dyDescent="0.25">
      <c r="B69" s="116" t="s">
        <v>95</v>
      </c>
      <c r="C69" s="116"/>
      <c r="D69" s="116"/>
      <c r="E69" s="116" t="s">
        <v>99</v>
      </c>
      <c r="F69" s="116"/>
      <c r="G69" s="116"/>
      <c r="H69" s="116"/>
      <c r="I69" s="16"/>
    </row>
    <row r="72" spans="1:10" ht="21" customHeight="1" x14ac:dyDescent="0.25">
      <c r="A72" s="122" t="s">
        <v>100</v>
      </c>
      <c r="B72" s="122"/>
      <c r="C72" s="122"/>
      <c r="D72" s="122"/>
      <c r="E72" s="122"/>
      <c r="F72" s="122"/>
      <c r="G72" s="122"/>
      <c r="H72" s="122"/>
      <c r="I72" s="122"/>
      <c r="J72" s="122"/>
    </row>
    <row r="73" spans="1:10" ht="21" customHeight="1" x14ac:dyDescent="0.25">
      <c r="A73" s="122"/>
      <c r="B73" s="122"/>
      <c r="C73" s="122"/>
      <c r="D73" s="122"/>
      <c r="E73" s="122"/>
      <c r="F73" s="122"/>
      <c r="G73" s="122"/>
      <c r="H73" s="122"/>
      <c r="I73" s="122"/>
      <c r="J73" s="122"/>
    </row>
    <row r="74" spans="1:10" ht="15" customHeight="1" x14ac:dyDescent="0.25">
      <c r="A74" s="122"/>
      <c r="B74" s="122"/>
      <c r="C74" s="122"/>
      <c r="D74" s="122"/>
      <c r="E74" s="122"/>
      <c r="F74" s="122"/>
      <c r="G74" s="122"/>
      <c r="H74" s="122"/>
      <c r="I74" s="122"/>
      <c r="J74" s="122"/>
    </row>
    <row r="75" spans="1:10" ht="15" customHeight="1" x14ac:dyDescent="0.25">
      <c r="A75" s="122"/>
      <c r="B75" s="122"/>
      <c r="C75" s="122"/>
      <c r="D75" s="122"/>
      <c r="E75" s="122"/>
      <c r="F75" s="122"/>
      <c r="G75" s="122"/>
      <c r="H75" s="122"/>
      <c r="I75" s="122"/>
      <c r="J75" s="122"/>
    </row>
    <row r="76" spans="1:10" x14ac:dyDescent="0.25">
      <c r="A76" s="122"/>
      <c r="B76" s="122"/>
      <c r="C76" s="122"/>
      <c r="D76" s="122"/>
      <c r="E76" s="122"/>
      <c r="F76" s="122"/>
      <c r="G76" s="122"/>
      <c r="H76" s="122"/>
      <c r="I76" s="122"/>
      <c r="J76" s="122"/>
    </row>
    <row r="77" spans="1:10" x14ac:dyDescent="0.25">
      <c r="A77" s="122"/>
      <c r="B77" s="122"/>
      <c r="C77" s="122"/>
      <c r="D77" s="122"/>
      <c r="E77" s="122"/>
      <c r="F77" s="122"/>
      <c r="G77" s="122"/>
      <c r="H77" s="122"/>
      <c r="I77" s="122"/>
      <c r="J77" s="122"/>
    </row>
    <row r="78" spans="1:10" x14ac:dyDescent="0.25">
      <c r="A78" s="122"/>
      <c r="B78" s="122"/>
      <c r="C78" s="122"/>
      <c r="D78" s="122"/>
      <c r="E78" s="122"/>
      <c r="F78" s="122"/>
      <c r="G78" s="122"/>
      <c r="H78" s="122"/>
      <c r="I78" s="122"/>
      <c r="J78" s="122"/>
    </row>
    <row r="79" spans="1:10" x14ac:dyDescent="0.25">
      <c r="A79" s="122"/>
      <c r="B79" s="122"/>
      <c r="C79" s="122"/>
      <c r="D79" s="122"/>
      <c r="E79" s="122"/>
      <c r="F79" s="122"/>
      <c r="G79" s="122"/>
      <c r="H79" s="122"/>
      <c r="I79" s="122"/>
      <c r="J79" s="122"/>
    </row>
    <row r="80" spans="1:10" x14ac:dyDescent="0.25">
      <c r="A80" s="122"/>
      <c r="B80" s="122"/>
      <c r="C80" s="122"/>
      <c r="D80" s="122"/>
      <c r="E80" s="122"/>
      <c r="F80" s="122"/>
      <c r="G80" s="122"/>
      <c r="H80" s="122"/>
      <c r="I80" s="122"/>
      <c r="J80" s="122"/>
    </row>
    <row r="81" spans="1:10" x14ac:dyDescent="0.25">
      <c r="A81" s="122"/>
      <c r="B81" s="122"/>
      <c r="C81" s="122"/>
      <c r="D81" s="122"/>
      <c r="E81" s="122"/>
      <c r="F81" s="122"/>
      <c r="G81" s="122"/>
      <c r="H81" s="122"/>
      <c r="I81" s="122"/>
      <c r="J81" s="122"/>
    </row>
    <row r="85" spans="1:10" ht="36" x14ac:dyDescent="0.25">
      <c r="C85" s="117" t="s">
        <v>144</v>
      </c>
      <c r="D85" s="117"/>
      <c r="E85" s="117"/>
      <c r="F85" s="117"/>
      <c r="G85" s="117"/>
    </row>
    <row r="87" spans="1:10" ht="26.25" x14ac:dyDescent="0.25">
      <c r="B87" s="52" t="s">
        <v>145</v>
      </c>
    </row>
    <row r="89" spans="1:10" ht="21" x14ac:dyDescent="0.25">
      <c r="B89" s="28" t="s">
        <v>146</v>
      </c>
      <c r="C89" s="28"/>
      <c r="E89" s="28"/>
      <c r="F89" s="28"/>
      <c r="G89" s="28"/>
      <c r="H89" s="16"/>
    </row>
    <row r="90" spans="1:10" ht="21" x14ac:dyDescent="0.25">
      <c r="B90" s="28" t="s">
        <v>147</v>
      </c>
      <c r="C90" s="28"/>
      <c r="E90" s="28"/>
      <c r="F90" s="28"/>
      <c r="G90" s="28"/>
      <c r="H90" s="16"/>
    </row>
    <row r="91" spans="1:10" ht="21" x14ac:dyDescent="0.25">
      <c r="B91" s="28" t="s">
        <v>148</v>
      </c>
      <c r="C91" s="28"/>
      <c r="E91" s="28"/>
      <c r="F91" s="28"/>
      <c r="G91" s="28"/>
      <c r="H91" s="16"/>
    </row>
    <row r="92" spans="1:10" ht="21" x14ac:dyDescent="0.25">
      <c r="B92" s="28" t="s">
        <v>149</v>
      </c>
      <c r="C92" s="28"/>
      <c r="E92" s="28"/>
      <c r="F92" s="28"/>
      <c r="G92" s="28"/>
      <c r="H92" s="16"/>
    </row>
    <row r="93" spans="1:10" ht="21" x14ac:dyDescent="0.25">
      <c r="B93" s="69"/>
      <c r="C93" s="69"/>
      <c r="E93" s="28"/>
      <c r="F93" s="28"/>
      <c r="G93" s="28"/>
      <c r="H93" s="16"/>
    </row>
    <row r="94" spans="1:10" ht="17.25" x14ac:dyDescent="0.25">
      <c r="A94" s="77"/>
      <c r="C94" s="128" t="s">
        <v>157</v>
      </c>
      <c r="D94" s="128"/>
      <c r="E94" s="128"/>
      <c r="F94" s="128"/>
      <c r="G94" s="128"/>
      <c r="H94" s="77"/>
      <c r="I94" s="77"/>
    </row>
    <row r="95" spans="1:10" ht="34.5" x14ac:dyDescent="0.25">
      <c r="A95" s="77"/>
      <c r="B95" s="77"/>
      <c r="C95" s="74"/>
      <c r="D95" s="74" t="s">
        <v>66</v>
      </c>
      <c r="E95" s="75" t="s">
        <v>180</v>
      </c>
      <c r="F95" s="75" t="s">
        <v>158</v>
      </c>
      <c r="G95" s="75" t="s">
        <v>181</v>
      </c>
      <c r="H95" s="78"/>
      <c r="I95" s="78"/>
    </row>
    <row r="96" spans="1:10" ht="17.25" x14ac:dyDescent="0.25">
      <c r="A96" s="77"/>
      <c r="B96" s="77"/>
      <c r="C96" s="74" t="str">
        <f>"Sonde " &amp;Mesures!B23</f>
        <v xml:space="preserve">Sonde </v>
      </c>
      <c r="D96" s="76" cm="1">
        <f t="array" ref="D96:G107">Mesures!C42:F53</f>
        <v>0</v>
      </c>
      <c r="E96" s="76">
        <v>0</v>
      </c>
      <c r="F96" s="76">
        <v>0</v>
      </c>
      <c r="G96" s="76">
        <v>0</v>
      </c>
      <c r="H96" s="77"/>
      <c r="I96" s="77"/>
    </row>
    <row r="97" spans="1:9" ht="17.25" x14ac:dyDescent="0.25">
      <c r="A97" s="77"/>
      <c r="B97" s="77"/>
      <c r="C97" s="74" t="str">
        <f>"Sonde " &amp;Mesures!B24</f>
        <v xml:space="preserve">Sonde </v>
      </c>
      <c r="D97" s="76">
        <v>0</v>
      </c>
      <c r="E97" s="76">
        <v>0</v>
      </c>
      <c r="F97" s="76">
        <v>0</v>
      </c>
      <c r="G97" s="76">
        <v>0</v>
      </c>
      <c r="H97" s="77"/>
      <c r="I97" s="77"/>
    </row>
    <row r="98" spans="1:9" ht="17.25" x14ac:dyDescent="0.25">
      <c r="A98" s="77"/>
      <c r="B98" s="77"/>
      <c r="C98" s="74" t="str">
        <f>"Sonde " &amp;Mesures!B25</f>
        <v xml:space="preserve">Sonde </v>
      </c>
      <c r="D98" s="76">
        <v>0</v>
      </c>
      <c r="E98" s="76">
        <v>0</v>
      </c>
      <c r="F98" s="76">
        <v>0</v>
      </c>
      <c r="G98" s="76">
        <v>0</v>
      </c>
      <c r="H98" s="77"/>
      <c r="I98" s="77"/>
    </row>
    <row r="99" spans="1:9" ht="17.25" x14ac:dyDescent="0.25">
      <c r="A99" s="77"/>
      <c r="B99" s="77"/>
      <c r="C99" s="74" t="str">
        <f>"Sonde " &amp;Mesures!B26</f>
        <v xml:space="preserve">Sonde </v>
      </c>
      <c r="D99" s="76">
        <v>0</v>
      </c>
      <c r="E99" s="76">
        <v>0</v>
      </c>
      <c r="F99" s="76">
        <v>0</v>
      </c>
      <c r="G99" s="76">
        <v>0</v>
      </c>
      <c r="H99" s="77"/>
      <c r="I99" s="77"/>
    </row>
    <row r="100" spans="1:9" ht="17.25" x14ac:dyDescent="0.25">
      <c r="A100" s="77"/>
      <c r="B100" s="77"/>
      <c r="C100" s="74" t="str">
        <f>"Sonde " &amp;Mesures!B27</f>
        <v xml:space="preserve">Sonde </v>
      </c>
      <c r="D100" s="76">
        <v>0</v>
      </c>
      <c r="E100" s="76">
        <v>0</v>
      </c>
      <c r="F100" s="76">
        <v>0</v>
      </c>
      <c r="G100" s="76">
        <v>0</v>
      </c>
      <c r="H100" s="77"/>
      <c r="I100" s="77"/>
    </row>
    <row r="101" spans="1:9" ht="17.25" x14ac:dyDescent="0.25">
      <c r="A101" s="77"/>
      <c r="B101" s="77"/>
      <c r="C101" s="74" t="str">
        <f>"Sonde " &amp;Mesures!B28</f>
        <v xml:space="preserve">Sonde </v>
      </c>
      <c r="D101" s="76">
        <v>0</v>
      </c>
      <c r="E101" s="76">
        <v>0</v>
      </c>
      <c r="F101" s="76">
        <v>0</v>
      </c>
      <c r="G101" s="76">
        <v>0</v>
      </c>
      <c r="H101" s="77"/>
      <c r="I101" s="77"/>
    </row>
    <row r="102" spans="1:9" ht="17.25" x14ac:dyDescent="0.25">
      <c r="A102" s="77"/>
      <c r="B102" s="77"/>
      <c r="C102" s="74" t="str">
        <f>"Sonde " &amp;Mesures!B29</f>
        <v xml:space="preserve">Sonde </v>
      </c>
      <c r="D102" s="76">
        <v>0</v>
      </c>
      <c r="E102" s="76">
        <v>0</v>
      </c>
      <c r="F102" s="76">
        <v>0</v>
      </c>
      <c r="G102" s="76">
        <v>0</v>
      </c>
      <c r="H102" s="77"/>
      <c r="I102" s="77"/>
    </row>
    <row r="103" spans="1:9" ht="17.25" x14ac:dyDescent="0.25">
      <c r="A103" s="77"/>
      <c r="B103" s="77"/>
      <c r="C103" s="74" t="str">
        <f>"Sonde " &amp;Mesures!B30</f>
        <v xml:space="preserve">Sonde </v>
      </c>
      <c r="D103" s="76">
        <v>0</v>
      </c>
      <c r="E103" s="76">
        <v>0</v>
      </c>
      <c r="F103" s="76">
        <v>0</v>
      </c>
      <c r="G103" s="76">
        <v>0</v>
      </c>
      <c r="H103" s="77"/>
      <c r="I103" s="77"/>
    </row>
    <row r="104" spans="1:9" ht="17.25" x14ac:dyDescent="0.25">
      <c r="A104" s="77"/>
      <c r="B104" s="77"/>
      <c r="C104" s="74" t="str">
        <f>"Sonde " &amp;Mesures!B31</f>
        <v xml:space="preserve">Sonde </v>
      </c>
      <c r="D104" s="76">
        <v>0</v>
      </c>
      <c r="E104" s="76">
        <v>0</v>
      </c>
      <c r="F104" s="76">
        <v>0</v>
      </c>
      <c r="G104" s="76">
        <v>0</v>
      </c>
      <c r="H104" s="77"/>
      <c r="I104" s="77"/>
    </row>
    <row r="105" spans="1:9" ht="17.25" x14ac:dyDescent="0.25">
      <c r="A105" s="77"/>
      <c r="B105" s="77"/>
      <c r="C105" s="74" t="str">
        <f>"Sonde " &amp;Mesures!B32</f>
        <v xml:space="preserve">Sonde </v>
      </c>
      <c r="D105" s="76">
        <v>0</v>
      </c>
      <c r="E105" s="76">
        <v>0</v>
      </c>
      <c r="F105" s="76">
        <v>0</v>
      </c>
      <c r="G105" s="76">
        <v>0</v>
      </c>
      <c r="H105" s="77"/>
      <c r="I105" s="77"/>
    </row>
    <row r="106" spans="1:9" ht="17.25" x14ac:dyDescent="0.25">
      <c r="A106" s="77"/>
      <c r="B106" s="77"/>
      <c r="C106" s="74" t="str">
        <f>"Sonde " &amp;Mesures!B33</f>
        <v xml:space="preserve">Sonde </v>
      </c>
      <c r="D106" s="76">
        <v>0</v>
      </c>
      <c r="E106" s="76">
        <v>0</v>
      </c>
      <c r="F106" s="76">
        <v>0</v>
      </c>
      <c r="G106" s="76">
        <v>0</v>
      </c>
      <c r="H106" s="77"/>
      <c r="I106" s="77"/>
    </row>
    <row r="107" spans="1:9" ht="17.25" x14ac:dyDescent="0.25">
      <c r="A107" s="77"/>
      <c r="B107" s="77"/>
      <c r="C107" s="74" t="str">
        <f>"Sonde " &amp;Mesures!B34</f>
        <v xml:space="preserve">Sonde </v>
      </c>
      <c r="D107" s="76">
        <v>0</v>
      </c>
      <c r="E107" s="76">
        <v>0</v>
      </c>
      <c r="F107" s="76">
        <v>0</v>
      </c>
      <c r="G107" s="76">
        <v>0</v>
      </c>
      <c r="H107" s="77"/>
      <c r="I107" s="77"/>
    </row>
    <row r="108" spans="1:9" ht="17.25" x14ac:dyDescent="0.25">
      <c r="A108" s="77"/>
      <c r="B108" s="77"/>
      <c r="C108" s="77"/>
      <c r="D108" s="77"/>
      <c r="E108" s="77"/>
      <c r="F108" s="77"/>
      <c r="G108" s="77"/>
      <c r="H108" s="77"/>
      <c r="I108" s="77"/>
    </row>
    <row r="109" spans="1:9" ht="17.25" x14ac:dyDescent="0.25">
      <c r="A109" s="77"/>
      <c r="B109" s="77"/>
      <c r="C109" s="77"/>
      <c r="D109" s="77"/>
      <c r="E109" s="77"/>
      <c r="F109" s="77"/>
      <c r="G109" s="77"/>
      <c r="H109" s="77"/>
      <c r="I109" s="77"/>
    </row>
    <row r="110" spans="1:9" ht="17.25" x14ac:dyDescent="0.25">
      <c r="A110" s="77"/>
      <c r="B110" s="77"/>
      <c r="C110" s="77"/>
      <c r="D110" s="77"/>
      <c r="E110" s="77"/>
      <c r="F110" s="77"/>
      <c r="G110" s="77"/>
      <c r="H110" s="77"/>
      <c r="I110" s="77"/>
    </row>
    <row r="111" spans="1:9" ht="17.25" x14ac:dyDescent="0.25">
      <c r="A111" s="77"/>
      <c r="B111" s="77"/>
      <c r="C111" s="77"/>
      <c r="D111" s="77"/>
      <c r="E111" s="77"/>
      <c r="F111" s="77"/>
      <c r="G111" s="77"/>
      <c r="H111" s="77"/>
      <c r="I111" s="77"/>
    </row>
    <row r="112" spans="1:9" ht="17.25" x14ac:dyDescent="0.25">
      <c r="A112" s="77"/>
      <c r="B112" s="77"/>
      <c r="C112" s="77"/>
      <c r="D112" s="77"/>
      <c r="E112" s="77"/>
      <c r="F112" s="77"/>
      <c r="G112" s="77"/>
      <c r="H112" s="77"/>
      <c r="I112" s="77"/>
    </row>
    <row r="113" spans="1:9" ht="17.25" x14ac:dyDescent="0.25">
      <c r="A113" s="77"/>
      <c r="B113" s="77"/>
      <c r="C113" s="77"/>
      <c r="D113" s="77"/>
      <c r="E113" s="77"/>
      <c r="F113" s="77"/>
      <c r="G113" s="77"/>
      <c r="H113" s="77"/>
      <c r="I113" s="77"/>
    </row>
    <row r="114" spans="1:9" ht="17.25" x14ac:dyDescent="0.25">
      <c r="A114" s="77"/>
      <c r="B114" s="77"/>
      <c r="C114" s="77"/>
      <c r="D114" s="77"/>
      <c r="E114" s="77"/>
      <c r="F114" s="77"/>
      <c r="G114" s="77"/>
      <c r="H114" s="77"/>
      <c r="I114" s="77"/>
    </row>
    <row r="115" spans="1:9" ht="17.25" x14ac:dyDescent="0.25">
      <c r="A115" s="77"/>
      <c r="B115" s="77"/>
      <c r="C115" s="77"/>
      <c r="D115" s="77"/>
      <c r="E115" s="77"/>
      <c r="F115" s="77"/>
      <c r="G115" s="77"/>
      <c r="H115" s="77"/>
      <c r="I115" s="77"/>
    </row>
    <row r="116" spans="1:9" ht="21" x14ac:dyDescent="0.25">
      <c r="B116" s="129" t="s">
        <v>151</v>
      </c>
      <c r="C116" s="129"/>
      <c r="D116" s="129"/>
      <c r="E116" s="129"/>
      <c r="F116" s="129"/>
    </row>
    <row r="118" spans="1:9" ht="26.25" x14ac:dyDescent="0.25">
      <c r="B118" s="52" t="s">
        <v>150</v>
      </c>
    </row>
    <row r="119" spans="1:9" ht="21" x14ac:dyDescent="0.3">
      <c r="E119" s="28" t="s">
        <v>170</v>
      </c>
      <c r="F119" s="28"/>
      <c r="G119" s="67">
        <f>Mesures!M42</f>
        <v>0</v>
      </c>
    </row>
    <row r="120" spans="1:9" ht="21" x14ac:dyDescent="0.3">
      <c r="B120" s="71" t="s">
        <v>178</v>
      </c>
      <c r="C120" s="28" t="s">
        <v>179</v>
      </c>
      <c r="E120" s="28" t="s">
        <v>171</v>
      </c>
      <c r="F120" s="28"/>
      <c r="G120" s="67">
        <f>Mesures!N42</f>
        <v>0</v>
      </c>
    </row>
    <row r="121" spans="1:9" ht="21" x14ac:dyDescent="0.25">
      <c r="B121" s="71" t="s">
        <v>176</v>
      </c>
      <c r="C121" s="69" t="s">
        <v>177</v>
      </c>
      <c r="E121" s="28" t="s">
        <v>172</v>
      </c>
      <c r="F121" s="28"/>
      <c r="G121" s="68">
        <f>Mesures!O42</f>
        <v>0</v>
      </c>
    </row>
    <row r="122" spans="1:9" ht="21" x14ac:dyDescent="0.35">
      <c r="B122" s="72" t="s">
        <v>174</v>
      </c>
      <c r="C122" s="70" t="s">
        <v>175</v>
      </c>
      <c r="E122" s="28" t="s">
        <v>173</v>
      </c>
      <c r="F122" s="28"/>
      <c r="G122" s="73" t="e">
        <f>"±" &amp;  SUBSTITUTE(ROUND(AVERAGE(Mesures!D23:D34),2),"-"," ") &amp; "°C"</f>
        <v>#DIV/0!</v>
      </c>
    </row>
    <row r="127" spans="1:9" ht="36" x14ac:dyDescent="0.25">
      <c r="C127" s="117" t="s">
        <v>101</v>
      </c>
      <c r="D127" s="117"/>
      <c r="E127" s="117"/>
      <c r="F127" s="117"/>
    </row>
    <row r="128" spans="1:9" ht="36" x14ac:dyDescent="0.25">
      <c r="B128" s="29"/>
      <c r="C128" s="29"/>
      <c r="D128" s="29"/>
    </row>
    <row r="129" spans="2:9" x14ac:dyDescent="0.25">
      <c r="B129" s="110"/>
      <c r="C129" s="110"/>
      <c r="D129" s="110"/>
      <c r="E129" s="110"/>
      <c r="F129" s="110"/>
      <c r="G129" s="110"/>
      <c r="H129" s="110"/>
      <c r="I129" s="110"/>
    </row>
    <row r="130" spans="2:9" x14ac:dyDescent="0.25">
      <c r="B130" s="110"/>
      <c r="C130" s="110"/>
      <c r="D130" s="110"/>
      <c r="E130" s="110"/>
      <c r="F130" s="110"/>
      <c r="G130" s="110"/>
      <c r="H130" s="110"/>
      <c r="I130" s="110"/>
    </row>
    <row r="131" spans="2:9" x14ac:dyDescent="0.25">
      <c r="B131" s="110"/>
      <c r="C131" s="110"/>
      <c r="D131" s="110"/>
      <c r="E131" s="110"/>
      <c r="F131" s="110"/>
      <c r="G131" s="110"/>
      <c r="H131" s="110"/>
      <c r="I131" s="110"/>
    </row>
    <row r="132" spans="2:9" x14ac:dyDescent="0.25">
      <c r="B132" s="110"/>
      <c r="C132" s="110"/>
      <c r="D132" s="110"/>
      <c r="E132" s="110"/>
      <c r="F132" s="110"/>
      <c r="G132" s="110"/>
      <c r="H132" s="110"/>
      <c r="I132" s="110"/>
    </row>
    <row r="133" spans="2:9" x14ac:dyDescent="0.25">
      <c r="B133" s="110"/>
      <c r="C133" s="110"/>
      <c r="D133" s="110"/>
      <c r="E133" s="110"/>
      <c r="F133" s="110"/>
      <c r="G133" s="110"/>
      <c r="H133" s="110"/>
      <c r="I133" s="110"/>
    </row>
    <row r="134" spans="2:9" x14ac:dyDescent="0.25">
      <c r="B134" s="110"/>
      <c r="C134" s="110"/>
      <c r="D134" s="110"/>
      <c r="E134" s="110"/>
      <c r="F134" s="110"/>
      <c r="G134" s="110"/>
      <c r="H134" s="110"/>
      <c r="I134" s="110"/>
    </row>
    <row r="135" spans="2:9" x14ac:dyDescent="0.25">
      <c r="B135" s="110"/>
      <c r="C135" s="110"/>
      <c r="D135" s="110"/>
      <c r="E135" s="110"/>
      <c r="F135" s="110"/>
      <c r="G135" s="110"/>
      <c r="H135" s="110"/>
      <c r="I135" s="110"/>
    </row>
    <row r="136" spans="2:9" x14ac:dyDescent="0.25">
      <c r="B136" s="110"/>
      <c r="C136" s="110"/>
      <c r="D136" s="110"/>
      <c r="E136" s="110"/>
      <c r="F136" s="110"/>
      <c r="G136" s="110"/>
      <c r="H136" s="110"/>
      <c r="I136" s="110"/>
    </row>
    <row r="137" spans="2:9" x14ac:dyDescent="0.25">
      <c r="B137" s="110"/>
      <c r="C137" s="110"/>
      <c r="D137" s="110"/>
      <c r="E137" s="110"/>
      <c r="F137" s="110"/>
      <c r="G137" s="110"/>
      <c r="H137" s="110"/>
      <c r="I137" s="110"/>
    </row>
    <row r="138" spans="2:9" x14ac:dyDescent="0.25">
      <c r="B138" s="110"/>
      <c r="C138" s="110"/>
      <c r="D138" s="110"/>
      <c r="E138" s="110"/>
      <c r="F138" s="110"/>
      <c r="G138" s="110"/>
      <c r="H138" s="110"/>
      <c r="I138" s="110"/>
    </row>
    <row r="139" spans="2:9" x14ac:dyDescent="0.25">
      <c r="B139" s="110"/>
      <c r="C139" s="110"/>
      <c r="D139" s="110"/>
      <c r="E139" s="110"/>
      <c r="F139" s="110"/>
      <c r="G139" s="110"/>
      <c r="H139" s="110"/>
      <c r="I139" s="110"/>
    </row>
    <row r="140" spans="2:9" x14ac:dyDescent="0.25">
      <c r="B140" s="110"/>
      <c r="C140" s="110"/>
      <c r="D140" s="110"/>
      <c r="E140" s="110"/>
      <c r="F140" s="110"/>
      <c r="G140" s="110"/>
      <c r="H140" s="110"/>
      <c r="I140" s="110"/>
    </row>
    <row r="141" spans="2:9" x14ac:dyDescent="0.25">
      <c r="B141" s="110"/>
      <c r="C141" s="110"/>
      <c r="D141" s="110"/>
      <c r="E141" s="110"/>
      <c r="F141" s="110"/>
      <c r="G141" s="110"/>
      <c r="H141" s="110"/>
      <c r="I141" s="110"/>
    </row>
    <row r="142" spans="2:9" x14ac:dyDescent="0.25">
      <c r="B142" s="110"/>
      <c r="C142" s="110"/>
      <c r="D142" s="110"/>
      <c r="E142" s="110"/>
      <c r="F142" s="110"/>
      <c r="G142" s="110"/>
      <c r="H142" s="110"/>
      <c r="I142" s="110"/>
    </row>
    <row r="143" spans="2:9" x14ac:dyDescent="0.25">
      <c r="B143" s="110"/>
      <c r="C143" s="110"/>
      <c r="D143" s="110"/>
      <c r="E143" s="110"/>
      <c r="F143" s="110"/>
      <c r="G143" s="110"/>
      <c r="H143" s="110"/>
      <c r="I143" s="110"/>
    </row>
    <row r="144" spans="2:9" x14ac:dyDescent="0.25">
      <c r="B144" s="110"/>
      <c r="C144" s="110"/>
      <c r="D144" s="110"/>
      <c r="E144" s="110"/>
      <c r="F144" s="110"/>
      <c r="G144" s="110"/>
      <c r="H144" s="110"/>
      <c r="I144" s="110"/>
    </row>
    <row r="163" spans="1:8" ht="36" x14ac:dyDescent="0.25">
      <c r="C163" s="117" t="s">
        <v>102</v>
      </c>
      <c r="D163" s="117"/>
      <c r="E163" s="117"/>
      <c r="F163" s="117"/>
      <c r="G163" s="117"/>
      <c r="H163" s="117"/>
    </row>
    <row r="167" spans="1:8" x14ac:dyDescent="0.25">
      <c r="A167" s="8" t="str" cm="1">
        <f t="array" ref="A167:C179">Positions_TC_Enreg</f>
        <v>Positions</v>
      </c>
      <c r="B167" s="8" t="str">
        <v>Thermocouples</v>
      </c>
      <c r="C167" s="8" t="str">
        <v>N° voie Enregistreur</v>
      </c>
    </row>
    <row r="168" spans="1:8" x14ac:dyDescent="0.25">
      <c r="A168" s="8">
        <v>1</v>
      </c>
      <c r="B168" s="30">
        <v>0</v>
      </c>
      <c r="C168" s="3">
        <v>0</v>
      </c>
    </row>
    <row r="169" spans="1:8" x14ac:dyDescent="0.25">
      <c r="A169" s="8">
        <v>2</v>
      </c>
      <c r="B169" s="30">
        <v>0</v>
      </c>
      <c r="C169" s="3">
        <v>0</v>
      </c>
    </row>
    <row r="170" spans="1:8" x14ac:dyDescent="0.25">
      <c r="A170" s="8">
        <v>3</v>
      </c>
      <c r="B170" s="30">
        <v>0</v>
      </c>
      <c r="C170" s="3">
        <v>0</v>
      </c>
    </row>
    <row r="171" spans="1:8" x14ac:dyDescent="0.25">
      <c r="A171" s="8">
        <v>4</v>
      </c>
      <c r="B171" s="30">
        <v>0</v>
      </c>
      <c r="C171" s="3">
        <v>0</v>
      </c>
    </row>
    <row r="172" spans="1:8" x14ac:dyDescent="0.25">
      <c r="A172" s="8">
        <v>5</v>
      </c>
      <c r="B172" s="30">
        <v>0</v>
      </c>
      <c r="C172" s="3">
        <v>0</v>
      </c>
    </row>
    <row r="173" spans="1:8" x14ac:dyDescent="0.25">
      <c r="A173" s="8">
        <v>6</v>
      </c>
      <c r="B173" s="30">
        <v>0</v>
      </c>
      <c r="C173" s="3">
        <v>0</v>
      </c>
    </row>
    <row r="174" spans="1:8" x14ac:dyDescent="0.25">
      <c r="A174" s="8">
        <v>7</v>
      </c>
      <c r="B174" s="30">
        <v>0</v>
      </c>
      <c r="C174" s="3">
        <v>0</v>
      </c>
    </row>
    <row r="175" spans="1:8" x14ac:dyDescent="0.25">
      <c r="A175" s="8">
        <v>8</v>
      </c>
      <c r="B175" s="30">
        <v>0</v>
      </c>
      <c r="C175" s="3">
        <v>0</v>
      </c>
    </row>
    <row r="176" spans="1:8" x14ac:dyDescent="0.25">
      <c r="A176" s="8">
        <v>9</v>
      </c>
      <c r="B176" s="30">
        <v>0</v>
      </c>
      <c r="C176" s="3">
        <v>0</v>
      </c>
    </row>
    <row r="177" spans="1:3" x14ac:dyDescent="0.25">
      <c r="A177" s="8">
        <v>10</v>
      </c>
      <c r="B177" s="30">
        <v>0</v>
      </c>
      <c r="C177" s="3">
        <v>0</v>
      </c>
    </row>
    <row r="178" spans="1:3" x14ac:dyDescent="0.25">
      <c r="A178" s="8">
        <v>11</v>
      </c>
      <c r="B178" s="30">
        <v>0</v>
      </c>
      <c r="C178" s="3">
        <v>0</v>
      </c>
    </row>
    <row r="179" spans="1:3" x14ac:dyDescent="0.25">
      <c r="A179" s="8">
        <v>12</v>
      </c>
      <c r="B179" s="30">
        <v>0</v>
      </c>
      <c r="C179" s="3">
        <v>0</v>
      </c>
    </row>
    <row r="196" spans="1:9" ht="36" x14ac:dyDescent="0.25">
      <c r="C196" s="117" t="s">
        <v>103</v>
      </c>
      <c r="D196" s="117"/>
      <c r="E196" s="117"/>
      <c r="F196" s="117"/>
      <c r="G196" s="117"/>
      <c r="H196" s="117"/>
    </row>
    <row r="200" spans="1:9" x14ac:dyDescent="0.25">
      <c r="A200" s="8" t="str" cm="1">
        <f t="array" ref="A200:B201">Consigne_tolerance</f>
        <v>Consignes</v>
      </c>
      <c r="B200" s="3">
        <v>0</v>
      </c>
      <c r="G200" s="119" t="s">
        <v>104</v>
      </c>
      <c r="H200" s="120"/>
      <c r="I200" s="121"/>
    </row>
    <row r="201" spans="1:9" x14ac:dyDescent="0.25">
      <c r="A201" s="8" t="str">
        <v>Tolérances +/-</v>
      </c>
      <c r="B201" s="3">
        <v>0</v>
      </c>
      <c r="G201" s="32" t="s">
        <v>105</v>
      </c>
      <c r="H201" s="32" t="s">
        <v>106</v>
      </c>
      <c r="I201" s="32" t="s">
        <v>107</v>
      </c>
    </row>
    <row r="202" spans="1:9" x14ac:dyDescent="0.25">
      <c r="G202" s="40" t="e" cm="1">
        <f t="array" ref="G202">INDEX(Valeurs_Brutes[Date/Heure], COUNTA(Valeurs_Brutes[Date/Heure])-30)</f>
        <v>#VALUE!</v>
      </c>
      <c r="H202" s="40" cm="1">
        <f t="array" ref="H202">INDEX(Valeurs_Brutes[Date/Heure], COUNTA(Valeurs_Brutes[Date/Heure]))</f>
        <v>0</v>
      </c>
      <c r="I202" s="40" t="e">
        <f>H202-G202</f>
        <v>#VALUE!</v>
      </c>
    </row>
    <row r="205" spans="1:9" ht="23.25" x14ac:dyDescent="0.25">
      <c r="B205" s="127" t="s">
        <v>108</v>
      </c>
      <c r="C205" s="127"/>
    </row>
    <row r="208" spans="1:9" ht="30" x14ac:dyDescent="0.25">
      <c r="B208" s="31" t="s">
        <v>109</v>
      </c>
      <c r="C208" s="48" t="s">
        <v>110</v>
      </c>
      <c r="D208" s="48" t="s">
        <v>112</v>
      </c>
      <c r="E208" s="49" t="s">
        <v>128</v>
      </c>
      <c r="F208" s="48" t="s">
        <v>111</v>
      </c>
    </row>
    <row r="209" spans="1:6" x14ac:dyDescent="0.25">
      <c r="B209" s="41" t="s">
        <v>113</v>
      </c>
      <c r="C209" s="42" t="str">
        <f>Mesures!B19 &amp; "°C"</f>
        <v>°C</v>
      </c>
      <c r="D209" s="42" t="s">
        <v>120</v>
      </c>
      <c r="E209" s="42" t="s">
        <v>120</v>
      </c>
      <c r="F209" s="47" t="s">
        <v>120</v>
      </c>
    </row>
    <row r="210" spans="1:6" x14ac:dyDescent="0.25">
      <c r="B210" s="41" t="s">
        <v>114</v>
      </c>
      <c r="C210" s="42" t="str">
        <f>Mesures!B19 &amp; "°C"</f>
        <v>°C</v>
      </c>
      <c r="D210" s="42" t="s">
        <v>120</v>
      </c>
      <c r="E210" s="42" t="s">
        <v>120</v>
      </c>
      <c r="F210" s="47" t="s">
        <v>120</v>
      </c>
    </row>
    <row r="211" spans="1:6" ht="15" customHeight="1" x14ac:dyDescent="0.25">
      <c r="A211" s="118" t="s">
        <v>116</v>
      </c>
      <c r="B211" s="41" t="s">
        <v>115</v>
      </c>
      <c r="C211" s="42" t="e">
        <f ca="1">MAX('-30°C'!C17:N17)</f>
        <v>#REF!</v>
      </c>
      <c r="D211" s="42" t="e">
        <f ca="1">_xlfn.XLOOKUP(INT(SUBSTITUTE(E211,"Connecteur ","")),Mesures!C23:C34,Mesures!A23:A34)</f>
        <v>#REF!</v>
      </c>
      <c r="E211" s="42" t="e" cm="1">
        <f t="array" aca="1" ref="E211" ca="1">_xlfn.XLOOKUP(MAX('-30°C'!C17:N17),'-30°C'!C17:N17,_xlfn.ANCHORARRAY('-30°C'!C15))</f>
        <v>#REF!</v>
      </c>
      <c r="F211" s="42" t="e">
        <f ca="1">_xlfn.XLOOKUP(INT(SUBSTITUTE(E211,"Connecteur ","")),Mesures!C23:C34,Mesures!B23:B34)</f>
        <v>#REF!</v>
      </c>
    </row>
    <row r="212" spans="1:6" x14ac:dyDescent="0.25">
      <c r="A212" s="118"/>
      <c r="B212" s="41" t="s">
        <v>117</v>
      </c>
      <c r="C212" s="42" t="e">
        <f ca="1">MIN('-30°C'!C17:N17)</f>
        <v>#REF!</v>
      </c>
      <c r="D212" s="42" t="e">
        <f ca="1">_xlfn.XLOOKUP(INT(SUBSTITUTE(E212,"Connecteur ","")),Mesures!C23:C34,Mesures!A23:A34)</f>
        <v>#REF!</v>
      </c>
      <c r="E212" s="42" t="e" cm="1">
        <f t="array" aca="1" ref="E212" ca="1">_xlfn.XLOOKUP(MIN('-30°C'!C17:N17),'-30°C'!C17:N17,_xlfn.ANCHORARRAY('-30°C'!C15))</f>
        <v>#REF!</v>
      </c>
      <c r="F212" s="47" t="e">
        <f ca="1">_xlfn.XLOOKUP(INT(SUBSTITUTE(E212,"Connecteur ","")),Mesures!C23:C34,Mesures!B23:B34)</f>
        <v>#REF!</v>
      </c>
    </row>
    <row r="213" spans="1:6" ht="34.5" customHeight="1" x14ac:dyDescent="0.25">
      <c r="A213" s="118"/>
      <c r="B213" s="41" t="s">
        <v>118</v>
      </c>
      <c r="C213" s="42" t="e">
        <f ca="1">MIN('-30°C'!C18:N18)</f>
        <v>#REF!</v>
      </c>
      <c r="D213" s="42" t="e">
        <f ca="1">_xlfn.XLOOKUP(INT(SUBSTITUTE(E213,"Connecteur ","")),Mesures!C23:C34,Mesures!A23:A34)</f>
        <v>#REF!</v>
      </c>
      <c r="E213" s="42" t="e" cm="1">
        <f t="array" aca="1" ref="E213" ca="1">_xlfn.XLOOKUP(MIN('-30°C'!C18:N18),'-30°C'!C18:N18,_xlfn.ANCHORARRAY('-30°C'!C15))</f>
        <v>#REF!</v>
      </c>
      <c r="F213" s="47" t="e">
        <f ca="1">_xlfn.XLOOKUP(INT(SUBSTITUTE(E213,"Connecteur ","")),Mesures!C23:C34,Mesures!B23:B34)</f>
        <v>#REF!</v>
      </c>
    </row>
    <row r="214" spans="1:6" x14ac:dyDescent="0.25">
      <c r="A214" s="118"/>
      <c r="B214" s="41" t="s">
        <v>119</v>
      </c>
      <c r="C214" s="43" t="e">
        <f ca="1">AVERAGE('-30°C'!C22:O22)</f>
        <v>#REF!</v>
      </c>
      <c r="D214" s="42" t="s">
        <v>120</v>
      </c>
      <c r="E214" s="42" t="s">
        <v>120</v>
      </c>
      <c r="F214" s="47" t="s">
        <v>120</v>
      </c>
    </row>
    <row r="215" spans="1:6" x14ac:dyDescent="0.25">
      <c r="C215" s="15"/>
      <c r="D215" s="15"/>
      <c r="E215" s="15"/>
      <c r="F215" s="15"/>
    </row>
    <row r="226" spans="2:9" ht="36" x14ac:dyDescent="0.25">
      <c r="B226" s="117" t="s">
        <v>121</v>
      </c>
      <c r="C226" s="117"/>
      <c r="D226" s="117"/>
      <c r="E226" s="117"/>
      <c r="F226" s="117"/>
    </row>
    <row r="229" spans="2:9" x14ac:dyDescent="0.25">
      <c r="B229" s="110" t="s">
        <v>122</v>
      </c>
      <c r="C229" s="110"/>
    </row>
    <row r="232" spans="2:9" x14ac:dyDescent="0.25">
      <c r="C232" s="4"/>
      <c r="D232" s="4"/>
      <c r="E232" s="4"/>
      <c r="F232" s="124" t="s">
        <v>104</v>
      </c>
      <c r="G232" s="126"/>
      <c r="H232" s="126"/>
      <c r="I232" s="125"/>
    </row>
    <row r="233" spans="2:9" ht="30" x14ac:dyDescent="0.25">
      <c r="C233" s="34" t="s">
        <v>2</v>
      </c>
      <c r="D233" s="34" t="s">
        <v>1</v>
      </c>
      <c r="E233" s="46" t="s">
        <v>123</v>
      </c>
      <c r="F233" s="34" t="s">
        <v>124</v>
      </c>
      <c r="G233" s="34" t="s">
        <v>125</v>
      </c>
      <c r="H233" s="34" t="s">
        <v>126</v>
      </c>
      <c r="I233" s="34" t="s">
        <v>127</v>
      </c>
    </row>
    <row r="234" spans="2:9" x14ac:dyDescent="0.25">
      <c r="C234" s="38" cm="1">
        <f t="array" ref="C234:E245">Mesures!A23:C34</f>
        <v>1</v>
      </c>
      <c r="D234" s="38">
        <v>0</v>
      </c>
      <c r="E234" s="38">
        <v>0</v>
      </c>
      <c r="F234" s="51" t="e" cm="1">
        <f t="array" ref="F234">_xlfn.XLOOKUP(SUBSTITUTE(PV!E234,PV!E234,"Connecteur " &amp; PV!E234),_xlfn.ANCHORARRAY('-30°C'!C15),'-30°C'!C18:N18)</f>
        <v>#N/A</v>
      </c>
      <c r="G234" s="51" t="e" cm="1">
        <f t="array" ref="G234">_xlfn.XLOOKUP(SUBSTITUTE(PV!E234,PV!E234,"Connecteur " &amp; PV!E234),_xlfn.ANCHORARRAY('-30°C'!C15),'-30°C'!C17:N17)</f>
        <v>#N/A</v>
      </c>
      <c r="H234" s="51" t="e" cm="1">
        <f t="array" ref="H234">_xlfn.XLOOKUP(SUBSTITUTE(PV!E235,PV!E235,"Connecteur " &amp; PV!E235),_xlfn.ANCHORARRAY('-30°C'!C15),'-30°C'!C19:N19)</f>
        <v>#N/A</v>
      </c>
      <c r="I234" s="51" t="e" cm="1">
        <f t="array" ref="I234">_xlfn.XLOOKUP(SUBSTITUTE(PV!E234,PV!E234,"Connecteur " &amp; PV!E234),_xlfn.ANCHORARRAY('-30°C'!C15),'-30°C'!C20:N20)</f>
        <v>#N/A</v>
      </c>
    </row>
    <row r="235" spans="2:9" x14ac:dyDescent="0.25">
      <c r="C235" s="38">
        <v>2</v>
      </c>
      <c r="D235" s="38">
        <v>0</v>
      </c>
      <c r="E235" s="38">
        <v>0</v>
      </c>
      <c r="F235" s="51" t="e" cm="1">
        <f t="array" ref="F235">_xlfn.XLOOKUP(SUBSTITUTE(PV!E235,PV!E235,"Connecteur " &amp; PV!E235),_xlfn.ANCHORARRAY('-30°C'!C15),'-30°C'!C18:N18)</f>
        <v>#N/A</v>
      </c>
      <c r="G235" s="51" t="e" cm="1">
        <f t="array" ref="G235">_xlfn.XLOOKUP(SUBSTITUTE(PV!E235,PV!E235,"Connecteur " &amp; PV!E235),_xlfn.ANCHORARRAY('-30°C'!C15),'-30°C'!C17:N17)</f>
        <v>#N/A</v>
      </c>
      <c r="H235" s="51" t="e" cm="1">
        <f t="array" ref="H235">_xlfn.XLOOKUP(SUBSTITUTE(PV!E236,PV!E236,"Connecteur " &amp; PV!E236),_xlfn.ANCHORARRAY('-30°C'!C15),'-30°C'!C19:N19)</f>
        <v>#N/A</v>
      </c>
      <c r="I235" s="51" t="e" cm="1">
        <f t="array" ref="I235">_xlfn.XLOOKUP(SUBSTITUTE(PV!E235,PV!E235,"Connecteur " &amp; PV!E235),_xlfn.ANCHORARRAY('-30°C'!C15),'-30°C'!C20:N20)</f>
        <v>#N/A</v>
      </c>
    </row>
    <row r="236" spans="2:9" x14ac:dyDescent="0.25">
      <c r="C236" s="38">
        <v>3</v>
      </c>
      <c r="D236" s="38">
        <v>0</v>
      </c>
      <c r="E236" s="38">
        <v>0</v>
      </c>
      <c r="F236" s="51" t="e" cm="1">
        <f t="array" ref="F236">_xlfn.XLOOKUP(SUBSTITUTE(PV!E236,PV!E236,"Connecteur " &amp; PV!E236),_xlfn.ANCHORARRAY('-30°C'!C15),'-30°C'!C18:N18)</f>
        <v>#N/A</v>
      </c>
      <c r="G236" s="51" t="e" cm="1">
        <f t="array" ref="G236">_xlfn.XLOOKUP(SUBSTITUTE(PV!E236,PV!E236,"Connecteur " &amp; PV!E236),_xlfn.ANCHORARRAY('-30°C'!C15),'-30°C'!C17:N17)</f>
        <v>#N/A</v>
      </c>
      <c r="H236" s="51" t="e" cm="1">
        <f t="array" ref="H236">_xlfn.XLOOKUP(SUBSTITUTE(PV!E237,PV!E237,"Connecteur " &amp; PV!E237),_xlfn.ANCHORARRAY('-30°C'!C15),'-30°C'!C19:N19)</f>
        <v>#N/A</v>
      </c>
      <c r="I236" s="51" t="e" cm="1">
        <f t="array" ref="I236">_xlfn.XLOOKUP(SUBSTITUTE(PV!E236,PV!E236,"Connecteur " &amp; PV!E236),_xlfn.ANCHORARRAY('-30°C'!C15),'-30°C'!C20:N20)</f>
        <v>#N/A</v>
      </c>
    </row>
    <row r="237" spans="2:9" x14ac:dyDescent="0.25">
      <c r="C237" s="38">
        <v>4</v>
      </c>
      <c r="D237" s="38">
        <v>0</v>
      </c>
      <c r="E237" s="38">
        <v>0</v>
      </c>
      <c r="F237" s="51" t="e" cm="1">
        <f t="array" ref="F237">_xlfn.XLOOKUP(SUBSTITUTE(PV!E237,PV!E237,"Connecteur " &amp; PV!E237),_xlfn.ANCHORARRAY('-30°C'!C15),'-30°C'!C18:N18)</f>
        <v>#N/A</v>
      </c>
      <c r="G237" s="51" t="e" cm="1">
        <f t="array" ref="G237">_xlfn.XLOOKUP(SUBSTITUTE(PV!E237,PV!E237,"Connecteur " &amp; PV!E237),_xlfn.ANCHORARRAY('-30°C'!C15),'-30°C'!C17:N17)</f>
        <v>#N/A</v>
      </c>
      <c r="H237" s="51" t="e" cm="1">
        <f t="array" ref="H237">_xlfn.XLOOKUP(SUBSTITUTE(PV!E238,PV!E238,"Connecteur " &amp; PV!E238),_xlfn.ANCHORARRAY('-30°C'!C15),'-30°C'!C19:N19)</f>
        <v>#N/A</v>
      </c>
      <c r="I237" s="51" t="e" cm="1">
        <f t="array" ref="I237">_xlfn.XLOOKUP(SUBSTITUTE(PV!E237,PV!E237,"Connecteur " &amp; PV!E237),_xlfn.ANCHORARRAY('-30°C'!C15),'-30°C'!C20:N20)</f>
        <v>#N/A</v>
      </c>
    </row>
    <row r="238" spans="2:9" x14ac:dyDescent="0.25">
      <c r="C238" s="38">
        <v>5</v>
      </c>
      <c r="D238" s="38">
        <v>0</v>
      </c>
      <c r="E238" s="38">
        <v>0</v>
      </c>
      <c r="F238" s="51" t="e" cm="1">
        <f t="array" ref="F238">_xlfn.XLOOKUP(SUBSTITUTE(PV!E238,PV!E238,"Connecteur " &amp; PV!E238),_xlfn.ANCHORARRAY('-30°C'!C15),'-30°C'!C18:N18)</f>
        <v>#N/A</v>
      </c>
      <c r="G238" s="51" t="e" cm="1">
        <f t="array" ref="G238">_xlfn.XLOOKUP(SUBSTITUTE(PV!E238,PV!E238,"Connecteur " &amp; PV!E238),_xlfn.ANCHORARRAY('-30°C'!C15),'-30°C'!C17:N17)</f>
        <v>#N/A</v>
      </c>
      <c r="H238" s="51" t="e" cm="1">
        <f t="array" ref="H238">_xlfn.XLOOKUP(SUBSTITUTE(PV!E239,PV!E239,"Connecteur " &amp; PV!E239),_xlfn.ANCHORARRAY('-30°C'!C15),'-30°C'!C19:N19)</f>
        <v>#N/A</v>
      </c>
      <c r="I238" s="51" t="e" cm="1">
        <f t="array" ref="I238">_xlfn.XLOOKUP(SUBSTITUTE(PV!E238,PV!E238,"Connecteur " &amp; PV!E238),_xlfn.ANCHORARRAY('-30°C'!C15),'-30°C'!C20:N20)</f>
        <v>#N/A</v>
      </c>
    </row>
    <row r="239" spans="2:9" x14ac:dyDescent="0.25">
      <c r="C239" s="38">
        <v>6</v>
      </c>
      <c r="D239" s="38">
        <v>0</v>
      </c>
      <c r="E239" s="38">
        <v>0</v>
      </c>
      <c r="F239" s="51" t="e" cm="1">
        <f t="array" ref="F239">_xlfn.XLOOKUP(SUBSTITUTE(PV!E239,PV!E239,"Connecteur " &amp; PV!E239),_xlfn.ANCHORARRAY('-30°C'!C15),'-30°C'!C18:N18)</f>
        <v>#N/A</v>
      </c>
      <c r="G239" s="51" t="e" cm="1">
        <f t="array" ref="G239">_xlfn.XLOOKUP(SUBSTITUTE(PV!E239,PV!E239,"Connecteur " &amp; PV!E239),_xlfn.ANCHORARRAY('-30°C'!C15),'-30°C'!C17:N17)</f>
        <v>#N/A</v>
      </c>
      <c r="H239" s="51" t="e" cm="1">
        <f t="array" ref="H239">_xlfn.XLOOKUP(SUBSTITUTE(PV!E239,PV!E239,"Connecteur " &amp; PV!E239),_xlfn.ANCHORARRAY('-30°C'!C15),'-30°C'!C19:N19)</f>
        <v>#N/A</v>
      </c>
      <c r="I239" s="51" t="e" cm="1">
        <f t="array" ref="I239">_xlfn.XLOOKUP(SUBSTITUTE(PV!E239,PV!E239,"Connecteur " &amp; PV!E239),_xlfn.ANCHORARRAY('-30°C'!C15),'-30°C'!C20:N20)</f>
        <v>#N/A</v>
      </c>
    </row>
    <row r="240" spans="2:9" x14ac:dyDescent="0.25">
      <c r="C240" s="38">
        <v>7</v>
      </c>
      <c r="D240" s="38">
        <v>0</v>
      </c>
      <c r="E240" s="38">
        <v>0</v>
      </c>
      <c r="F240" s="51" t="e" cm="1">
        <f t="array" ref="F240">_xlfn.XLOOKUP(SUBSTITUTE(PV!E240,PV!E240,"Connecteur " &amp; PV!E240),_xlfn.ANCHORARRAY('-30°C'!C15),'-30°C'!C18:N18)</f>
        <v>#N/A</v>
      </c>
      <c r="G240" s="51" t="e" cm="1">
        <f t="array" ref="G240">_xlfn.XLOOKUP(SUBSTITUTE(PV!E240,PV!E240,"Connecteur " &amp; PV!E240),_xlfn.ANCHORARRAY('-30°C'!C15),'-30°C'!C17:N17)</f>
        <v>#N/A</v>
      </c>
      <c r="H240" s="51" t="e" cm="1">
        <f t="array" ref="H240">_xlfn.XLOOKUP(SUBSTITUTE(PV!E240,PV!E240,"Connecteur " &amp; PV!E240),_xlfn.ANCHORARRAY('-30°C'!C15),'-30°C'!C19:N19)</f>
        <v>#N/A</v>
      </c>
      <c r="I240" s="51" t="e" cm="1">
        <f t="array" ref="I240">_xlfn.XLOOKUP(SUBSTITUTE(PV!E240,PV!E240,"Connecteur " &amp; PV!E240),_xlfn.ANCHORARRAY('-30°C'!C15),'-30°C'!C20:N20)</f>
        <v>#N/A</v>
      </c>
    </row>
    <row r="241" spans="2:9" x14ac:dyDescent="0.25">
      <c r="C241" s="38">
        <v>8</v>
      </c>
      <c r="D241" s="38">
        <v>0</v>
      </c>
      <c r="E241" s="38">
        <v>0</v>
      </c>
      <c r="F241" s="51" t="e" cm="1">
        <f t="array" ref="F241">_xlfn.XLOOKUP(SUBSTITUTE(PV!E241,PV!E241,"Connecteur " &amp; PV!E241),_xlfn.ANCHORARRAY('-30°C'!C15),'-30°C'!C18:N18)</f>
        <v>#N/A</v>
      </c>
      <c r="G241" s="51" t="e" cm="1">
        <f t="array" ref="G241">_xlfn.XLOOKUP(SUBSTITUTE(PV!E241,PV!E241,"Connecteur " &amp; PV!E241),_xlfn.ANCHORARRAY('-30°C'!C15),'-30°C'!C17:N17)</f>
        <v>#N/A</v>
      </c>
      <c r="H241" s="51" t="e" cm="1">
        <f t="array" ref="H241">_xlfn.XLOOKUP(SUBSTITUTE(PV!E241,PV!E241,"Connecteur " &amp; PV!E241),_xlfn.ANCHORARRAY('-30°C'!C15),'-30°C'!C19:N19)</f>
        <v>#N/A</v>
      </c>
      <c r="I241" s="51" t="e" cm="1">
        <f t="array" ref="I241">_xlfn.XLOOKUP(SUBSTITUTE(PV!E241,PV!E241,"Connecteur " &amp; PV!E241),_xlfn.ANCHORARRAY('-30°C'!C15),'-30°C'!C20:N20)</f>
        <v>#N/A</v>
      </c>
    </row>
    <row r="242" spans="2:9" x14ac:dyDescent="0.25">
      <c r="C242" s="38">
        <v>9</v>
      </c>
      <c r="D242" s="38">
        <v>0</v>
      </c>
      <c r="E242" s="38">
        <v>0</v>
      </c>
      <c r="F242" s="51" t="e" cm="1">
        <f t="array" ref="F242">_xlfn.XLOOKUP(SUBSTITUTE(PV!E242,PV!E242,"Connecteur " &amp; PV!E242),_xlfn.ANCHORARRAY('-30°C'!C15),'-30°C'!C18:N18)</f>
        <v>#N/A</v>
      </c>
      <c r="G242" s="51" t="e" cm="1">
        <f t="array" ref="G242">_xlfn.XLOOKUP(SUBSTITUTE(PV!E242,PV!E242,"Connecteur " &amp; PV!E242),_xlfn.ANCHORARRAY('-30°C'!C15),'-30°C'!C17:N17)</f>
        <v>#N/A</v>
      </c>
      <c r="H242" s="51" t="e" cm="1">
        <f t="array" ref="H242">_xlfn.XLOOKUP(SUBSTITUTE(PV!E242,PV!E242,"Connecteur " &amp; PV!E242),_xlfn.ANCHORARRAY('-30°C'!C15),'-30°C'!C19:N19)</f>
        <v>#N/A</v>
      </c>
      <c r="I242" s="51" t="e" cm="1">
        <f t="array" ref="I242">_xlfn.XLOOKUP(SUBSTITUTE(PV!E242,PV!E242,"Connecteur " &amp; PV!E242),_xlfn.ANCHORARRAY('-30°C'!C15),'-30°C'!C20:N20)</f>
        <v>#N/A</v>
      </c>
    </row>
    <row r="243" spans="2:9" x14ac:dyDescent="0.25">
      <c r="C243" s="38">
        <v>10</v>
      </c>
      <c r="D243" s="38">
        <v>0</v>
      </c>
      <c r="E243" s="38">
        <v>0</v>
      </c>
      <c r="F243" s="51" t="e" cm="1">
        <f t="array" ref="F243">_xlfn.XLOOKUP(SUBSTITUTE(PV!E243,PV!E243,"Connecteur " &amp; PV!E243),_xlfn.ANCHORARRAY('-30°C'!C15),'-30°C'!C18:N18)</f>
        <v>#N/A</v>
      </c>
      <c r="G243" s="51" t="e" cm="1">
        <f t="array" ref="G243">_xlfn.XLOOKUP(SUBSTITUTE(PV!E243,PV!E243,"Connecteur " &amp; PV!E243),_xlfn.ANCHORARRAY('-30°C'!C15),'-30°C'!C17:N17)</f>
        <v>#N/A</v>
      </c>
      <c r="H243" s="51" t="e" cm="1">
        <f t="array" ref="H243">_xlfn.XLOOKUP(SUBSTITUTE(PV!E243,PV!E243,"Connecteur " &amp; PV!E243),_xlfn.ANCHORARRAY('-30°C'!C15),'-30°C'!C19:N19)</f>
        <v>#N/A</v>
      </c>
      <c r="I243" s="51" t="e" cm="1">
        <f t="array" ref="I243">_xlfn.XLOOKUP(SUBSTITUTE(PV!E243,PV!E243,"Connecteur " &amp; PV!E243),_xlfn.ANCHORARRAY('-30°C'!C15),'-30°C'!C20:N20)</f>
        <v>#N/A</v>
      </c>
    </row>
    <row r="244" spans="2:9" x14ac:dyDescent="0.25">
      <c r="C244" s="38">
        <v>11</v>
      </c>
      <c r="D244" s="38">
        <v>0</v>
      </c>
      <c r="E244" s="38">
        <v>0</v>
      </c>
      <c r="F244" s="51" t="e" cm="1">
        <f t="array" ref="F244">_xlfn.XLOOKUP(SUBSTITUTE(PV!E244,PV!E244,"Connecteur " &amp; PV!E244),_xlfn.ANCHORARRAY('-30°C'!C15),'-30°C'!C18:N18)</f>
        <v>#N/A</v>
      </c>
      <c r="G244" s="51" t="e" cm="1">
        <f t="array" ref="G244">_xlfn.XLOOKUP(SUBSTITUTE(PV!E244,PV!E244,"Connecteur " &amp; PV!E244),_xlfn.ANCHORARRAY('-30°C'!C15),'-30°C'!C17:N17)</f>
        <v>#N/A</v>
      </c>
      <c r="H244" s="51" t="e" cm="1">
        <f t="array" ref="H244">_xlfn.XLOOKUP(SUBSTITUTE(PV!E244,PV!E244,"Connecteur " &amp; PV!E244),_xlfn.ANCHORARRAY('-30°C'!C15),'-30°C'!C19:N19)</f>
        <v>#N/A</v>
      </c>
      <c r="I244" s="51" t="e" cm="1">
        <f t="array" ref="I244">_xlfn.XLOOKUP(SUBSTITUTE(PV!E244,PV!E244,"Connecteur " &amp; PV!E244),_xlfn.ANCHORARRAY('-30°C'!C15),'-30°C'!C20:N20)</f>
        <v>#N/A</v>
      </c>
    </row>
    <row r="245" spans="2:9" x14ac:dyDescent="0.25">
      <c r="C245" s="38">
        <v>12</v>
      </c>
      <c r="D245" s="38">
        <v>0</v>
      </c>
      <c r="E245" s="38">
        <v>0</v>
      </c>
      <c r="F245" s="51" t="e" cm="1">
        <f t="array" ref="F245">_xlfn.XLOOKUP(SUBSTITUTE(PV!E245,PV!E245,"Connecteur " &amp; PV!E245),_xlfn.ANCHORARRAY('-30°C'!C15),'-30°C'!C18:N18)</f>
        <v>#N/A</v>
      </c>
      <c r="G245" s="51" t="e" cm="1">
        <f t="array" ref="G245">_xlfn.XLOOKUP(SUBSTITUTE(PV!E245,PV!E245,"Connecteur " &amp; PV!E245),_xlfn.ANCHORARRAY('-30°C'!C15),'-30°C'!C17:N17)</f>
        <v>#N/A</v>
      </c>
      <c r="H245" s="51" t="e" cm="1">
        <f t="array" ref="H245">_xlfn.XLOOKUP(SUBSTITUTE(PV!E245,PV!E245,"Connecteur " &amp; PV!E245),_xlfn.ANCHORARRAY('-30°C'!C15),'-30°C'!C19:N19)</f>
        <v>#N/A</v>
      </c>
      <c r="I245" s="51" t="e" cm="1">
        <f t="array" ref="I245">_xlfn.XLOOKUP(SUBSTITUTE(PV!E245,PV!E245,"Connecteur " &amp; PV!E245),_xlfn.ANCHORARRAY('-30°C'!C15),'-30°C'!C20:N20)</f>
        <v>#N/A</v>
      </c>
    </row>
    <row r="252" spans="2:9" x14ac:dyDescent="0.25">
      <c r="B252" s="50"/>
    </row>
    <row r="254" spans="2:9" ht="36" x14ac:dyDescent="0.3">
      <c r="C254" s="45" t="s">
        <v>137</v>
      </c>
      <c r="D254" s="53"/>
      <c r="E254" s="53"/>
      <c r="F254" s="53"/>
    </row>
    <row r="257" spans="2:2" x14ac:dyDescent="0.25">
      <c r="B257" t="s">
        <v>135</v>
      </c>
    </row>
    <row r="293" spans="2:8" ht="36" x14ac:dyDescent="0.55000000000000004">
      <c r="G293" s="115" t="s">
        <v>136</v>
      </c>
      <c r="H293" s="115"/>
    </row>
    <row r="297" spans="2:8" ht="23.25" customHeight="1" x14ac:dyDescent="0.25">
      <c r="B297" s="130" t="s">
        <v>152</v>
      </c>
      <c r="C297" s="130"/>
      <c r="D297" s="130"/>
      <c r="E297" s="130"/>
      <c r="F297" s="54" t="e">
        <f ca="1">IF(OR(AVERAGE('-30°C'!C19:N19)&gt;'-30°C'!O17,AVERAGE('-30°C'!C19:N19)&lt;'-30°C'!O18),"NON CONFORME","CONFORME")</f>
        <v>#REF!</v>
      </c>
      <c r="G297" s="55"/>
    </row>
    <row r="298" spans="2:8" ht="23.25" customHeight="1" x14ac:dyDescent="0.25">
      <c r="B298" s="130"/>
      <c r="C298" s="130"/>
      <c r="D298" s="130"/>
      <c r="E298" s="130"/>
      <c r="F298" s="55"/>
      <c r="G298" s="55"/>
    </row>
    <row r="299" spans="2:8" ht="15" customHeight="1" x14ac:dyDescent="0.25">
      <c r="B299" s="55"/>
      <c r="C299" s="55"/>
      <c r="D299" s="55"/>
      <c r="E299" s="55"/>
      <c r="F299" s="55"/>
      <c r="G299" s="55"/>
    </row>
    <row r="303" spans="2:8" x14ac:dyDescent="0.25">
      <c r="C303" s="41" t="s">
        <v>138</v>
      </c>
      <c r="D303" s="41"/>
      <c r="E303" s="41" t="str">
        <f xml:space="preserve"> "-30°C"</f>
        <v>-30°C</v>
      </c>
    </row>
    <row r="304" spans="2:8" x14ac:dyDescent="0.25">
      <c r="C304" s="123" t="s">
        <v>139</v>
      </c>
      <c r="D304" s="123"/>
      <c r="E304" s="38">
        <f>'-30°C'!$R$16</f>
        <v>0</v>
      </c>
    </row>
    <row r="305" spans="3:5" x14ac:dyDescent="0.25">
      <c r="C305" s="123" t="s">
        <v>140</v>
      </c>
      <c r="D305" s="123"/>
      <c r="E305" s="51" t="e">
        <f ca="1">ABS(MAX('-30°C'!C17:N17)-MIN('-30°C'!C18:N18))</f>
        <v>#REF!</v>
      </c>
    </row>
    <row r="306" spans="3:5" x14ac:dyDescent="0.25">
      <c r="C306" s="123" t="s">
        <v>141</v>
      </c>
      <c r="D306" s="123"/>
      <c r="E306" s="38" t="str">
        <f>"±" &amp; Mesures!B20</f>
        <v>±</v>
      </c>
    </row>
    <row r="307" spans="3:5" x14ac:dyDescent="0.25">
      <c r="C307" s="124" t="s">
        <v>143</v>
      </c>
      <c r="D307" s="125"/>
      <c r="E307" s="38" t="e">
        <f ca="1">IF(F297="CONFORME","OUI","NON")</f>
        <v>#REF!</v>
      </c>
    </row>
    <row r="308" spans="3:5" x14ac:dyDescent="0.25">
      <c r="C308" s="123" t="s">
        <v>142</v>
      </c>
      <c r="D308" s="123"/>
      <c r="E308" s="38">
        <v>2</v>
      </c>
    </row>
  </sheetData>
  <sheetProtection algorithmName="SHA-512" hashValue="RxlDtX8XCwsFTj8r0UBr3uYdWL0h7sKvqBXP7HJKoYR/qiKpoUEs8UVyDrNLb1Zvw/M9tbGthg3plPtJ8zRRKg==" saltValue="hr2zK2k6Xd+x2Ek6W+g00w==" spinCount="100000" sheet="1" autoFilter="0"/>
  <mergeCells count="40">
    <mergeCell ref="E67:I67"/>
    <mergeCell ref="E69:H69"/>
    <mergeCell ref="C305:D305"/>
    <mergeCell ref="C306:D306"/>
    <mergeCell ref="C308:D308"/>
    <mergeCell ref="C307:D307"/>
    <mergeCell ref="C85:G85"/>
    <mergeCell ref="F232:I232"/>
    <mergeCell ref="G293:H293"/>
    <mergeCell ref="C304:D304"/>
    <mergeCell ref="B205:C205"/>
    <mergeCell ref="C94:G94"/>
    <mergeCell ref="B116:F116"/>
    <mergeCell ref="B297:E298"/>
    <mergeCell ref="A211:A214"/>
    <mergeCell ref="B226:F226"/>
    <mergeCell ref="B229:C229"/>
    <mergeCell ref="E55:G55"/>
    <mergeCell ref="E56:H56"/>
    <mergeCell ref="E57:F57"/>
    <mergeCell ref="E68:I68"/>
    <mergeCell ref="B67:D67"/>
    <mergeCell ref="B68:D68"/>
    <mergeCell ref="B69:D69"/>
    <mergeCell ref="C127:F127"/>
    <mergeCell ref="C163:H163"/>
    <mergeCell ref="C196:H196"/>
    <mergeCell ref="G200:I200"/>
    <mergeCell ref="A72:J81"/>
    <mergeCell ref="B129:I144"/>
    <mergeCell ref="C10:D10"/>
    <mergeCell ref="E10:F10"/>
    <mergeCell ref="A30:I47"/>
    <mergeCell ref="A28:B28"/>
    <mergeCell ref="E66:I66"/>
    <mergeCell ref="B61:D61"/>
    <mergeCell ref="B62:D62"/>
    <mergeCell ref="E61:G61"/>
    <mergeCell ref="B66:D66"/>
    <mergeCell ref="C51:F51"/>
  </mergeCells>
  <conditionalFormatting sqref="F297">
    <cfRule type="containsText" dxfId="7" priority="1" operator="containsText" text="NON CONFORME">
      <formula>NOT(ISERROR(SEARCH("NON CONFORME",F297)))</formula>
    </cfRule>
    <cfRule type="containsText" dxfId="6"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71228-59F5-4982-B515-F81F5C668533}">
  <sheetPr codeName="Feuil6"/>
  <dimension ref="A1:O37"/>
  <sheetViews>
    <sheetView tabSelected="1" view="pageBreakPreview" zoomScale="60" zoomScaleNormal="100" workbookViewId="0">
      <selection activeCell="C11" sqref="C11"/>
    </sheetView>
  </sheetViews>
  <sheetFormatPr baseColWidth="10" defaultRowHeight="15.75" x14ac:dyDescent="0.25"/>
  <cols>
    <col min="1" max="1" width="32.5703125" style="134" bestFit="1" customWidth="1"/>
    <col min="2" max="2" width="26.28515625" style="134" bestFit="1" customWidth="1"/>
    <col min="3" max="3" width="35.140625" style="134" customWidth="1"/>
    <col min="4" max="4" width="32.42578125" style="134" customWidth="1"/>
    <col min="5" max="5" width="24.42578125" style="134" bestFit="1" customWidth="1"/>
    <col min="6" max="6" width="18.7109375" style="134" bestFit="1" customWidth="1"/>
    <col min="7" max="7" width="34.140625" style="134" bestFit="1" customWidth="1"/>
    <col min="8" max="8" width="65.42578125" style="134" bestFit="1" customWidth="1"/>
    <col min="9" max="9" width="21.140625" style="134" bestFit="1" customWidth="1"/>
    <col min="10" max="10" width="15.42578125" style="134" bestFit="1" customWidth="1"/>
    <col min="11" max="11" width="14.85546875" style="134" bestFit="1" customWidth="1"/>
    <col min="12" max="12" width="3.140625" style="134" customWidth="1"/>
    <col min="13" max="13" width="28.85546875" style="134" customWidth="1"/>
    <col min="14" max="14" width="32.28515625" style="134" customWidth="1"/>
    <col min="15" max="15" width="36.28515625" style="134" customWidth="1"/>
    <col min="16" max="16" width="16.28515625" style="134" customWidth="1"/>
    <col min="17" max="17" width="35.7109375" style="134" customWidth="1"/>
    <col min="18" max="18" width="36.28515625" style="134" customWidth="1"/>
    <col min="19" max="19" width="35.7109375" style="134" customWidth="1"/>
    <col min="20" max="20" width="36.28515625" style="134" customWidth="1"/>
    <col min="21" max="21" width="35.7109375" style="134" customWidth="1"/>
    <col min="22" max="22" width="36.28515625" style="134" customWidth="1"/>
    <col min="23" max="23" width="35.7109375" style="134" customWidth="1"/>
    <col min="24" max="24" width="36.28515625" style="134" customWidth="1"/>
    <col min="25" max="25" width="16.28515625" style="134" customWidth="1"/>
    <col min="26" max="26" width="78.42578125" style="134" bestFit="1" customWidth="1"/>
    <col min="27" max="27" width="52.7109375" style="134" bestFit="1" customWidth="1"/>
    <col min="28" max="256" width="11.42578125" style="134"/>
    <col min="257" max="257" width="25.85546875" style="134" customWidth="1"/>
    <col min="258" max="258" width="20.85546875" style="134" bestFit="1" customWidth="1"/>
    <col min="259" max="259" width="28.85546875" style="134" customWidth="1"/>
    <col min="260" max="260" width="23.7109375" style="134" customWidth="1"/>
    <col min="261" max="261" width="24.42578125" style="134" bestFit="1" customWidth="1"/>
    <col min="262" max="262" width="21.140625" style="134" customWidth="1"/>
    <col min="263" max="265" width="25.7109375" style="134" customWidth="1"/>
    <col min="266" max="266" width="19.5703125" style="134" customWidth="1"/>
    <col min="267" max="267" width="15.85546875" style="134" customWidth="1"/>
    <col min="268" max="268" width="3.140625" style="134" customWidth="1"/>
    <col min="269" max="269" width="28.85546875" style="134" customWidth="1"/>
    <col min="270" max="270" width="32.28515625" style="134" customWidth="1"/>
    <col min="271" max="271" width="36.28515625" style="134" customWidth="1"/>
    <col min="272" max="272" width="16.28515625" style="134" customWidth="1"/>
    <col min="273" max="273" width="35.7109375" style="134" customWidth="1"/>
    <col min="274" max="274" width="36.28515625" style="134" customWidth="1"/>
    <col min="275" max="275" width="35.7109375" style="134" customWidth="1"/>
    <col min="276" max="276" width="36.28515625" style="134" customWidth="1"/>
    <col min="277" max="277" width="35.7109375" style="134" customWidth="1"/>
    <col min="278" max="278" width="36.28515625" style="134" customWidth="1"/>
    <col min="279" max="279" width="35.7109375" style="134" customWidth="1"/>
    <col min="280" max="280" width="36.28515625" style="134" customWidth="1"/>
    <col min="281" max="281" width="16.28515625" style="134" customWidth="1"/>
    <col min="282" max="282" width="78.42578125" style="134" bestFit="1" customWidth="1"/>
    <col min="283" max="283" width="52.7109375" style="134" bestFit="1" customWidth="1"/>
    <col min="284" max="512" width="11.42578125" style="134"/>
    <col min="513" max="513" width="25.85546875" style="134" customWidth="1"/>
    <col min="514" max="514" width="20.85546875" style="134" bestFit="1" customWidth="1"/>
    <col min="515" max="515" width="28.85546875" style="134" customWidth="1"/>
    <col min="516" max="516" width="23.7109375" style="134" customWidth="1"/>
    <col min="517" max="517" width="24.42578125" style="134" bestFit="1" customWidth="1"/>
    <col min="518" max="518" width="21.140625" style="134" customWidth="1"/>
    <col min="519" max="521" width="25.7109375" style="134" customWidth="1"/>
    <col min="522" max="522" width="19.5703125" style="134" customWidth="1"/>
    <col min="523" max="523" width="15.85546875" style="134" customWidth="1"/>
    <col min="524" max="524" width="3.140625" style="134" customWidth="1"/>
    <col min="525" max="525" width="28.85546875" style="134" customWidth="1"/>
    <col min="526" max="526" width="32.28515625" style="134" customWidth="1"/>
    <col min="527" max="527" width="36.28515625" style="134" customWidth="1"/>
    <col min="528" max="528" width="16.28515625" style="134" customWidth="1"/>
    <col min="529" max="529" width="35.7109375" style="134" customWidth="1"/>
    <col min="530" max="530" width="36.28515625" style="134" customWidth="1"/>
    <col min="531" max="531" width="35.7109375" style="134" customWidth="1"/>
    <col min="532" max="532" width="36.28515625" style="134" customWidth="1"/>
    <col min="533" max="533" width="35.7109375" style="134" customWidth="1"/>
    <col min="534" max="534" width="36.28515625" style="134" customWidth="1"/>
    <col min="535" max="535" width="35.7109375" style="134" customWidth="1"/>
    <col min="536" max="536" width="36.28515625" style="134" customWidth="1"/>
    <col min="537" max="537" width="16.28515625" style="134" customWidth="1"/>
    <col min="538" max="538" width="78.42578125" style="134" bestFit="1" customWidth="1"/>
    <col min="539" max="539" width="52.7109375" style="134" bestFit="1" customWidth="1"/>
    <col min="540" max="768" width="11.42578125" style="134"/>
    <col min="769" max="769" width="25.85546875" style="134" customWidth="1"/>
    <col min="770" max="770" width="20.85546875" style="134" bestFit="1" customWidth="1"/>
    <col min="771" max="771" width="28.85546875" style="134" customWidth="1"/>
    <col min="772" max="772" width="23.7109375" style="134" customWidth="1"/>
    <col min="773" max="773" width="24.42578125" style="134" bestFit="1" customWidth="1"/>
    <col min="774" max="774" width="21.140625" style="134" customWidth="1"/>
    <col min="775" max="777" width="25.7109375" style="134" customWidth="1"/>
    <col min="778" max="778" width="19.5703125" style="134" customWidth="1"/>
    <col min="779" max="779" width="15.85546875" style="134" customWidth="1"/>
    <col min="780" max="780" width="3.140625" style="134" customWidth="1"/>
    <col min="781" max="781" width="28.85546875" style="134" customWidth="1"/>
    <col min="782" max="782" width="32.28515625" style="134" customWidth="1"/>
    <col min="783" max="783" width="36.28515625" style="134" customWidth="1"/>
    <col min="784" max="784" width="16.28515625" style="134" customWidth="1"/>
    <col min="785" max="785" width="35.7109375" style="134" customWidth="1"/>
    <col min="786" max="786" width="36.28515625" style="134" customWidth="1"/>
    <col min="787" max="787" width="35.7109375" style="134" customWidth="1"/>
    <col min="788" max="788" width="36.28515625" style="134" customWidth="1"/>
    <col min="789" max="789" width="35.7109375" style="134" customWidth="1"/>
    <col min="790" max="790" width="36.28515625" style="134" customWidth="1"/>
    <col min="791" max="791" width="35.7109375" style="134" customWidth="1"/>
    <col min="792" max="792" width="36.28515625" style="134" customWidth="1"/>
    <col min="793" max="793" width="16.28515625" style="134" customWidth="1"/>
    <col min="794" max="794" width="78.42578125" style="134" bestFit="1" customWidth="1"/>
    <col min="795" max="795" width="52.7109375" style="134" bestFit="1" customWidth="1"/>
    <col min="796" max="1024" width="11.42578125" style="134"/>
    <col min="1025" max="1025" width="25.85546875" style="134" customWidth="1"/>
    <col min="1026" max="1026" width="20.85546875" style="134" bestFit="1" customWidth="1"/>
    <col min="1027" max="1027" width="28.85546875" style="134" customWidth="1"/>
    <col min="1028" max="1028" width="23.7109375" style="134" customWidth="1"/>
    <col min="1029" max="1029" width="24.42578125" style="134" bestFit="1" customWidth="1"/>
    <col min="1030" max="1030" width="21.140625" style="134" customWidth="1"/>
    <col min="1031" max="1033" width="25.7109375" style="134" customWidth="1"/>
    <col min="1034" max="1034" width="19.5703125" style="134" customWidth="1"/>
    <col min="1035" max="1035" width="15.85546875" style="134" customWidth="1"/>
    <col min="1036" max="1036" width="3.140625" style="134" customWidth="1"/>
    <col min="1037" max="1037" width="28.85546875" style="134" customWidth="1"/>
    <col min="1038" max="1038" width="32.28515625" style="134" customWidth="1"/>
    <col min="1039" max="1039" width="36.28515625" style="134" customWidth="1"/>
    <col min="1040" max="1040" width="16.28515625" style="134" customWidth="1"/>
    <col min="1041" max="1041" width="35.7109375" style="134" customWidth="1"/>
    <col min="1042" max="1042" width="36.28515625" style="134" customWidth="1"/>
    <col min="1043" max="1043" width="35.7109375" style="134" customWidth="1"/>
    <col min="1044" max="1044" width="36.28515625" style="134" customWidth="1"/>
    <col min="1045" max="1045" width="35.7109375" style="134" customWidth="1"/>
    <col min="1046" max="1046" width="36.28515625" style="134" customWidth="1"/>
    <col min="1047" max="1047" width="35.7109375" style="134" customWidth="1"/>
    <col min="1048" max="1048" width="36.28515625" style="134" customWidth="1"/>
    <col min="1049" max="1049" width="16.28515625" style="134" customWidth="1"/>
    <col min="1050" max="1050" width="78.42578125" style="134" bestFit="1" customWidth="1"/>
    <col min="1051" max="1051" width="52.7109375" style="134" bestFit="1" customWidth="1"/>
    <col min="1052" max="1280" width="11.42578125" style="134"/>
    <col min="1281" max="1281" width="25.85546875" style="134" customWidth="1"/>
    <col min="1282" max="1282" width="20.85546875" style="134" bestFit="1" customWidth="1"/>
    <col min="1283" max="1283" width="28.85546875" style="134" customWidth="1"/>
    <col min="1284" max="1284" width="23.7109375" style="134" customWidth="1"/>
    <col min="1285" max="1285" width="24.42578125" style="134" bestFit="1" customWidth="1"/>
    <col min="1286" max="1286" width="21.140625" style="134" customWidth="1"/>
    <col min="1287" max="1289" width="25.7109375" style="134" customWidth="1"/>
    <col min="1290" max="1290" width="19.5703125" style="134" customWidth="1"/>
    <col min="1291" max="1291" width="15.85546875" style="134" customWidth="1"/>
    <col min="1292" max="1292" width="3.140625" style="134" customWidth="1"/>
    <col min="1293" max="1293" width="28.85546875" style="134" customWidth="1"/>
    <col min="1294" max="1294" width="32.28515625" style="134" customWidth="1"/>
    <col min="1295" max="1295" width="36.28515625" style="134" customWidth="1"/>
    <col min="1296" max="1296" width="16.28515625" style="134" customWidth="1"/>
    <col min="1297" max="1297" width="35.7109375" style="134" customWidth="1"/>
    <col min="1298" max="1298" width="36.28515625" style="134" customWidth="1"/>
    <col min="1299" max="1299" width="35.7109375" style="134" customWidth="1"/>
    <col min="1300" max="1300" width="36.28515625" style="134" customWidth="1"/>
    <col min="1301" max="1301" width="35.7109375" style="134" customWidth="1"/>
    <col min="1302" max="1302" width="36.28515625" style="134" customWidth="1"/>
    <col min="1303" max="1303" width="35.7109375" style="134" customWidth="1"/>
    <col min="1304" max="1304" width="36.28515625" style="134" customWidth="1"/>
    <col min="1305" max="1305" width="16.28515625" style="134" customWidth="1"/>
    <col min="1306" max="1306" width="78.42578125" style="134" bestFit="1" customWidth="1"/>
    <col min="1307" max="1307" width="52.7109375" style="134" bestFit="1" customWidth="1"/>
    <col min="1308" max="1536" width="11.42578125" style="134"/>
    <col min="1537" max="1537" width="25.85546875" style="134" customWidth="1"/>
    <col min="1538" max="1538" width="20.85546875" style="134" bestFit="1" customWidth="1"/>
    <col min="1539" max="1539" width="28.85546875" style="134" customWidth="1"/>
    <col min="1540" max="1540" width="23.7109375" style="134" customWidth="1"/>
    <col min="1541" max="1541" width="24.42578125" style="134" bestFit="1" customWidth="1"/>
    <col min="1542" max="1542" width="21.140625" style="134" customWidth="1"/>
    <col min="1543" max="1545" width="25.7109375" style="134" customWidth="1"/>
    <col min="1546" max="1546" width="19.5703125" style="134" customWidth="1"/>
    <col min="1547" max="1547" width="15.85546875" style="134" customWidth="1"/>
    <col min="1548" max="1548" width="3.140625" style="134" customWidth="1"/>
    <col min="1549" max="1549" width="28.85546875" style="134" customWidth="1"/>
    <col min="1550" max="1550" width="32.28515625" style="134" customWidth="1"/>
    <col min="1551" max="1551" width="36.28515625" style="134" customWidth="1"/>
    <col min="1552" max="1552" width="16.28515625" style="134" customWidth="1"/>
    <col min="1553" max="1553" width="35.7109375" style="134" customWidth="1"/>
    <col min="1554" max="1554" width="36.28515625" style="134" customWidth="1"/>
    <col min="1555" max="1555" width="35.7109375" style="134" customWidth="1"/>
    <col min="1556" max="1556" width="36.28515625" style="134" customWidth="1"/>
    <col min="1557" max="1557" width="35.7109375" style="134" customWidth="1"/>
    <col min="1558" max="1558" width="36.28515625" style="134" customWidth="1"/>
    <col min="1559" max="1559" width="35.7109375" style="134" customWidth="1"/>
    <col min="1560" max="1560" width="36.28515625" style="134" customWidth="1"/>
    <col min="1561" max="1561" width="16.28515625" style="134" customWidth="1"/>
    <col min="1562" max="1562" width="78.42578125" style="134" bestFit="1" customWidth="1"/>
    <col min="1563" max="1563" width="52.7109375" style="134" bestFit="1" customWidth="1"/>
    <col min="1564" max="1792" width="11.42578125" style="134"/>
    <col min="1793" max="1793" width="25.85546875" style="134" customWidth="1"/>
    <col min="1794" max="1794" width="20.85546875" style="134" bestFit="1" customWidth="1"/>
    <col min="1795" max="1795" width="28.85546875" style="134" customWidth="1"/>
    <col min="1796" max="1796" width="23.7109375" style="134" customWidth="1"/>
    <col min="1797" max="1797" width="24.42578125" style="134" bestFit="1" customWidth="1"/>
    <col min="1798" max="1798" width="21.140625" style="134" customWidth="1"/>
    <col min="1799" max="1801" width="25.7109375" style="134" customWidth="1"/>
    <col min="1802" max="1802" width="19.5703125" style="134" customWidth="1"/>
    <col min="1803" max="1803" width="15.85546875" style="134" customWidth="1"/>
    <col min="1804" max="1804" width="3.140625" style="134" customWidth="1"/>
    <col min="1805" max="1805" width="28.85546875" style="134" customWidth="1"/>
    <col min="1806" max="1806" width="32.28515625" style="134" customWidth="1"/>
    <col min="1807" max="1807" width="36.28515625" style="134" customWidth="1"/>
    <col min="1808" max="1808" width="16.28515625" style="134" customWidth="1"/>
    <col min="1809" max="1809" width="35.7109375" style="134" customWidth="1"/>
    <col min="1810" max="1810" width="36.28515625" style="134" customWidth="1"/>
    <col min="1811" max="1811" width="35.7109375" style="134" customWidth="1"/>
    <col min="1812" max="1812" width="36.28515625" style="134" customWidth="1"/>
    <col min="1813" max="1813" width="35.7109375" style="134" customWidth="1"/>
    <col min="1814" max="1814" width="36.28515625" style="134" customWidth="1"/>
    <col min="1815" max="1815" width="35.7109375" style="134" customWidth="1"/>
    <col min="1816" max="1816" width="36.28515625" style="134" customWidth="1"/>
    <col min="1817" max="1817" width="16.28515625" style="134" customWidth="1"/>
    <col min="1818" max="1818" width="78.42578125" style="134" bestFit="1" customWidth="1"/>
    <col min="1819" max="1819" width="52.7109375" style="134" bestFit="1" customWidth="1"/>
    <col min="1820" max="2048" width="11.42578125" style="134"/>
    <col min="2049" max="2049" width="25.85546875" style="134" customWidth="1"/>
    <col min="2050" max="2050" width="20.85546875" style="134" bestFit="1" customWidth="1"/>
    <col min="2051" max="2051" width="28.85546875" style="134" customWidth="1"/>
    <col min="2052" max="2052" width="23.7109375" style="134" customWidth="1"/>
    <col min="2053" max="2053" width="24.42578125" style="134" bestFit="1" customWidth="1"/>
    <col min="2054" max="2054" width="21.140625" style="134" customWidth="1"/>
    <col min="2055" max="2057" width="25.7109375" style="134" customWidth="1"/>
    <col min="2058" max="2058" width="19.5703125" style="134" customWidth="1"/>
    <col min="2059" max="2059" width="15.85546875" style="134" customWidth="1"/>
    <col min="2060" max="2060" width="3.140625" style="134" customWidth="1"/>
    <col min="2061" max="2061" width="28.85546875" style="134" customWidth="1"/>
    <col min="2062" max="2062" width="32.28515625" style="134" customWidth="1"/>
    <col min="2063" max="2063" width="36.28515625" style="134" customWidth="1"/>
    <col min="2064" max="2064" width="16.28515625" style="134" customWidth="1"/>
    <col min="2065" max="2065" width="35.7109375" style="134" customWidth="1"/>
    <col min="2066" max="2066" width="36.28515625" style="134" customWidth="1"/>
    <col min="2067" max="2067" width="35.7109375" style="134" customWidth="1"/>
    <col min="2068" max="2068" width="36.28515625" style="134" customWidth="1"/>
    <col min="2069" max="2069" width="35.7109375" style="134" customWidth="1"/>
    <col min="2070" max="2070" width="36.28515625" style="134" customWidth="1"/>
    <col min="2071" max="2071" width="35.7109375" style="134" customWidth="1"/>
    <col min="2072" max="2072" width="36.28515625" style="134" customWidth="1"/>
    <col min="2073" max="2073" width="16.28515625" style="134" customWidth="1"/>
    <col min="2074" max="2074" width="78.42578125" style="134" bestFit="1" customWidth="1"/>
    <col min="2075" max="2075" width="52.7109375" style="134" bestFit="1" customWidth="1"/>
    <col min="2076" max="2304" width="11.42578125" style="134"/>
    <col min="2305" max="2305" width="25.85546875" style="134" customWidth="1"/>
    <col min="2306" max="2306" width="20.85546875" style="134" bestFit="1" customWidth="1"/>
    <col min="2307" max="2307" width="28.85546875" style="134" customWidth="1"/>
    <col min="2308" max="2308" width="23.7109375" style="134" customWidth="1"/>
    <col min="2309" max="2309" width="24.42578125" style="134" bestFit="1" customWidth="1"/>
    <col min="2310" max="2310" width="21.140625" style="134" customWidth="1"/>
    <col min="2311" max="2313" width="25.7109375" style="134" customWidth="1"/>
    <col min="2314" max="2314" width="19.5703125" style="134" customWidth="1"/>
    <col min="2315" max="2315" width="15.85546875" style="134" customWidth="1"/>
    <col min="2316" max="2316" width="3.140625" style="134" customWidth="1"/>
    <col min="2317" max="2317" width="28.85546875" style="134" customWidth="1"/>
    <col min="2318" max="2318" width="32.28515625" style="134" customWidth="1"/>
    <col min="2319" max="2319" width="36.28515625" style="134" customWidth="1"/>
    <col min="2320" max="2320" width="16.28515625" style="134" customWidth="1"/>
    <col min="2321" max="2321" width="35.7109375" style="134" customWidth="1"/>
    <col min="2322" max="2322" width="36.28515625" style="134" customWidth="1"/>
    <col min="2323" max="2323" width="35.7109375" style="134" customWidth="1"/>
    <col min="2324" max="2324" width="36.28515625" style="134" customWidth="1"/>
    <col min="2325" max="2325" width="35.7109375" style="134" customWidth="1"/>
    <col min="2326" max="2326" width="36.28515625" style="134" customWidth="1"/>
    <col min="2327" max="2327" width="35.7109375" style="134" customWidth="1"/>
    <col min="2328" max="2328" width="36.28515625" style="134" customWidth="1"/>
    <col min="2329" max="2329" width="16.28515625" style="134" customWidth="1"/>
    <col min="2330" max="2330" width="78.42578125" style="134" bestFit="1" customWidth="1"/>
    <col min="2331" max="2331" width="52.7109375" style="134" bestFit="1" customWidth="1"/>
    <col min="2332" max="2560" width="11.42578125" style="134"/>
    <col min="2561" max="2561" width="25.85546875" style="134" customWidth="1"/>
    <col min="2562" max="2562" width="20.85546875" style="134" bestFit="1" customWidth="1"/>
    <col min="2563" max="2563" width="28.85546875" style="134" customWidth="1"/>
    <col min="2564" max="2564" width="23.7109375" style="134" customWidth="1"/>
    <col min="2565" max="2565" width="24.42578125" style="134" bestFit="1" customWidth="1"/>
    <col min="2566" max="2566" width="21.140625" style="134" customWidth="1"/>
    <col min="2567" max="2569" width="25.7109375" style="134" customWidth="1"/>
    <col min="2570" max="2570" width="19.5703125" style="134" customWidth="1"/>
    <col min="2571" max="2571" width="15.85546875" style="134" customWidth="1"/>
    <col min="2572" max="2572" width="3.140625" style="134" customWidth="1"/>
    <col min="2573" max="2573" width="28.85546875" style="134" customWidth="1"/>
    <col min="2574" max="2574" width="32.28515625" style="134" customWidth="1"/>
    <col min="2575" max="2575" width="36.28515625" style="134" customWidth="1"/>
    <col min="2576" max="2576" width="16.28515625" style="134" customWidth="1"/>
    <col min="2577" max="2577" width="35.7109375" style="134" customWidth="1"/>
    <col min="2578" max="2578" width="36.28515625" style="134" customWidth="1"/>
    <col min="2579" max="2579" width="35.7109375" style="134" customWidth="1"/>
    <col min="2580" max="2580" width="36.28515625" style="134" customWidth="1"/>
    <col min="2581" max="2581" width="35.7109375" style="134" customWidth="1"/>
    <col min="2582" max="2582" width="36.28515625" style="134" customWidth="1"/>
    <col min="2583" max="2583" width="35.7109375" style="134" customWidth="1"/>
    <col min="2584" max="2584" width="36.28515625" style="134" customWidth="1"/>
    <col min="2585" max="2585" width="16.28515625" style="134" customWidth="1"/>
    <col min="2586" max="2586" width="78.42578125" style="134" bestFit="1" customWidth="1"/>
    <col min="2587" max="2587" width="52.7109375" style="134" bestFit="1" customWidth="1"/>
    <col min="2588" max="2816" width="11.42578125" style="134"/>
    <col min="2817" max="2817" width="25.85546875" style="134" customWidth="1"/>
    <col min="2818" max="2818" width="20.85546875" style="134" bestFit="1" customWidth="1"/>
    <col min="2819" max="2819" width="28.85546875" style="134" customWidth="1"/>
    <col min="2820" max="2820" width="23.7109375" style="134" customWidth="1"/>
    <col min="2821" max="2821" width="24.42578125" style="134" bestFit="1" customWidth="1"/>
    <col min="2822" max="2822" width="21.140625" style="134" customWidth="1"/>
    <col min="2823" max="2825" width="25.7109375" style="134" customWidth="1"/>
    <col min="2826" max="2826" width="19.5703125" style="134" customWidth="1"/>
    <col min="2827" max="2827" width="15.85546875" style="134" customWidth="1"/>
    <col min="2828" max="2828" width="3.140625" style="134" customWidth="1"/>
    <col min="2829" max="2829" width="28.85546875" style="134" customWidth="1"/>
    <col min="2830" max="2830" width="32.28515625" style="134" customWidth="1"/>
    <col min="2831" max="2831" width="36.28515625" style="134" customWidth="1"/>
    <col min="2832" max="2832" width="16.28515625" style="134" customWidth="1"/>
    <col min="2833" max="2833" width="35.7109375" style="134" customWidth="1"/>
    <col min="2834" max="2834" width="36.28515625" style="134" customWidth="1"/>
    <col min="2835" max="2835" width="35.7109375" style="134" customWidth="1"/>
    <col min="2836" max="2836" width="36.28515625" style="134" customWidth="1"/>
    <col min="2837" max="2837" width="35.7109375" style="134" customWidth="1"/>
    <col min="2838" max="2838" width="36.28515625" style="134" customWidth="1"/>
    <col min="2839" max="2839" width="35.7109375" style="134" customWidth="1"/>
    <col min="2840" max="2840" width="36.28515625" style="134" customWidth="1"/>
    <col min="2841" max="2841" width="16.28515625" style="134" customWidth="1"/>
    <col min="2842" max="2842" width="78.42578125" style="134" bestFit="1" customWidth="1"/>
    <col min="2843" max="2843" width="52.7109375" style="134" bestFit="1" customWidth="1"/>
    <col min="2844" max="3072" width="11.42578125" style="134"/>
    <col min="3073" max="3073" width="25.85546875" style="134" customWidth="1"/>
    <col min="3074" max="3074" width="20.85546875" style="134" bestFit="1" customWidth="1"/>
    <col min="3075" max="3075" width="28.85546875" style="134" customWidth="1"/>
    <col min="3076" max="3076" width="23.7109375" style="134" customWidth="1"/>
    <col min="3077" max="3077" width="24.42578125" style="134" bestFit="1" customWidth="1"/>
    <col min="3078" max="3078" width="21.140625" style="134" customWidth="1"/>
    <col min="3079" max="3081" width="25.7109375" style="134" customWidth="1"/>
    <col min="3082" max="3082" width="19.5703125" style="134" customWidth="1"/>
    <col min="3083" max="3083" width="15.85546875" style="134" customWidth="1"/>
    <col min="3084" max="3084" width="3.140625" style="134" customWidth="1"/>
    <col min="3085" max="3085" width="28.85546875" style="134" customWidth="1"/>
    <col min="3086" max="3086" width="32.28515625" style="134" customWidth="1"/>
    <col min="3087" max="3087" width="36.28515625" style="134" customWidth="1"/>
    <col min="3088" max="3088" width="16.28515625" style="134" customWidth="1"/>
    <col min="3089" max="3089" width="35.7109375" style="134" customWidth="1"/>
    <col min="3090" max="3090" width="36.28515625" style="134" customWidth="1"/>
    <col min="3091" max="3091" width="35.7109375" style="134" customWidth="1"/>
    <col min="3092" max="3092" width="36.28515625" style="134" customWidth="1"/>
    <col min="3093" max="3093" width="35.7109375" style="134" customWidth="1"/>
    <col min="3094" max="3094" width="36.28515625" style="134" customWidth="1"/>
    <col min="3095" max="3095" width="35.7109375" style="134" customWidth="1"/>
    <col min="3096" max="3096" width="36.28515625" style="134" customWidth="1"/>
    <col min="3097" max="3097" width="16.28515625" style="134" customWidth="1"/>
    <col min="3098" max="3098" width="78.42578125" style="134" bestFit="1" customWidth="1"/>
    <col min="3099" max="3099" width="52.7109375" style="134" bestFit="1" customWidth="1"/>
    <col min="3100" max="3328" width="11.42578125" style="134"/>
    <col min="3329" max="3329" width="25.85546875" style="134" customWidth="1"/>
    <col min="3330" max="3330" width="20.85546875" style="134" bestFit="1" customWidth="1"/>
    <col min="3331" max="3331" width="28.85546875" style="134" customWidth="1"/>
    <col min="3332" max="3332" width="23.7109375" style="134" customWidth="1"/>
    <col min="3333" max="3333" width="24.42578125" style="134" bestFit="1" customWidth="1"/>
    <col min="3334" max="3334" width="21.140625" style="134" customWidth="1"/>
    <col min="3335" max="3337" width="25.7109375" style="134" customWidth="1"/>
    <col min="3338" max="3338" width="19.5703125" style="134" customWidth="1"/>
    <col min="3339" max="3339" width="15.85546875" style="134" customWidth="1"/>
    <col min="3340" max="3340" width="3.140625" style="134" customWidth="1"/>
    <col min="3341" max="3341" width="28.85546875" style="134" customWidth="1"/>
    <col min="3342" max="3342" width="32.28515625" style="134" customWidth="1"/>
    <col min="3343" max="3343" width="36.28515625" style="134" customWidth="1"/>
    <col min="3344" max="3344" width="16.28515625" style="134" customWidth="1"/>
    <col min="3345" max="3345" width="35.7109375" style="134" customWidth="1"/>
    <col min="3346" max="3346" width="36.28515625" style="134" customWidth="1"/>
    <col min="3347" max="3347" width="35.7109375" style="134" customWidth="1"/>
    <col min="3348" max="3348" width="36.28515625" style="134" customWidth="1"/>
    <col min="3349" max="3349" width="35.7109375" style="134" customWidth="1"/>
    <col min="3350" max="3350" width="36.28515625" style="134" customWidth="1"/>
    <col min="3351" max="3351" width="35.7109375" style="134" customWidth="1"/>
    <col min="3352" max="3352" width="36.28515625" style="134" customWidth="1"/>
    <col min="3353" max="3353" width="16.28515625" style="134" customWidth="1"/>
    <col min="3354" max="3354" width="78.42578125" style="134" bestFit="1" customWidth="1"/>
    <col min="3355" max="3355" width="52.7109375" style="134" bestFit="1" customWidth="1"/>
    <col min="3356" max="3584" width="11.42578125" style="134"/>
    <col min="3585" max="3585" width="25.85546875" style="134" customWidth="1"/>
    <col min="3586" max="3586" width="20.85546875" style="134" bestFit="1" customWidth="1"/>
    <col min="3587" max="3587" width="28.85546875" style="134" customWidth="1"/>
    <col min="3588" max="3588" width="23.7109375" style="134" customWidth="1"/>
    <col min="3589" max="3589" width="24.42578125" style="134" bestFit="1" customWidth="1"/>
    <col min="3590" max="3590" width="21.140625" style="134" customWidth="1"/>
    <col min="3591" max="3593" width="25.7109375" style="134" customWidth="1"/>
    <col min="3594" max="3594" width="19.5703125" style="134" customWidth="1"/>
    <col min="3595" max="3595" width="15.85546875" style="134" customWidth="1"/>
    <col min="3596" max="3596" width="3.140625" style="134" customWidth="1"/>
    <col min="3597" max="3597" width="28.85546875" style="134" customWidth="1"/>
    <col min="3598" max="3598" width="32.28515625" style="134" customWidth="1"/>
    <col min="3599" max="3599" width="36.28515625" style="134" customWidth="1"/>
    <col min="3600" max="3600" width="16.28515625" style="134" customWidth="1"/>
    <col min="3601" max="3601" width="35.7109375" style="134" customWidth="1"/>
    <col min="3602" max="3602" width="36.28515625" style="134" customWidth="1"/>
    <col min="3603" max="3603" width="35.7109375" style="134" customWidth="1"/>
    <col min="3604" max="3604" width="36.28515625" style="134" customWidth="1"/>
    <col min="3605" max="3605" width="35.7109375" style="134" customWidth="1"/>
    <col min="3606" max="3606" width="36.28515625" style="134" customWidth="1"/>
    <col min="3607" max="3607" width="35.7109375" style="134" customWidth="1"/>
    <col min="3608" max="3608" width="36.28515625" style="134" customWidth="1"/>
    <col min="3609" max="3609" width="16.28515625" style="134" customWidth="1"/>
    <col min="3610" max="3610" width="78.42578125" style="134" bestFit="1" customWidth="1"/>
    <col min="3611" max="3611" width="52.7109375" style="134" bestFit="1" customWidth="1"/>
    <col min="3612" max="3840" width="11.42578125" style="134"/>
    <col min="3841" max="3841" width="25.85546875" style="134" customWidth="1"/>
    <col min="3842" max="3842" width="20.85546875" style="134" bestFit="1" customWidth="1"/>
    <col min="3843" max="3843" width="28.85546875" style="134" customWidth="1"/>
    <col min="3844" max="3844" width="23.7109375" style="134" customWidth="1"/>
    <col min="3845" max="3845" width="24.42578125" style="134" bestFit="1" customWidth="1"/>
    <col min="3846" max="3846" width="21.140625" style="134" customWidth="1"/>
    <col min="3847" max="3849" width="25.7109375" style="134" customWidth="1"/>
    <col min="3850" max="3850" width="19.5703125" style="134" customWidth="1"/>
    <col min="3851" max="3851" width="15.85546875" style="134" customWidth="1"/>
    <col min="3852" max="3852" width="3.140625" style="134" customWidth="1"/>
    <col min="3853" max="3853" width="28.85546875" style="134" customWidth="1"/>
    <col min="3854" max="3854" width="32.28515625" style="134" customWidth="1"/>
    <col min="3855" max="3855" width="36.28515625" style="134" customWidth="1"/>
    <col min="3856" max="3856" width="16.28515625" style="134" customWidth="1"/>
    <col min="3857" max="3857" width="35.7109375" style="134" customWidth="1"/>
    <col min="3858" max="3858" width="36.28515625" style="134" customWidth="1"/>
    <col min="3859" max="3859" width="35.7109375" style="134" customWidth="1"/>
    <col min="3860" max="3860" width="36.28515625" style="134" customWidth="1"/>
    <col min="3861" max="3861" width="35.7109375" style="134" customWidth="1"/>
    <col min="3862" max="3862" width="36.28515625" style="134" customWidth="1"/>
    <col min="3863" max="3863" width="35.7109375" style="134" customWidth="1"/>
    <col min="3864" max="3864" width="36.28515625" style="134" customWidth="1"/>
    <col min="3865" max="3865" width="16.28515625" style="134" customWidth="1"/>
    <col min="3866" max="3866" width="78.42578125" style="134" bestFit="1" customWidth="1"/>
    <col min="3867" max="3867" width="52.7109375" style="134" bestFit="1" customWidth="1"/>
    <col min="3868" max="4096" width="11.42578125" style="134"/>
    <col min="4097" max="4097" width="25.85546875" style="134" customWidth="1"/>
    <col min="4098" max="4098" width="20.85546875" style="134" bestFit="1" customWidth="1"/>
    <col min="4099" max="4099" width="28.85546875" style="134" customWidth="1"/>
    <col min="4100" max="4100" width="23.7109375" style="134" customWidth="1"/>
    <col min="4101" max="4101" width="24.42578125" style="134" bestFit="1" customWidth="1"/>
    <col min="4102" max="4102" width="21.140625" style="134" customWidth="1"/>
    <col min="4103" max="4105" width="25.7109375" style="134" customWidth="1"/>
    <col min="4106" max="4106" width="19.5703125" style="134" customWidth="1"/>
    <col min="4107" max="4107" width="15.85546875" style="134" customWidth="1"/>
    <col min="4108" max="4108" width="3.140625" style="134" customWidth="1"/>
    <col min="4109" max="4109" width="28.85546875" style="134" customWidth="1"/>
    <col min="4110" max="4110" width="32.28515625" style="134" customWidth="1"/>
    <col min="4111" max="4111" width="36.28515625" style="134" customWidth="1"/>
    <col min="4112" max="4112" width="16.28515625" style="134" customWidth="1"/>
    <col min="4113" max="4113" width="35.7109375" style="134" customWidth="1"/>
    <col min="4114" max="4114" width="36.28515625" style="134" customWidth="1"/>
    <col min="4115" max="4115" width="35.7109375" style="134" customWidth="1"/>
    <col min="4116" max="4116" width="36.28515625" style="134" customWidth="1"/>
    <col min="4117" max="4117" width="35.7109375" style="134" customWidth="1"/>
    <col min="4118" max="4118" width="36.28515625" style="134" customWidth="1"/>
    <col min="4119" max="4119" width="35.7109375" style="134" customWidth="1"/>
    <col min="4120" max="4120" width="36.28515625" style="134" customWidth="1"/>
    <col min="4121" max="4121" width="16.28515625" style="134" customWidth="1"/>
    <col min="4122" max="4122" width="78.42578125" style="134" bestFit="1" customWidth="1"/>
    <col min="4123" max="4123" width="52.7109375" style="134" bestFit="1" customWidth="1"/>
    <col min="4124" max="4352" width="11.42578125" style="134"/>
    <col min="4353" max="4353" width="25.85546875" style="134" customWidth="1"/>
    <col min="4354" max="4354" width="20.85546875" style="134" bestFit="1" customWidth="1"/>
    <col min="4355" max="4355" width="28.85546875" style="134" customWidth="1"/>
    <col min="4356" max="4356" width="23.7109375" style="134" customWidth="1"/>
    <col min="4357" max="4357" width="24.42578125" style="134" bestFit="1" customWidth="1"/>
    <col min="4358" max="4358" width="21.140625" style="134" customWidth="1"/>
    <col min="4359" max="4361" width="25.7109375" style="134" customWidth="1"/>
    <col min="4362" max="4362" width="19.5703125" style="134" customWidth="1"/>
    <col min="4363" max="4363" width="15.85546875" style="134" customWidth="1"/>
    <col min="4364" max="4364" width="3.140625" style="134" customWidth="1"/>
    <col min="4365" max="4365" width="28.85546875" style="134" customWidth="1"/>
    <col min="4366" max="4366" width="32.28515625" style="134" customWidth="1"/>
    <col min="4367" max="4367" width="36.28515625" style="134" customWidth="1"/>
    <col min="4368" max="4368" width="16.28515625" style="134" customWidth="1"/>
    <col min="4369" max="4369" width="35.7109375" style="134" customWidth="1"/>
    <col min="4370" max="4370" width="36.28515625" style="134" customWidth="1"/>
    <col min="4371" max="4371" width="35.7109375" style="134" customWidth="1"/>
    <col min="4372" max="4372" width="36.28515625" style="134" customWidth="1"/>
    <col min="4373" max="4373" width="35.7109375" style="134" customWidth="1"/>
    <col min="4374" max="4374" width="36.28515625" style="134" customWidth="1"/>
    <col min="4375" max="4375" width="35.7109375" style="134" customWidth="1"/>
    <col min="4376" max="4376" width="36.28515625" style="134" customWidth="1"/>
    <col min="4377" max="4377" width="16.28515625" style="134" customWidth="1"/>
    <col min="4378" max="4378" width="78.42578125" style="134" bestFit="1" customWidth="1"/>
    <col min="4379" max="4379" width="52.7109375" style="134" bestFit="1" customWidth="1"/>
    <col min="4380" max="4608" width="11.42578125" style="134"/>
    <col min="4609" max="4609" width="25.85546875" style="134" customWidth="1"/>
    <col min="4610" max="4610" width="20.85546875" style="134" bestFit="1" customWidth="1"/>
    <col min="4611" max="4611" width="28.85546875" style="134" customWidth="1"/>
    <col min="4612" max="4612" width="23.7109375" style="134" customWidth="1"/>
    <col min="4613" max="4613" width="24.42578125" style="134" bestFit="1" customWidth="1"/>
    <col min="4614" max="4614" width="21.140625" style="134" customWidth="1"/>
    <col min="4615" max="4617" width="25.7109375" style="134" customWidth="1"/>
    <col min="4618" max="4618" width="19.5703125" style="134" customWidth="1"/>
    <col min="4619" max="4619" width="15.85546875" style="134" customWidth="1"/>
    <col min="4620" max="4620" width="3.140625" style="134" customWidth="1"/>
    <col min="4621" max="4621" width="28.85546875" style="134" customWidth="1"/>
    <col min="4622" max="4622" width="32.28515625" style="134" customWidth="1"/>
    <col min="4623" max="4623" width="36.28515625" style="134" customWidth="1"/>
    <col min="4624" max="4624" width="16.28515625" style="134" customWidth="1"/>
    <col min="4625" max="4625" width="35.7109375" style="134" customWidth="1"/>
    <col min="4626" max="4626" width="36.28515625" style="134" customWidth="1"/>
    <col min="4627" max="4627" width="35.7109375" style="134" customWidth="1"/>
    <col min="4628" max="4628" width="36.28515625" style="134" customWidth="1"/>
    <col min="4629" max="4629" width="35.7109375" style="134" customWidth="1"/>
    <col min="4630" max="4630" width="36.28515625" style="134" customWidth="1"/>
    <col min="4631" max="4631" width="35.7109375" style="134" customWidth="1"/>
    <col min="4632" max="4632" width="36.28515625" style="134" customWidth="1"/>
    <col min="4633" max="4633" width="16.28515625" style="134" customWidth="1"/>
    <col min="4634" max="4634" width="78.42578125" style="134" bestFit="1" customWidth="1"/>
    <col min="4635" max="4635" width="52.7109375" style="134" bestFit="1" customWidth="1"/>
    <col min="4636" max="4864" width="11.42578125" style="134"/>
    <col min="4865" max="4865" width="25.85546875" style="134" customWidth="1"/>
    <col min="4866" max="4866" width="20.85546875" style="134" bestFit="1" customWidth="1"/>
    <col min="4867" max="4867" width="28.85546875" style="134" customWidth="1"/>
    <col min="4868" max="4868" width="23.7109375" style="134" customWidth="1"/>
    <col min="4869" max="4869" width="24.42578125" style="134" bestFit="1" customWidth="1"/>
    <col min="4870" max="4870" width="21.140625" style="134" customWidth="1"/>
    <col min="4871" max="4873" width="25.7109375" style="134" customWidth="1"/>
    <col min="4874" max="4874" width="19.5703125" style="134" customWidth="1"/>
    <col min="4875" max="4875" width="15.85546875" style="134" customWidth="1"/>
    <col min="4876" max="4876" width="3.140625" style="134" customWidth="1"/>
    <col min="4877" max="4877" width="28.85546875" style="134" customWidth="1"/>
    <col min="4878" max="4878" width="32.28515625" style="134" customWidth="1"/>
    <col min="4879" max="4879" width="36.28515625" style="134" customWidth="1"/>
    <col min="4880" max="4880" width="16.28515625" style="134" customWidth="1"/>
    <col min="4881" max="4881" width="35.7109375" style="134" customWidth="1"/>
    <col min="4882" max="4882" width="36.28515625" style="134" customWidth="1"/>
    <col min="4883" max="4883" width="35.7109375" style="134" customWidth="1"/>
    <col min="4884" max="4884" width="36.28515625" style="134" customWidth="1"/>
    <col min="4885" max="4885" width="35.7109375" style="134" customWidth="1"/>
    <col min="4886" max="4886" width="36.28515625" style="134" customWidth="1"/>
    <col min="4887" max="4887" width="35.7109375" style="134" customWidth="1"/>
    <col min="4888" max="4888" width="36.28515625" style="134" customWidth="1"/>
    <col min="4889" max="4889" width="16.28515625" style="134" customWidth="1"/>
    <col min="4890" max="4890" width="78.42578125" style="134" bestFit="1" customWidth="1"/>
    <col min="4891" max="4891" width="52.7109375" style="134" bestFit="1" customWidth="1"/>
    <col min="4892" max="5120" width="11.42578125" style="134"/>
    <col min="5121" max="5121" width="25.85546875" style="134" customWidth="1"/>
    <col min="5122" max="5122" width="20.85546875" style="134" bestFit="1" customWidth="1"/>
    <col min="5123" max="5123" width="28.85546875" style="134" customWidth="1"/>
    <col min="5124" max="5124" width="23.7109375" style="134" customWidth="1"/>
    <col min="5125" max="5125" width="24.42578125" style="134" bestFit="1" customWidth="1"/>
    <col min="5126" max="5126" width="21.140625" style="134" customWidth="1"/>
    <col min="5127" max="5129" width="25.7109375" style="134" customWidth="1"/>
    <col min="5130" max="5130" width="19.5703125" style="134" customWidth="1"/>
    <col min="5131" max="5131" width="15.85546875" style="134" customWidth="1"/>
    <col min="5132" max="5132" width="3.140625" style="134" customWidth="1"/>
    <col min="5133" max="5133" width="28.85546875" style="134" customWidth="1"/>
    <col min="5134" max="5134" width="32.28515625" style="134" customWidth="1"/>
    <col min="5135" max="5135" width="36.28515625" style="134" customWidth="1"/>
    <col min="5136" max="5136" width="16.28515625" style="134" customWidth="1"/>
    <col min="5137" max="5137" width="35.7109375" style="134" customWidth="1"/>
    <col min="5138" max="5138" width="36.28515625" style="134" customWidth="1"/>
    <col min="5139" max="5139" width="35.7109375" style="134" customWidth="1"/>
    <col min="5140" max="5140" width="36.28515625" style="134" customWidth="1"/>
    <col min="5141" max="5141" width="35.7109375" style="134" customWidth="1"/>
    <col min="5142" max="5142" width="36.28515625" style="134" customWidth="1"/>
    <col min="5143" max="5143" width="35.7109375" style="134" customWidth="1"/>
    <col min="5144" max="5144" width="36.28515625" style="134" customWidth="1"/>
    <col min="5145" max="5145" width="16.28515625" style="134" customWidth="1"/>
    <col min="5146" max="5146" width="78.42578125" style="134" bestFit="1" customWidth="1"/>
    <col min="5147" max="5147" width="52.7109375" style="134" bestFit="1" customWidth="1"/>
    <col min="5148" max="5376" width="11.42578125" style="134"/>
    <col min="5377" max="5377" width="25.85546875" style="134" customWidth="1"/>
    <col min="5378" max="5378" width="20.85546875" style="134" bestFit="1" customWidth="1"/>
    <col min="5379" max="5379" width="28.85546875" style="134" customWidth="1"/>
    <col min="5380" max="5380" width="23.7109375" style="134" customWidth="1"/>
    <col min="5381" max="5381" width="24.42578125" style="134" bestFit="1" customWidth="1"/>
    <col min="5382" max="5382" width="21.140625" style="134" customWidth="1"/>
    <col min="5383" max="5385" width="25.7109375" style="134" customWidth="1"/>
    <col min="5386" max="5386" width="19.5703125" style="134" customWidth="1"/>
    <col min="5387" max="5387" width="15.85546875" style="134" customWidth="1"/>
    <col min="5388" max="5388" width="3.140625" style="134" customWidth="1"/>
    <col min="5389" max="5389" width="28.85546875" style="134" customWidth="1"/>
    <col min="5390" max="5390" width="32.28515625" style="134" customWidth="1"/>
    <col min="5391" max="5391" width="36.28515625" style="134" customWidth="1"/>
    <col min="5392" max="5392" width="16.28515625" style="134" customWidth="1"/>
    <col min="5393" max="5393" width="35.7109375" style="134" customWidth="1"/>
    <col min="5394" max="5394" width="36.28515625" style="134" customWidth="1"/>
    <col min="5395" max="5395" width="35.7109375" style="134" customWidth="1"/>
    <col min="5396" max="5396" width="36.28515625" style="134" customWidth="1"/>
    <col min="5397" max="5397" width="35.7109375" style="134" customWidth="1"/>
    <col min="5398" max="5398" width="36.28515625" style="134" customWidth="1"/>
    <col min="5399" max="5399" width="35.7109375" style="134" customWidth="1"/>
    <col min="5400" max="5400" width="36.28515625" style="134" customWidth="1"/>
    <col min="5401" max="5401" width="16.28515625" style="134" customWidth="1"/>
    <col min="5402" max="5402" width="78.42578125" style="134" bestFit="1" customWidth="1"/>
    <col min="5403" max="5403" width="52.7109375" style="134" bestFit="1" customWidth="1"/>
    <col min="5404" max="5632" width="11.42578125" style="134"/>
    <col min="5633" max="5633" width="25.85546875" style="134" customWidth="1"/>
    <col min="5634" max="5634" width="20.85546875" style="134" bestFit="1" customWidth="1"/>
    <col min="5635" max="5635" width="28.85546875" style="134" customWidth="1"/>
    <col min="5636" max="5636" width="23.7109375" style="134" customWidth="1"/>
    <col min="5637" max="5637" width="24.42578125" style="134" bestFit="1" customWidth="1"/>
    <col min="5638" max="5638" width="21.140625" style="134" customWidth="1"/>
    <col min="5639" max="5641" width="25.7109375" style="134" customWidth="1"/>
    <col min="5642" max="5642" width="19.5703125" style="134" customWidth="1"/>
    <col min="5643" max="5643" width="15.85546875" style="134" customWidth="1"/>
    <col min="5644" max="5644" width="3.140625" style="134" customWidth="1"/>
    <col min="5645" max="5645" width="28.85546875" style="134" customWidth="1"/>
    <col min="5646" max="5646" width="32.28515625" style="134" customWidth="1"/>
    <col min="5647" max="5647" width="36.28515625" style="134" customWidth="1"/>
    <col min="5648" max="5648" width="16.28515625" style="134" customWidth="1"/>
    <col min="5649" max="5649" width="35.7109375" style="134" customWidth="1"/>
    <col min="5650" max="5650" width="36.28515625" style="134" customWidth="1"/>
    <col min="5651" max="5651" width="35.7109375" style="134" customWidth="1"/>
    <col min="5652" max="5652" width="36.28515625" style="134" customWidth="1"/>
    <col min="5653" max="5653" width="35.7109375" style="134" customWidth="1"/>
    <col min="5654" max="5654" width="36.28515625" style="134" customWidth="1"/>
    <col min="5655" max="5655" width="35.7109375" style="134" customWidth="1"/>
    <col min="5656" max="5656" width="36.28515625" style="134" customWidth="1"/>
    <col min="5657" max="5657" width="16.28515625" style="134" customWidth="1"/>
    <col min="5658" max="5658" width="78.42578125" style="134" bestFit="1" customWidth="1"/>
    <col min="5659" max="5659" width="52.7109375" style="134" bestFit="1" customWidth="1"/>
    <col min="5660" max="5888" width="11.42578125" style="134"/>
    <col min="5889" max="5889" width="25.85546875" style="134" customWidth="1"/>
    <col min="5890" max="5890" width="20.85546875" style="134" bestFit="1" customWidth="1"/>
    <col min="5891" max="5891" width="28.85546875" style="134" customWidth="1"/>
    <col min="5892" max="5892" width="23.7109375" style="134" customWidth="1"/>
    <col min="5893" max="5893" width="24.42578125" style="134" bestFit="1" customWidth="1"/>
    <col min="5894" max="5894" width="21.140625" style="134" customWidth="1"/>
    <col min="5895" max="5897" width="25.7109375" style="134" customWidth="1"/>
    <col min="5898" max="5898" width="19.5703125" style="134" customWidth="1"/>
    <col min="5899" max="5899" width="15.85546875" style="134" customWidth="1"/>
    <col min="5900" max="5900" width="3.140625" style="134" customWidth="1"/>
    <col min="5901" max="5901" width="28.85546875" style="134" customWidth="1"/>
    <col min="5902" max="5902" width="32.28515625" style="134" customWidth="1"/>
    <col min="5903" max="5903" width="36.28515625" style="134" customWidth="1"/>
    <col min="5904" max="5904" width="16.28515625" style="134" customWidth="1"/>
    <col min="5905" max="5905" width="35.7109375" style="134" customWidth="1"/>
    <col min="5906" max="5906" width="36.28515625" style="134" customWidth="1"/>
    <col min="5907" max="5907" width="35.7109375" style="134" customWidth="1"/>
    <col min="5908" max="5908" width="36.28515625" style="134" customWidth="1"/>
    <col min="5909" max="5909" width="35.7109375" style="134" customWidth="1"/>
    <col min="5910" max="5910" width="36.28515625" style="134" customWidth="1"/>
    <col min="5911" max="5911" width="35.7109375" style="134" customWidth="1"/>
    <col min="5912" max="5912" width="36.28515625" style="134" customWidth="1"/>
    <col min="5913" max="5913" width="16.28515625" style="134" customWidth="1"/>
    <col min="5914" max="5914" width="78.42578125" style="134" bestFit="1" customWidth="1"/>
    <col min="5915" max="5915" width="52.7109375" style="134" bestFit="1" customWidth="1"/>
    <col min="5916" max="6144" width="11.42578125" style="134"/>
    <col min="6145" max="6145" width="25.85546875" style="134" customWidth="1"/>
    <col min="6146" max="6146" width="20.85546875" style="134" bestFit="1" customWidth="1"/>
    <col min="6147" max="6147" width="28.85546875" style="134" customWidth="1"/>
    <col min="6148" max="6148" width="23.7109375" style="134" customWidth="1"/>
    <col min="6149" max="6149" width="24.42578125" style="134" bestFit="1" customWidth="1"/>
    <col min="6150" max="6150" width="21.140625" style="134" customWidth="1"/>
    <col min="6151" max="6153" width="25.7109375" style="134" customWidth="1"/>
    <col min="6154" max="6154" width="19.5703125" style="134" customWidth="1"/>
    <col min="6155" max="6155" width="15.85546875" style="134" customWidth="1"/>
    <col min="6156" max="6156" width="3.140625" style="134" customWidth="1"/>
    <col min="6157" max="6157" width="28.85546875" style="134" customWidth="1"/>
    <col min="6158" max="6158" width="32.28515625" style="134" customWidth="1"/>
    <col min="6159" max="6159" width="36.28515625" style="134" customWidth="1"/>
    <col min="6160" max="6160" width="16.28515625" style="134" customWidth="1"/>
    <col min="6161" max="6161" width="35.7109375" style="134" customWidth="1"/>
    <col min="6162" max="6162" width="36.28515625" style="134" customWidth="1"/>
    <col min="6163" max="6163" width="35.7109375" style="134" customWidth="1"/>
    <col min="6164" max="6164" width="36.28515625" style="134" customWidth="1"/>
    <col min="6165" max="6165" width="35.7109375" style="134" customWidth="1"/>
    <col min="6166" max="6166" width="36.28515625" style="134" customWidth="1"/>
    <col min="6167" max="6167" width="35.7109375" style="134" customWidth="1"/>
    <col min="6168" max="6168" width="36.28515625" style="134" customWidth="1"/>
    <col min="6169" max="6169" width="16.28515625" style="134" customWidth="1"/>
    <col min="6170" max="6170" width="78.42578125" style="134" bestFit="1" customWidth="1"/>
    <col min="6171" max="6171" width="52.7109375" style="134" bestFit="1" customWidth="1"/>
    <col min="6172" max="6400" width="11.42578125" style="134"/>
    <col min="6401" max="6401" width="25.85546875" style="134" customWidth="1"/>
    <col min="6402" max="6402" width="20.85546875" style="134" bestFit="1" customWidth="1"/>
    <col min="6403" max="6403" width="28.85546875" style="134" customWidth="1"/>
    <col min="6404" max="6404" width="23.7109375" style="134" customWidth="1"/>
    <col min="6405" max="6405" width="24.42578125" style="134" bestFit="1" customWidth="1"/>
    <col min="6406" max="6406" width="21.140625" style="134" customWidth="1"/>
    <col min="6407" max="6409" width="25.7109375" style="134" customWidth="1"/>
    <col min="6410" max="6410" width="19.5703125" style="134" customWidth="1"/>
    <col min="6411" max="6411" width="15.85546875" style="134" customWidth="1"/>
    <col min="6412" max="6412" width="3.140625" style="134" customWidth="1"/>
    <col min="6413" max="6413" width="28.85546875" style="134" customWidth="1"/>
    <col min="6414" max="6414" width="32.28515625" style="134" customWidth="1"/>
    <col min="6415" max="6415" width="36.28515625" style="134" customWidth="1"/>
    <col min="6416" max="6416" width="16.28515625" style="134" customWidth="1"/>
    <col min="6417" max="6417" width="35.7109375" style="134" customWidth="1"/>
    <col min="6418" max="6418" width="36.28515625" style="134" customWidth="1"/>
    <col min="6419" max="6419" width="35.7109375" style="134" customWidth="1"/>
    <col min="6420" max="6420" width="36.28515625" style="134" customWidth="1"/>
    <col min="6421" max="6421" width="35.7109375" style="134" customWidth="1"/>
    <col min="6422" max="6422" width="36.28515625" style="134" customWidth="1"/>
    <col min="6423" max="6423" width="35.7109375" style="134" customWidth="1"/>
    <col min="6424" max="6424" width="36.28515625" style="134" customWidth="1"/>
    <col min="6425" max="6425" width="16.28515625" style="134" customWidth="1"/>
    <col min="6426" max="6426" width="78.42578125" style="134" bestFit="1" customWidth="1"/>
    <col min="6427" max="6427" width="52.7109375" style="134" bestFit="1" customWidth="1"/>
    <col min="6428" max="6656" width="11.42578125" style="134"/>
    <col min="6657" max="6657" width="25.85546875" style="134" customWidth="1"/>
    <col min="6658" max="6658" width="20.85546875" style="134" bestFit="1" customWidth="1"/>
    <col min="6659" max="6659" width="28.85546875" style="134" customWidth="1"/>
    <col min="6660" max="6660" width="23.7109375" style="134" customWidth="1"/>
    <col min="6661" max="6661" width="24.42578125" style="134" bestFit="1" customWidth="1"/>
    <col min="6662" max="6662" width="21.140625" style="134" customWidth="1"/>
    <col min="6663" max="6665" width="25.7109375" style="134" customWidth="1"/>
    <col min="6666" max="6666" width="19.5703125" style="134" customWidth="1"/>
    <col min="6667" max="6667" width="15.85546875" style="134" customWidth="1"/>
    <col min="6668" max="6668" width="3.140625" style="134" customWidth="1"/>
    <col min="6669" max="6669" width="28.85546875" style="134" customWidth="1"/>
    <col min="6670" max="6670" width="32.28515625" style="134" customWidth="1"/>
    <col min="6671" max="6671" width="36.28515625" style="134" customWidth="1"/>
    <col min="6672" max="6672" width="16.28515625" style="134" customWidth="1"/>
    <col min="6673" max="6673" width="35.7109375" style="134" customWidth="1"/>
    <col min="6674" max="6674" width="36.28515625" style="134" customWidth="1"/>
    <col min="6675" max="6675" width="35.7109375" style="134" customWidth="1"/>
    <col min="6676" max="6676" width="36.28515625" style="134" customWidth="1"/>
    <col min="6677" max="6677" width="35.7109375" style="134" customWidth="1"/>
    <col min="6678" max="6678" width="36.28515625" style="134" customWidth="1"/>
    <col min="6679" max="6679" width="35.7109375" style="134" customWidth="1"/>
    <col min="6680" max="6680" width="36.28515625" style="134" customWidth="1"/>
    <col min="6681" max="6681" width="16.28515625" style="134" customWidth="1"/>
    <col min="6682" max="6682" width="78.42578125" style="134" bestFit="1" customWidth="1"/>
    <col min="6683" max="6683" width="52.7109375" style="134" bestFit="1" customWidth="1"/>
    <col min="6684" max="6912" width="11.42578125" style="134"/>
    <col min="6913" max="6913" width="25.85546875" style="134" customWidth="1"/>
    <col min="6914" max="6914" width="20.85546875" style="134" bestFit="1" customWidth="1"/>
    <col min="6915" max="6915" width="28.85546875" style="134" customWidth="1"/>
    <col min="6916" max="6916" width="23.7109375" style="134" customWidth="1"/>
    <col min="6917" max="6917" width="24.42578125" style="134" bestFit="1" customWidth="1"/>
    <col min="6918" max="6918" width="21.140625" style="134" customWidth="1"/>
    <col min="6919" max="6921" width="25.7109375" style="134" customWidth="1"/>
    <col min="6922" max="6922" width="19.5703125" style="134" customWidth="1"/>
    <col min="6923" max="6923" width="15.85546875" style="134" customWidth="1"/>
    <col min="6924" max="6924" width="3.140625" style="134" customWidth="1"/>
    <col min="6925" max="6925" width="28.85546875" style="134" customWidth="1"/>
    <col min="6926" max="6926" width="32.28515625" style="134" customWidth="1"/>
    <col min="6927" max="6927" width="36.28515625" style="134" customWidth="1"/>
    <col min="6928" max="6928" width="16.28515625" style="134" customWidth="1"/>
    <col min="6929" max="6929" width="35.7109375" style="134" customWidth="1"/>
    <col min="6930" max="6930" width="36.28515625" style="134" customWidth="1"/>
    <col min="6931" max="6931" width="35.7109375" style="134" customWidth="1"/>
    <col min="6932" max="6932" width="36.28515625" style="134" customWidth="1"/>
    <col min="6933" max="6933" width="35.7109375" style="134" customWidth="1"/>
    <col min="6934" max="6934" width="36.28515625" style="134" customWidth="1"/>
    <col min="6935" max="6935" width="35.7109375" style="134" customWidth="1"/>
    <col min="6936" max="6936" width="36.28515625" style="134" customWidth="1"/>
    <col min="6937" max="6937" width="16.28515625" style="134" customWidth="1"/>
    <col min="6938" max="6938" width="78.42578125" style="134" bestFit="1" customWidth="1"/>
    <col min="6939" max="6939" width="52.7109375" style="134" bestFit="1" customWidth="1"/>
    <col min="6940" max="7168" width="11.42578125" style="134"/>
    <col min="7169" max="7169" width="25.85546875" style="134" customWidth="1"/>
    <col min="7170" max="7170" width="20.85546875" style="134" bestFit="1" customWidth="1"/>
    <col min="7171" max="7171" width="28.85546875" style="134" customWidth="1"/>
    <col min="7172" max="7172" width="23.7109375" style="134" customWidth="1"/>
    <col min="7173" max="7173" width="24.42578125" style="134" bestFit="1" customWidth="1"/>
    <col min="7174" max="7174" width="21.140625" style="134" customWidth="1"/>
    <col min="7175" max="7177" width="25.7109375" style="134" customWidth="1"/>
    <col min="7178" max="7178" width="19.5703125" style="134" customWidth="1"/>
    <col min="7179" max="7179" width="15.85546875" style="134" customWidth="1"/>
    <col min="7180" max="7180" width="3.140625" style="134" customWidth="1"/>
    <col min="7181" max="7181" width="28.85546875" style="134" customWidth="1"/>
    <col min="7182" max="7182" width="32.28515625" style="134" customWidth="1"/>
    <col min="7183" max="7183" width="36.28515625" style="134" customWidth="1"/>
    <col min="7184" max="7184" width="16.28515625" style="134" customWidth="1"/>
    <col min="7185" max="7185" width="35.7109375" style="134" customWidth="1"/>
    <col min="7186" max="7186" width="36.28515625" style="134" customWidth="1"/>
    <col min="7187" max="7187" width="35.7109375" style="134" customWidth="1"/>
    <col min="7188" max="7188" width="36.28515625" style="134" customWidth="1"/>
    <col min="7189" max="7189" width="35.7109375" style="134" customWidth="1"/>
    <col min="7190" max="7190" width="36.28515625" style="134" customWidth="1"/>
    <col min="7191" max="7191" width="35.7109375" style="134" customWidth="1"/>
    <col min="7192" max="7192" width="36.28515625" style="134" customWidth="1"/>
    <col min="7193" max="7193" width="16.28515625" style="134" customWidth="1"/>
    <col min="7194" max="7194" width="78.42578125" style="134" bestFit="1" customWidth="1"/>
    <col min="7195" max="7195" width="52.7109375" style="134" bestFit="1" customWidth="1"/>
    <col min="7196" max="7424" width="11.42578125" style="134"/>
    <col min="7425" max="7425" width="25.85546875" style="134" customWidth="1"/>
    <col min="7426" max="7426" width="20.85546875" style="134" bestFit="1" customWidth="1"/>
    <col min="7427" max="7427" width="28.85546875" style="134" customWidth="1"/>
    <col min="7428" max="7428" width="23.7109375" style="134" customWidth="1"/>
    <col min="7429" max="7429" width="24.42578125" style="134" bestFit="1" customWidth="1"/>
    <col min="7430" max="7430" width="21.140625" style="134" customWidth="1"/>
    <col min="7431" max="7433" width="25.7109375" style="134" customWidth="1"/>
    <col min="7434" max="7434" width="19.5703125" style="134" customWidth="1"/>
    <col min="7435" max="7435" width="15.85546875" style="134" customWidth="1"/>
    <col min="7436" max="7436" width="3.140625" style="134" customWidth="1"/>
    <col min="7437" max="7437" width="28.85546875" style="134" customWidth="1"/>
    <col min="7438" max="7438" width="32.28515625" style="134" customWidth="1"/>
    <col min="7439" max="7439" width="36.28515625" style="134" customWidth="1"/>
    <col min="7440" max="7440" width="16.28515625" style="134" customWidth="1"/>
    <col min="7441" max="7441" width="35.7109375" style="134" customWidth="1"/>
    <col min="7442" max="7442" width="36.28515625" style="134" customWidth="1"/>
    <col min="7443" max="7443" width="35.7109375" style="134" customWidth="1"/>
    <col min="7444" max="7444" width="36.28515625" style="134" customWidth="1"/>
    <col min="7445" max="7445" width="35.7109375" style="134" customWidth="1"/>
    <col min="7446" max="7446" width="36.28515625" style="134" customWidth="1"/>
    <col min="7447" max="7447" width="35.7109375" style="134" customWidth="1"/>
    <col min="7448" max="7448" width="36.28515625" style="134" customWidth="1"/>
    <col min="7449" max="7449" width="16.28515625" style="134" customWidth="1"/>
    <col min="7450" max="7450" width="78.42578125" style="134" bestFit="1" customWidth="1"/>
    <col min="7451" max="7451" width="52.7109375" style="134" bestFit="1" customWidth="1"/>
    <col min="7452" max="7680" width="11.42578125" style="134"/>
    <col min="7681" max="7681" width="25.85546875" style="134" customWidth="1"/>
    <col min="7682" max="7682" width="20.85546875" style="134" bestFit="1" customWidth="1"/>
    <col min="7683" max="7683" width="28.85546875" style="134" customWidth="1"/>
    <col min="7684" max="7684" width="23.7109375" style="134" customWidth="1"/>
    <col min="7685" max="7685" width="24.42578125" style="134" bestFit="1" customWidth="1"/>
    <col min="7686" max="7686" width="21.140625" style="134" customWidth="1"/>
    <col min="7687" max="7689" width="25.7109375" style="134" customWidth="1"/>
    <col min="7690" max="7690" width="19.5703125" style="134" customWidth="1"/>
    <col min="7691" max="7691" width="15.85546875" style="134" customWidth="1"/>
    <col min="7692" max="7692" width="3.140625" style="134" customWidth="1"/>
    <col min="7693" max="7693" width="28.85546875" style="134" customWidth="1"/>
    <col min="7694" max="7694" width="32.28515625" style="134" customWidth="1"/>
    <col min="7695" max="7695" width="36.28515625" style="134" customWidth="1"/>
    <col min="7696" max="7696" width="16.28515625" style="134" customWidth="1"/>
    <col min="7697" max="7697" width="35.7109375" style="134" customWidth="1"/>
    <col min="7698" max="7698" width="36.28515625" style="134" customWidth="1"/>
    <col min="7699" max="7699" width="35.7109375" style="134" customWidth="1"/>
    <col min="7700" max="7700" width="36.28515625" style="134" customWidth="1"/>
    <col min="7701" max="7701" width="35.7109375" style="134" customWidth="1"/>
    <col min="7702" max="7702" width="36.28515625" style="134" customWidth="1"/>
    <col min="7703" max="7703" width="35.7109375" style="134" customWidth="1"/>
    <col min="7704" max="7704" width="36.28515625" style="134" customWidth="1"/>
    <col min="7705" max="7705" width="16.28515625" style="134" customWidth="1"/>
    <col min="7706" max="7706" width="78.42578125" style="134" bestFit="1" customWidth="1"/>
    <col min="7707" max="7707" width="52.7109375" style="134" bestFit="1" customWidth="1"/>
    <col min="7708" max="7936" width="11.42578125" style="134"/>
    <col min="7937" max="7937" width="25.85546875" style="134" customWidth="1"/>
    <col min="7938" max="7938" width="20.85546875" style="134" bestFit="1" customWidth="1"/>
    <col min="7939" max="7939" width="28.85546875" style="134" customWidth="1"/>
    <col min="7940" max="7940" width="23.7109375" style="134" customWidth="1"/>
    <col min="7941" max="7941" width="24.42578125" style="134" bestFit="1" customWidth="1"/>
    <col min="7942" max="7942" width="21.140625" style="134" customWidth="1"/>
    <col min="7943" max="7945" width="25.7109375" style="134" customWidth="1"/>
    <col min="7946" max="7946" width="19.5703125" style="134" customWidth="1"/>
    <col min="7947" max="7947" width="15.85546875" style="134" customWidth="1"/>
    <col min="7948" max="7948" width="3.140625" style="134" customWidth="1"/>
    <col min="7949" max="7949" width="28.85546875" style="134" customWidth="1"/>
    <col min="7950" max="7950" width="32.28515625" style="134" customWidth="1"/>
    <col min="7951" max="7951" width="36.28515625" style="134" customWidth="1"/>
    <col min="7952" max="7952" width="16.28515625" style="134" customWidth="1"/>
    <col min="7953" max="7953" width="35.7109375" style="134" customWidth="1"/>
    <col min="7954" max="7954" width="36.28515625" style="134" customWidth="1"/>
    <col min="7955" max="7955" width="35.7109375" style="134" customWidth="1"/>
    <col min="7956" max="7956" width="36.28515625" style="134" customWidth="1"/>
    <col min="7957" max="7957" width="35.7109375" style="134" customWidth="1"/>
    <col min="7958" max="7958" width="36.28515625" style="134" customWidth="1"/>
    <col min="7959" max="7959" width="35.7109375" style="134" customWidth="1"/>
    <col min="7960" max="7960" width="36.28515625" style="134" customWidth="1"/>
    <col min="7961" max="7961" width="16.28515625" style="134" customWidth="1"/>
    <col min="7962" max="7962" width="78.42578125" style="134" bestFit="1" customWidth="1"/>
    <col min="7963" max="7963" width="52.7109375" style="134" bestFit="1" customWidth="1"/>
    <col min="7964" max="8192" width="11.42578125" style="134"/>
    <col min="8193" max="8193" width="25.85546875" style="134" customWidth="1"/>
    <col min="8194" max="8194" width="20.85546875" style="134" bestFit="1" customWidth="1"/>
    <col min="8195" max="8195" width="28.85546875" style="134" customWidth="1"/>
    <col min="8196" max="8196" width="23.7109375" style="134" customWidth="1"/>
    <col min="8197" max="8197" width="24.42578125" style="134" bestFit="1" customWidth="1"/>
    <col min="8198" max="8198" width="21.140625" style="134" customWidth="1"/>
    <col min="8199" max="8201" width="25.7109375" style="134" customWidth="1"/>
    <col min="8202" max="8202" width="19.5703125" style="134" customWidth="1"/>
    <col min="8203" max="8203" width="15.85546875" style="134" customWidth="1"/>
    <col min="8204" max="8204" width="3.140625" style="134" customWidth="1"/>
    <col min="8205" max="8205" width="28.85546875" style="134" customWidth="1"/>
    <col min="8206" max="8206" width="32.28515625" style="134" customWidth="1"/>
    <col min="8207" max="8207" width="36.28515625" style="134" customWidth="1"/>
    <col min="8208" max="8208" width="16.28515625" style="134" customWidth="1"/>
    <col min="8209" max="8209" width="35.7109375" style="134" customWidth="1"/>
    <col min="8210" max="8210" width="36.28515625" style="134" customWidth="1"/>
    <col min="8211" max="8211" width="35.7109375" style="134" customWidth="1"/>
    <col min="8212" max="8212" width="36.28515625" style="134" customWidth="1"/>
    <col min="8213" max="8213" width="35.7109375" style="134" customWidth="1"/>
    <col min="8214" max="8214" width="36.28515625" style="134" customWidth="1"/>
    <col min="8215" max="8215" width="35.7109375" style="134" customWidth="1"/>
    <col min="8216" max="8216" width="36.28515625" style="134" customWidth="1"/>
    <col min="8217" max="8217" width="16.28515625" style="134" customWidth="1"/>
    <col min="8218" max="8218" width="78.42578125" style="134" bestFit="1" customWidth="1"/>
    <col min="8219" max="8219" width="52.7109375" style="134" bestFit="1" customWidth="1"/>
    <col min="8220" max="8448" width="11.42578125" style="134"/>
    <col min="8449" max="8449" width="25.85546875" style="134" customWidth="1"/>
    <col min="8450" max="8450" width="20.85546875" style="134" bestFit="1" customWidth="1"/>
    <col min="8451" max="8451" width="28.85546875" style="134" customWidth="1"/>
    <col min="8452" max="8452" width="23.7109375" style="134" customWidth="1"/>
    <col min="8453" max="8453" width="24.42578125" style="134" bestFit="1" customWidth="1"/>
    <col min="8454" max="8454" width="21.140625" style="134" customWidth="1"/>
    <col min="8455" max="8457" width="25.7109375" style="134" customWidth="1"/>
    <col min="8458" max="8458" width="19.5703125" style="134" customWidth="1"/>
    <col min="8459" max="8459" width="15.85546875" style="134" customWidth="1"/>
    <col min="8460" max="8460" width="3.140625" style="134" customWidth="1"/>
    <col min="8461" max="8461" width="28.85546875" style="134" customWidth="1"/>
    <col min="8462" max="8462" width="32.28515625" style="134" customWidth="1"/>
    <col min="8463" max="8463" width="36.28515625" style="134" customWidth="1"/>
    <col min="8464" max="8464" width="16.28515625" style="134" customWidth="1"/>
    <col min="8465" max="8465" width="35.7109375" style="134" customWidth="1"/>
    <col min="8466" max="8466" width="36.28515625" style="134" customWidth="1"/>
    <col min="8467" max="8467" width="35.7109375" style="134" customWidth="1"/>
    <col min="8468" max="8468" width="36.28515625" style="134" customWidth="1"/>
    <col min="8469" max="8469" width="35.7109375" style="134" customWidth="1"/>
    <col min="8470" max="8470" width="36.28515625" style="134" customWidth="1"/>
    <col min="8471" max="8471" width="35.7109375" style="134" customWidth="1"/>
    <col min="8472" max="8472" width="36.28515625" style="134" customWidth="1"/>
    <col min="8473" max="8473" width="16.28515625" style="134" customWidth="1"/>
    <col min="8474" max="8474" width="78.42578125" style="134" bestFit="1" customWidth="1"/>
    <col min="8475" max="8475" width="52.7109375" style="134" bestFit="1" customWidth="1"/>
    <col min="8476" max="8704" width="11.42578125" style="134"/>
    <col min="8705" max="8705" width="25.85546875" style="134" customWidth="1"/>
    <col min="8706" max="8706" width="20.85546875" style="134" bestFit="1" customWidth="1"/>
    <col min="8707" max="8707" width="28.85546875" style="134" customWidth="1"/>
    <col min="8708" max="8708" width="23.7109375" style="134" customWidth="1"/>
    <col min="8709" max="8709" width="24.42578125" style="134" bestFit="1" customWidth="1"/>
    <col min="8710" max="8710" width="21.140625" style="134" customWidth="1"/>
    <col min="8711" max="8713" width="25.7109375" style="134" customWidth="1"/>
    <col min="8714" max="8714" width="19.5703125" style="134" customWidth="1"/>
    <col min="8715" max="8715" width="15.85546875" style="134" customWidth="1"/>
    <col min="8716" max="8716" width="3.140625" style="134" customWidth="1"/>
    <col min="8717" max="8717" width="28.85546875" style="134" customWidth="1"/>
    <col min="8718" max="8718" width="32.28515625" style="134" customWidth="1"/>
    <col min="8719" max="8719" width="36.28515625" style="134" customWidth="1"/>
    <col min="8720" max="8720" width="16.28515625" style="134" customWidth="1"/>
    <col min="8721" max="8721" width="35.7109375" style="134" customWidth="1"/>
    <col min="8722" max="8722" width="36.28515625" style="134" customWidth="1"/>
    <col min="8723" max="8723" width="35.7109375" style="134" customWidth="1"/>
    <col min="8724" max="8724" width="36.28515625" style="134" customWidth="1"/>
    <col min="8725" max="8725" width="35.7109375" style="134" customWidth="1"/>
    <col min="8726" max="8726" width="36.28515625" style="134" customWidth="1"/>
    <col min="8727" max="8727" width="35.7109375" style="134" customWidth="1"/>
    <col min="8728" max="8728" width="36.28515625" style="134" customWidth="1"/>
    <col min="8729" max="8729" width="16.28515625" style="134" customWidth="1"/>
    <col min="8730" max="8730" width="78.42578125" style="134" bestFit="1" customWidth="1"/>
    <col min="8731" max="8731" width="52.7109375" style="134" bestFit="1" customWidth="1"/>
    <col min="8732" max="8960" width="11.42578125" style="134"/>
    <col min="8961" max="8961" width="25.85546875" style="134" customWidth="1"/>
    <col min="8962" max="8962" width="20.85546875" style="134" bestFit="1" customWidth="1"/>
    <col min="8963" max="8963" width="28.85546875" style="134" customWidth="1"/>
    <col min="8964" max="8964" width="23.7109375" style="134" customWidth="1"/>
    <col min="8965" max="8965" width="24.42578125" style="134" bestFit="1" customWidth="1"/>
    <col min="8966" max="8966" width="21.140625" style="134" customWidth="1"/>
    <col min="8967" max="8969" width="25.7109375" style="134" customWidth="1"/>
    <col min="8970" max="8970" width="19.5703125" style="134" customWidth="1"/>
    <col min="8971" max="8971" width="15.85546875" style="134" customWidth="1"/>
    <col min="8972" max="8972" width="3.140625" style="134" customWidth="1"/>
    <col min="8973" max="8973" width="28.85546875" style="134" customWidth="1"/>
    <col min="8974" max="8974" width="32.28515625" style="134" customWidth="1"/>
    <col min="8975" max="8975" width="36.28515625" style="134" customWidth="1"/>
    <col min="8976" max="8976" width="16.28515625" style="134" customWidth="1"/>
    <col min="8977" max="8977" width="35.7109375" style="134" customWidth="1"/>
    <col min="8978" max="8978" width="36.28515625" style="134" customWidth="1"/>
    <col min="8979" max="8979" width="35.7109375" style="134" customWidth="1"/>
    <col min="8980" max="8980" width="36.28515625" style="134" customWidth="1"/>
    <col min="8981" max="8981" width="35.7109375" style="134" customWidth="1"/>
    <col min="8982" max="8982" width="36.28515625" style="134" customWidth="1"/>
    <col min="8983" max="8983" width="35.7109375" style="134" customWidth="1"/>
    <col min="8984" max="8984" width="36.28515625" style="134" customWidth="1"/>
    <col min="8985" max="8985" width="16.28515625" style="134" customWidth="1"/>
    <col min="8986" max="8986" width="78.42578125" style="134" bestFit="1" customWidth="1"/>
    <col min="8987" max="8987" width="52.7109375" style="134" bestFit="1" customWidth="1"/>
    <col min="8988" max="9216" width="11.42578125" style="134"/>
    <col min="9217" max="9217" width="25.85546875" style="134" customWidth="1"/>
    <col min="9218" max="9218" width="20.85546875" style="134" bestFit="1" customWidth="1"/>
    <col min="9219" max="9219" width="28.85546875" style="134" customWidth="1"/>
    <col min="9220" max="9220" width="23.7109375" style="134" customWidth="1"/>
    <col min="9221" max="9221" width="24.42578125" style="134" bestFit="1" customWidth="1"/>
    <col min="9222" max="9222" width="21.140625" style="134" customWidth="1"/>
    <col min="9223" max="9225" width="25.7109375" style="134" customWidth="1"/>
    <col min="9226" max="9226" width="19.5703125" style="134" customWidth="1"/>
    <col min="9227" max="9227" width="15.85546875" style="134" customWidth="1"/>
    <col min="9228" max="9228" width="3.140625" style="134" customWidth="1"/>
    <col min="9229" max="9229" width="28.85546875" style="134" customWidth="1"/>
    <col min="9230" max="9230" width="32.28515625" style="134" customWidth="1"/>
    <col min="9231" max="9231" width="36.28515625" style="134" customWidth="1"/>
    <col min="9232" max="9232" width="16.28515625" style="134" customWidth="1"/>
    <col min="9233" max="9233" width="35.7109375" style="134" customWidth="1"/>
    <col min="9234" max="9234" width="36.28515625" style="134" customWidth="1"/>
    <col min="9235" max="9235" width="35.7109375" style="134" customWidth="1"/>
    <col min="9236" max="9236" width="36.28515625" style="134" customWidth="1"/>
    <col min="9237" max="9237" width="35.7109375" style="134" customWidth="1"/>
    <col min="9238" max="9238" width="36.28515625" style="134" customWidth="1"/>
    <col min="9239" max="9239" width="35.7109375" style="134" customWidth="1"/>
    <col min="9240" max="9240" width="36.28515625" style="134" customWidth="1"/>
    <col min="9241" max="9241" width="16.28515625" style="134" customWidth="1"/>
    <col min="9242" max="9242" width="78.42578125" style="134" bestFit="1" customWidth="1"/>
    <col min="9243" max="9243" width="52.7109375" style="134" bestFit="1" customWidth="1"/>
    <col min="9244" max="9472" width="11.42578125" style="134"/>
    <col min="9473" max="9473" width="25.85546875" style="134" customWidth="1"/>
    <col min="9474" max="9474" width="20.85546875" style="134" bestFit="1" customWidth="1"/>
    <col min="9475" max="9475" width="28.85546875" style="134" customWidth="1"/>
    <col min="9476" max="9476" width="23.7109375" style="134" customWidth="1"/>
    <col min="9477" max="9477" width="24.42578125" style="134" bestFit="1" customWidth="1"/>
    <col min="9478" max="9478" width="21.140625" style="134" customWidth="1"/>
    <col min="9479" max="9481" width="25.7109375" style="134" customWidth="1"/>
    <col min="9482" max="9482" width="19.5703125" style="134" customWidth="1"/>
    <col min="9483" max="9483" width="15.85546875" style="134" customWidth="1"/>
    <col min="9484" max="9484" width="3.140625" style="134" customWidth="1"/>
    <col min="9485" max="9485" width="28.85546875" style="134" customWidth="1"/>
    <col min="9486" max="9486" width="32.28515625" style="134" customWidth="1"/>
    <col min="9487" max="9487" width="36.28515625" style="134" customWidth="1"/>
    <col min="9488" max="9488" width="16.28515625" style="134" customWidth="1"/>
    <col min="9489" max="9489" width="35.7109375" style="134" customWidth="1"/>
    <col min="9490" max="9490" width="36.28515625" style="134" customWidth="1"/>
    <col min="9491" max="9491" width="35.7109375" style="134" customWidth="1"/>
    <col min="9492" max="9492" width="36.28515625" style="134" customWidth="1"/>
    <col min="9493" max="9493" width="35.7109375" style="134" customWidth="1"/>
    <col min="9494" max="9494" width="36.28515625" style="134" customWidth="1"/>
    <col min="9495" max="9495" width="35.7109375" style="134" customWidth="1"/>
    <col min="9496" max="9496" width="36.28515625" style="134" customWidth="1"/>
    <col min="9497" max="9497" width="16.28515625" style="134" customWidth="1"/>
    <col min="9498" max="9498" width="78.42578125" style="134" bestFit="1" customWidth="1"/>
    <col min="9499" max="9499" width="52.7109375" style="134" bestFit="1" customWidth="1"/>
    <col min="9500" max="9728" width="11.42578125" style="134"/>
    <col min="9729" max="9729" width="25.85546875" style="134" customWidth="1"/>
    <col min="9730" max="9730" width="20.85546875" style="134" bestFit="1" customWidth="1"/>
    <col min="9731" max="9731" width="28.85546875" style="134" customWidth="1"/>
    <col min="9732" max="9732" width="23.7109375" style="134" customWidth="1"/>
    <col min="9733" max="9733" width="24.42578125" style="134" bestFit="1" customWidth="1"/>
    <col min="9734" max="9734" width="21.140625" style="134" customWidth="1"/>
    <col min="9735" max="9737" width="25.7109375" style="134" customWidth="1"/>
    <col min="9738" max="9738" width="19.5703125" style="134" customWidth="1"/>
    <col min="9739" max="9739" width="15.85546875" style="134" customWidth="1"/>
    <col min="9740" max="9740" width="3.140625" style="134" customWidth="1"/>
    <col min="9741" max="9741" width="28.85546875" style="134" customWidth="1"/>
    <col min="9742" max="9742" width="32.28515625" style="134" customWidth="1"/>
    <col min="9743" max="9743" width="36.28515625" style="134" customWidth="1"/>
    <col min="9744" max="9744" width="16.28515625" style="134" customWidth="1"/>
    <col min="9745" max="9745" width="35.7109375" style="134" customWidth="1"/>
    <col min="9746" max="9746" width="36.28515625" style="134" customWidth="1"/>
    <col min="9747" max="9747" width="35.7109375" style="134" customWidth="1"/>
    <col min="9748" max="9748" width="36.28515625" style="134" customWidth="1"/>
    <col min="9749" max="9749" width="35.7109375" style="134" customWidth="1"/>
    <col min="9750" max="9750" width="36.28515625" style="134" customWidth="1"/>
    <col min="9751" max="9751" width="35.7109375" style="134" customWidth="1"/>
    <col min="9752" max="9752" width="36.28515625" style="134" customWidth="1"/>
    <col min="9753" max="9753" width="16.28515625" style="134" customWidth="1"/>
    <col min="9754" max="9754" width="78.42578125" style="134" bestFit="1" customWidth="1"/>
    <col min="9755" max="9755" width="52.7109375" style="134" bestFit="1" customWidth="1"/>
    <col min="9756" max="9984" width="11.42578125" style="134"/>
    <col min="9985" max="9985" width="25.85546875" style="134" customWidth="1"/>
    <col min="9986" max="9986" width="20.85546875" style="134" bestFit="1" customWidth="1"/>
    <col min="9987" max="9987" width="28.85546875" style="134" customWidth="1"/>
    <col min="9988" max="9988" width="23.7109375" style="134" customWidth="1"/>
    <col min="9989" max="9989" width="24.42578125" style="134" bestFit="1" customWidth="1"/>
    <col min="9990" max="9990" width="21.140625" style="134" customWidth="1"/>
    <col min="9991" max="9993" width="25.7109375" style="134" customWidth="1"/>
    <col min="9994" max="9994" width="19.5703125" style="134" customWidth="1"/>
    <col min="9995" max="9995" width="15.85546875" style="134" customWidth="1"/>
    <col min="9996" max="9996" width="3.140625" style="134" customWidth="1"/>
    <col min="9997" max="9997" width="28.85546875" style="134" customWidth="1"/>
    <col min="9998" max="9998" width="32.28515625" style="134" customWidth="1"/>
    <col min="9999" max="9999" width="36.28515625" style="134" customWidth="1"/>
    <col min="10000" max="10000" width="16.28515625" style="134" customWidth="1"/>
    <col min="10001" max="10001" width="35.7109375" style="134" customWidth="1"/>
    <col min="10002" max="10002" width="36.28515625" style="134" customWidth="1"/>
    <col min="10003" max="10003" width="35.7109375" style="134" customWidth="1"/>
    <col min="10004" max="10004" width="36.28515625" style="134" customWidth="1"/>
    <col min="10005" max="10005" width="35.7109375" style="134" customWidth="1"/>
    <col min="10006" max="10006" width="36.28515625" style="134" customWidth="1"/>
    <col min="10007" max="10007" width="35.7109375" style="134" customWidth="1"/>
    <col min="10008" max="10008" width="36.28515625" style="134" customWidth="1"/>
    <col min="10009" max="10009" width="16.28515625" style="134" customWidth="1"/>
    <col min="10010" max="10010" width="78.42578125" style="134" bestFit="1" customWidth="1"/>
    <col min="10011" max="10011" width="52.7109375" style="134" bestFit="1" customWidth="1"/>
    <col min="10012" max="10240" width="11.42578125" style="134"/>
    <col min="10241" max="10241" width="25.85546875" style="134" customWidth="1"/>
    <col min="10242" max="10242" width="20.85546875" style="134" bestFit="1" customWidth="1"/>
    <col min="10243" max="10243" width="28.85546875" style="134" customWidth="1"/>
    <col min="10244" max="10244" width="23.7109375" style="134" customWidth="1"/>
    <col min="10245" max="10245" width="24.42578125" style="134" bestFit="1" customWidth="1"/>
    <col min="10246" max="10246" width="21.140625" style="134" customWidth="1"/>
    <col min="10247" max="10249" width="25.7109375" style="134" customWidth="1"/>
    <col min="10250" max="10250" width="19.5703125" style="134" customWidth="1"/>
    <col min="10251" max="10251" width="15.85546875" style="134" customWidth="1"/>
    <col min="10252" max="10252" width="3.140625" style="134" customWidth="1"/>
    <col min="10253" max="10253" width="28.85546875" style="134" customWidth="1"/>
    <col min="10254" max="10254" width="32.28515625" style="134" customWidth="1"/>
    <col min="10255" max="10255" width="36.28515625" style="134" customWidth="1"/>
    <col min="10256" max="10256" width="16.28515625" style="134" customWidth="1"/>
    <col min="10257" max="10257" width="35.7109375" style="134" customWidth="1"/>
    <col min="10258" max="10258" width="36.28515625" style="134" customWidth="1"/>
    <col min="10259" max="10259" width="35.7109375" style="134" customWidth="1"/>
    <col min="10260" max="10260" width="36.28515625" style="134" customWidth="1"/>
    <col min="10261" max="10261" width="35.7109375" style="134" customWidth="1"/>
    <col min="10262" max="10262" width="36.28515625" style="134" customWidth="1"/>
    <col min="10263" max="10263" width="35.7109375" style="134" customWidth="1"/>
    <col min="10264" max="10264" width="36.28515625" style="134" customWidth="1"/>
    <col min="10265" max="10265" width="16.28515625" style="134" customWidth="1"/>
    <col min="10266" max="10266" width="78.42578125" style="134" bestFit="1" customWidth="1"/>
    <col min="10267" max="10267" width="52.7109375" style="134" bestFit="1" customWidth="1"/>
    <col min="10268" max="10496" width="11.42578125" style="134"/>
    <col min="10497" max="10497" width="25.85546875" style="134" customWidth="1"/>
    <col min="10498" max="10498" width="20.85546875" style="134" bestFit="1" customWidth="1"/>
    <col min="10499" max="10499" width="28.85546875" style="134" customWidth="1"/>
    <col min="10500" max="10500" width="23.7109375" style="134" customWidth="1"/>
    <col min="10501" max="10501" width="24.42578125" style="134" bestFit="1" customWidth="1"/>
    <col min="10502" max="10502" width="21.140625" style="134" customWidth="1"/>
    <col min="10503" max="10505" width="25.7109375" style="134" customWidth="1"/>
    <col min="10506" max="10506" width="19.5703125" style="134" customWidth="1"/>
    <col min="10507" max="10507" width="15.85546875" style="134" customWidth="1"/>
    <col min="10508" max="10508" width="3.140625" style="134" customWidth="1"/>
    <col min="10509" max="10509" width="28.85546875" style="134" customWidth="1"/>
    <col min="10510" max="10510" width="32.28515625" style="134" customWidth="1"/>
    <col min="10511" max="10511" width="36.28515625" style="134" customWidth="1"/>
    <col min="10512" max="10512" width="16.28515625" style="134" customWidth="1"/>
    <col min="10513" max="10513" width="35.7109375" style="134" customWidth="1"/>
    <col min="10514" max="10514" width="36.28515625" style="134" customWidth="1"/>
    <col min="10515" max="10515" width="35.7109375" style="134" customWidth="1"/>
    <col min="10516" max="10516" width="36.28515625" style="134" customWidth="1"/>
    <col min="10517" max="10517" width="35.7109375" style="134" customWidth="1"/>
    <col min="10518" max="10518" width="36.28515625" style="134" customWidth="1"/>
    <col min="10519" max="10519" width="35.7109375" style="134" customWidth="1"/>
    <col min="10520" max="10520" width="36.28515625" style="134" customWidth="1"/>
    <col min="10521" max="10521" width="16.28515625" style="134" customWidth="1"/>
    <col min="10522" max="10522" width="78.42578125" style="134" bestFit="1" customWidth="1"/>
    <col min="10523" max="10523" width="52.7109375" style="134" bestFit="1" customWidth="1"/>
    <col min="10524" max="10752" width="11.42578125" style="134"/>
    <col min="10753" max="10753" width="25.85546875" style="134" customWidth="1"/>
    <col min="10754" max="10754" width="20.85546875" style="134" bestFit="1" customWidth="1"/>
    <col min="10755" max="10755" width="28.85546875" style="134" customWidth="1"/>
    <col min="10756" max="10756" width="23.7109375" style="134" customWidth="1"/>
    <col min="10757" max="10757" width="24.42578125" style="134" bestFit="1" customWidth="1"/>
    <col min="10758" max="10758" width="21.140625" style="134" customWidth="1"/>
    <col min="10759" max="10761" width="25.7109375" style="134" customWidth="1"/>
    <col min="10762" max="10762" width="19.5703125" style="134" customWidth="1"/>
    <col min="10763" max="10763" width="15.85546875" style="134" customWidth="1"/>
    <col min="10764" max="10764" width="3.140625" style="134" customWidth="1"/>
    <col min="10765" max="10765" width="28.85546875" style="134" customWidth="1"/>
    <col min="10766" max="10766" width="32.28515625" style="134" customWidth="1"/>
    <col min="10767" max="10767" width="36.28515625" style="134" customWidth="1"/>
    <col min="10768" max="10768" width="16.28515625" style="134" customWidth="1"/>
    <col min="10769" max="10769" width="35.7109375" style="134" customWidth="1"/>
    <col min="10770" max="10770" width="36.28515625" style="134" customWidth="1"/>
    <col min="10771" max="10771" width="35.7109375" style="134" customWidth="1"/>
    <col min="10772" max="10772" width="36.28515625" style="134" customWidth="1"/>
    <col min="10773" max="10773" width="35.7109375" style="134" customWidth="1"/>
    <col min="10774" max="10774" width="36.28515625" style="134" customWidth="1"/>
    <col min="10775" max="10775" width="35.7109375" style="134" customWidth="1"/>
    <col min="10776" max="10776" width="36.28515625" style="134" customWidth="1"/>
    <col min="10777" max="10777" width="16.28515625" style="134" customWidth="1"/>
    <col min="10778" max="10778" width="78.42578125" style="134" bestFit="1" customWidth="1"/>
    <col min="10779" max="10779" width="52.7109375" style="134" bestFit="1" customWidth="1"/>
    <col min="10780" max="11008" width="11.42578125" style="134"/>
    <col min="11009" max="11009" width="25.85546875" style="134" customWidth="1"/>
    <col min="11010" max="11010" width="20.85546875" style="134" bestFit="1" customWidth="1"/>
    <col min="11011" max="11011" width="28.85546875" style="134" customWidth="1"/>
    <col min="11012" max="11012" width="23.7109375" style="134" customWidth="1"/>
    <col min="11013" max="11013" width="24.42578125" style="134" bestFit="1" customWidth="1"/>
    <col min="11014" max="11014" width="21.140625" style="134" customWidth="1"/>
    <col min="11015" max="11017" width="25.7109375" style="134" customWidth="1"/>
    <col min="11018" max="11018" width="19.5703125" style="134" customWidth="1"/>
    <col min="11019" max="11019" width="15.85546875" style="134" customWidth="1"/>
    <col min="11020" max="11020" width="3.140625" style="134" customWidth="1"/>
    <col min="11021" max="11021" width="28.85546875" style="134" customWidth="1"/>
    <col min="11022" max="11022" width="32.28515625" style="134" customWidth="1"/>
    <col min="11023" max="11023" width="36.28515625" style="134" customWidth="1"/>
    <col min="11024" max="11024" width="16.28515625" style="134" customWidth="1"/>
    <col min="11025" max="11025" width="35.7109375" style="134" customWidth="1"/>
    <col min="11026" max="11026" width="36.28515625" style="134" customWidth="1"/>
    <col min="11027" max="11027" width="35.7109375" style="134" customWidth="1"/>
    <col min="11028" max="11028" width="36.28515625" style="134" customWidth="1"/>
    <col min="11029" max="11029" width="35.7109375" style="134" customWidth="1"/>
    <col min="11030" max="11030" width="36.28515625" style="134" customWidth="1"/>
    <col min="11031" max="11031" width="35.7109375" style="134" customWidth="1"/>
    <col min="11032" max="11032" width="36.28515625" style="134" customWidth="1"/>
    <col min="11033" max="11033" width="16.28515625" style="134" customWidth="1"/>
    <col min="11034" max="11034" width="78.42578125" style="134" bestFit="1" customWidth="1"/>
    <col min="11035" max="11035" width="52.7109375" style="134" bestFit="1" customWidth="1"/>
    <col min="11036" max="11264" width="11.42578125" style="134"/>
    <col min="11265" max="11265" width="25.85546875" style="134" customWidth="1"/>
    <col min="11266" max="11266" width="20.85546875" style="134" bestFit="1" customWidth="1"/>
    <col min="11267" max="11267" width="28.85546875" style="134" customWidth="1"/>
    <col min="11268" max="11268" width="23.7109375" style="134" customWidth="1"/>
    <col min="11269" max="11269" width="24.42578125" style="134" bestFit="1" customWidth="1"/>
    <col min="11270" max="11270" width="21.140625" style="134" customWidth="1"/>
    <col min="11271" max="11273" width="25.7109375" style="134" customWidth="1"/>
    <col min="11274" max="11274" width="19.5703125" style="134" customWidth="1"/>
    <col min="11275" max="11275" width="15.85546875" style="134" customWidth="1"/>
    <col min="11276" max="11276" width="3.140625" style="134" customWidth="1"/>
    <col min="11277" max="11277" width="28.85546875" style="134" customWidth="1"/>
    <col min="11278" max="11278" width="32.28515625" style="134" customWidth="1"/>
    <col min="11279" max="11279" width="36.28515625" style="134" customWidth="1"/>
    <col min="11280" max="11280" width="16.28515625" style="134" customWidth="1"/>
    <col min="11281" max="11281" width="35.7109375" style="134" customWidth="1"/>
    <col min="11282" max="11282" width="36.28515625" style="134" customWidth="1"/>
    <col min="11283" max="11283" width="35.7109375" style="134" customWidth="1"/>
    <col min="11284" max="11284" width="36.28515625" style="134" customWidth="1"/>
    <col min="11285" max="11285" width="35.7109375" style="134" customWidth="1"/>
    <col min="11286" max="11286" width="36.28515625" style="134" customWidth="1"/>
    <col min="11287" max="11287" width="35.7109375" style="134" customWidth="1"/>
    <col min="11288" max="11288" width="36.28515625" style="134" customWidth="1"/>
    <col min="11289" max="11289" width="16.28515625" style="134" customWidth="1"/>
    <col min="11290" max="11290" width="78.42578125" style="134" bestFit="1" customWidth="1"/>
    <col min="11291" max="11291" width="52.7109375" style="134" bestFit="1" customWidth="1"/>
    <col min="11292" max="11520" width="11.42578125" style="134"/>
    <col min="11521" max="11521" width="25.85546875" style="134" customWidth="1"/>
    <col min="11522" max="11522" width="20.85546875" style="134" bestFit="1" customWidth="1"/>
    <col min="11523" max="11523" width="28.85546875" style="134" customWidth="1"/>
    <col min="11524" max="11524" width="23.7109375" style="134" customWidth="1"/>
    <col min="11525" max="11525" width="24.42578125" style="134" bestFit="1" customWidth="1"/>
    <col min="11526" max="11526" width="21.140625" style="134" customWidth="1"/>
    <col min="11527" max="11529" width="25.7109375" style="134" customWidth="1"/>
    <col min="11530" max="11530" width="19.5703125" style="134" customWidth="1"/>
    <col min="11531" max="11531" width="15.85546875" style="134" customWidth="1"/>
    <col min="11532" max="11532" width="3.140625" style="134" customWidth="1"/>
    <col min="11533" max="11533" width="28.85546875" style="134" customWidth="1"/>
    <col min="11534" max="11534" width="32.28515625" style="134" customWidth="1"/>
    <col min="11535" max="11535" width="36.28515625" style="134" customWidth="1"/>
    <col min="11536" max="11536" width="16.28515625" style="134" customWidth="1"/>
    <col min="11537" max="11537" width="35.7109375" style="134" customWidth="1"/>
    <col min="11538" max="11538" width="36.28515625" style="134" customWidth="1"/>
    <col min="11539" max="11539" width="35.7109375" style="134" customWidth="1"/>
    <col min="11540" max="11540" width="36.28515625" style="134" customWidth="1"/>
    <col min="11541" max="11541" width="35.7109375" style="134" customWidth="1"/>
    <col min="11542" max="11542" width="36.28515625" style="134" customWidth="1"/>
    <col min="11543" max="11543" width="35.7109375" style="134" customWidth="1"/>
    <col min="11544" max="11544" width="36.28515625" style="134" customWidth="1"/>
    <col min="11545" max="11545" width="16.28515625" style="134" customWidth="1"/>
    <col min="11546" max="11546" width="78.42578125" style="134" bestFit="1" customWidth="1"/>
    <col min="11547" max="11547" width="52.7109375" style="134" bestFit="1" customWidth="1"/>
    <col min="11548" max="11776" width="11.42578125" style="134"/>
    <col min="11777" max="11777" width="25.85546875" style="134" customWidth="1"/>
    <col min="11778" max="11778" width="20.85546875" style="134" bestFit="1" customWidth="1"/>
    <col min="11779" max="11779" width="28.85546875" style="134" customWidth="1"/>
    <col min="11780" max="11780" width="23.7109375" style="134" customWidth="1"/>
    <col min="11781" max="11781" width="24.42578125" style="134" bestFit="1" customWidth="1"/>
    <col min="11782" max="11782" width="21.140625" style="134" customWidth="1"/>
    <col min="11783" max="11785" width="25.7109375" style="134" customWidth="1"/>
    <col min="11786" max="11786" width="19.5703125" style="134" customWidth="1"/>
    <col min="11787" max="11787" width="15.85546875" style="134" customWidth="1"/>
    <col min="11788" max="11788" width="3.140625" style="134" customWidth="1"/>
    <col min="11789" max="11789" width="28.85546875" style="134" customWidth="1"/>
    <col min="11790" max="11790" width="32.28515625" style="134" customWidth="1"/>
    <col min="11791" max="11791" width="36.28515625" style="134" customWidth="1"/>
    <col min="11792" max="11792" width="16.28515625" style="134" customWidth="1"/>
    <col min="11793" max="11793" width="35.7109375" style="134" customWidth="1"/>
    <col min="11794" max="11794" width="36.28515625" style="134" customWidth="1"/>
    <col min="11795" max="11795" width="35.7109375" style="134" customWidth="1"/>
    <col min="11796" max="11796" width="36.28515625" style="134" customWidth="1"/>
    <col min="11797" max="11797" width="35.7109375" style="134" customWidth="1"/>
    <col min="11798" max="11798" width="36.28515625" style="134" customWidth="1"/>
    <col min="11799" max="11799" width="35.7109375" style="134" customWidth="1"/>
    <col min="11800" max="11800" width="36.28515625" style="134" customWidth="1"/>
    <col min="11801" max="11801" width="16.28515625" style="134" customWidth="1"/>
    <col min="11802" max="11802" width="78.42578125" style="134" bestFit="1" customWidth="1"/>
    <col min="11803" max="11803" width="52.7109375" style="134" bestFit="1" customWidth="1"/>
    <col min="11804" max="12032" width="11.42578125" style="134"/>
    <col min="12033" max="12033" width="25.85546875" style="134" customWidth="1"/>
    <col min="12034" max="12034" width="20.85546875" style="134" bestFit="1" customWidth="1"/>
    <col min="12035" max="12035" width="28.85546875" style="134" customWidth="1"/>
    <col min="12036" max="12036" width="23.7109375" style="134" customWidth="1"/>
    <col min="12037" max="12037" width="24.42578125" style="134" bestFit="1" customWidth="1"/>
    <col min="12038" max="12038" width="21.140625" style="134" customWidth="1"/>
    <col min="12039" max="12041" width="25.7109375" style="134" customWidth="1"/>
    <col min="12042" max="12042" width="19.5703125" style="134" customWidth="1"/>
    <col min="12043" max="12043" width="15.85546875" style="134" customWidth="1"/>
    <col min="12044" max="12044" width="3.140625" style="134" customWidth="1"/>
    <col min="12045" max="12045" width="28.85546875" style="134" customWidth="1"/>
    <col min="12046" max="12046" width="32.28515625" style="134" customWidth="1"/>
    <col min="12047" max="12047" width="36.28515625" style="134" customWidth="1"/>
    <col min="12048" max="12048" width="16.28515625" style="134" customWidth="1"/>
    <col min="12049" max="12049" width="35.7109375" style="134" customWidth="1"/>
    <col min="12050" max="12050" width="36.28515625" style="134" customWidth="1"/>
    <col min="12051" max="12051" width="35.7109375" style="134" customWidth="1"/>
    <col min="12052" max="12052" width="36.28515625" style="134" customWidth="1"/>
    <col min="12053" max="12053" width="35.7109375" style="134" customWidth="1"/>
    <col min="12054" max="12054" width="36.28515625" style="134" customWidth="1"/>
    <col min="12055" max="12055" width="35.7109375" style="134" customWidth="1"/>
    <col min="12056" max="12056" width="36.28515625" style="134" customWidth="1"/>
    <col min="12057" max="12057" width="16.28515625" style="134" customWidth="1"/>
    <col min="12058" max="12058" width="78.42578125" style="134" bestFit="1" customWidth="1"/>
    <col min="12059" max="12059" width="52.7109375" style="134" bestFit="1" customWidth="1"/>
    <col min="12060" max="12288" width="11.42578125" style="134"/>
    <col min="12289" max="12289" width="25.85546875" style="134" customWidth="1"/>
    <col min="12290" max="12290" width="20.85546875" style="134" bestFit="1" customWidth="1"/>
    <col min="12291" max="12291" width="28.85546875" style="134" customWidth="1"/>
    <col min="12292" max="12292" width="23.7109375" style="134" customWidth="1"/>
    <col min="12293" max="12293" width="24.42578125" style="134" bestFit="1" customWidth="1"/>
    <col min="12294" max="12294" width="21.140625" style="134" customWidth="1"/>
    <col min="12295" max="12297" width="25.7109375" style="134" customWidth="1"/>
    <col min="12298" max="12298" width="19.5703125" style="134" customWidth="1"/>
    <col min="12299" max="12299" width="15.85546875" style="134" customWidth="1"/>
    <col min="12300" max="12300" width="3.140625" style="134" customWidth="1"/>
    <col min="12301" max="12301" width="28.85546875" style="134" customWidth="1"/>
    <col min="12302" max="12302" width="32.28515625" style="134" customWidth="1"/>
    <col min="12303" max="12303" width="36.28515625" style="134" customWidth="1"/>
    <col min="12304" max="12304" width="16.28515625" style="134" customWidth="1"/>
    <col min="12305" max="12305" width="35.7109375" style="134" customWidth="1"/>
    <col min="12306" max="12306" width="36.28515625" style="134" customWidth="1"/>
    <col min="12307" max="12307" width="35.7109375" style="134" customWidth="1"/>
    <col min="12308" max="12308" width="36.28515625" style="134" customWidth="1"/>
    <col min="12309" max="12309" width="35.7109375" style="134" customWidth="1"/>
    <col min="12310" max="12310" width="36.28515625" style="134" customWidth="1"/>
    <col min="12311" max="12311" width="35.7109375" style="134" customWidth="1"/>
    <col min="12312" max="12312" width="36.28515625" style="134" customWidth="1"/>
    <col min="12313" max="12313" width="16.28515625" style="134" customWidth="1"/>
    <col min="12314" max="12314" width="78.42578125" style="134" bestFit="1" customWidth="1"/>
    <col min="12315" max="12315" width="52.7109375" style="134" bestFit="1" customWidth="1"/>
    <col min="12316" max="12544" width="11.42578125" style="134"/>
    <col min="12545" max="12545" width="25.85546875" style="134" customWidth="1"/>
    <col min="12546" max="12546" width="20.85546875" style="134" bestFit="1" customWidth="1"/>
    <col min="12547" max="12547" width="28.85546875" style="134" customWidth="1"/>
    <col min="12548" max="12548" width="23.7109375" style="134" customWidth="1"/>
    <col min="12549" max="12549" width="24.42578125" style="134" bestFit="1" customWidth="1"/>
    <col min="12550" max="12550" width="21.140625" style="134" customWidth="1"/>
    <col min="12551" max="12553" width="25.7109375" style="134" customWidth="1"/>
    <col min="12554" max="12554" width="19.5703125" style="134" customWidth="1"/>
    <col min="12555" max="12555" width="15.85546875" style="134" customWidth="1"/>
    <col min="12556" max="12556" width="3.140625" style="134" customWidth="1"/>
    <col min="12557" max="12557" width="28.85546875" style="134" customWidth="1"/>
    <col min="12558" max="12558" width="32.28515625" style="134" customWidth="1"/>
    <col min="12559" max="12559" width="36.28515625" style="134" customWidth="1"/>
    <col min="12560" max="12560" width="16.28515625" style="134" customWidth="1"/>
    <col min="12561" max="12561" width="35.7109375" style="134" customWidth="1"/>
    <col min="12562" max="12562" width="36.28515625" style="134" customWidth="1"/>
    <col min="12563" max="12563" width="35.7109375" style="134" customWidth="1"/>
    <col min="12564" max="12564" width="36.28515625" style="134" customWidth="1"/>
    <col min="12565" max="12565" width="35.7109375" style="134" customWidth="1"/>
    <col min="12566" max="12566" width="36.28515625" style="134" customWidth="1"/>
    <col min="12567" max="12567" width="35.7109375" style="134" customWidth="1"/>
    <col min="12568" max="12568" width="36.28515625" style="134" customWidth="1"/>
    <col min="12569" max="12569" width="16.28515625" style="134" customWidth="1"/>
    <col min="12570" max="12570" width="78.42578125" style="134" bestFit="1" customWidth="1"/>
    <col min="12571" max="12571" width="52.7109375" style="134" bestFit="1" customWidth="1"/>
    <col min="12572" max="12800" width="11.42578125" style="134"/>
    <col min="12801" max="12801" width="25.85546875" style="134" customWidth="1"/>
    <col min="12802" max="12802" width="20.85546875" style="134" bestFit="1" customWidth="1"/>
    <col min="12803" max="12803" width="28.85546875" style="134" customWidth="1"/>
    <col min="12804" max="12804" width="23.7109375" style="134" customWidth="1"/>
    <col min="12805" max="12805" width="24.42578125" style="134" bestFit="1" customWidth="1"/>
    <col min="12806" max="12806" width="21.140625" style="134" customWidth="1"/>
    <col min="12807" max="12809" width="25.7109375" style="134" customWidth="1"/>
    <col min="12810" max="12810" width="19.5703125" style="134" customWidth="1"/>
    <col min="12811" max="12811" width="15.85546875" style="134" customWidth="1"/>
    <col min="12812" max="12812" width="3.140625" style="134" customWidth="1"/>
    <col min="12813" max="12813" width="28.85546875" style="134" customWidth="1"/>
    <col min="12814" max="12814" width="32.28515625" style="134" customWidth="1"/>
    <col min="12815" max="12815" width="36.28515625" style="134" customWidth="1"/>
    <col min="12816" max="12816" width="16.28515625" style="134" customWidth="1"/>
    <col min="12817" max="12817" width="35.7109375" style="134" customWidth="1"/>
    <col min="12818" max="12818" width="36.28515625" style="134" customWidth="1"/>
    <col min="12819" max="12819" width="35.7109375" style="134" customWidth="1"/>
    <col min="12820" max="12820" width="36.28515625" style="134" customWidth="1"/>
    <col min="12821" max="12821" width="35.7109375" style="134" customWidth="1"/>
    <col min="12822" max="12822" width="36.28515625" style="134" customWidth="1"/>
    <col min="12823" max="12823" width="35.7109375" style="134" customWidth="1"/>
    <col min="12824" max="12824" width="36.28515625" style="134" customWidth="1"/>
    <col min="12825" max="12825" width="16.28515625" style="134" customWidth="1"/>
    <col min="12826" max="12826" width="78.42578125" style="134" bestFit="1" customWidth="1"/>
    <col min="12827" max="12827" width="52.7109375" style="134" bestFit="1" customWidth="1"/>
    <col min="12828" max="13056" width="11.42578125" style="134"/>
    <col min="13057" max="13057" width="25.85546875" style="134" customWidth="1"/>
    <col min="13058" max="13058" width="20.85546875" style="134" bestFit="1" customWidth="1"/>
    <col min="13059" max="13059" width="28.85546875" style="134" customWidth="1"/>
    <col min="13060" max="13060" width="23.7109375" style="134" customWidth="1"/>
    <col min="13061" max="13061" width="24.42578125" style="134" bestFit="1" customWidth="1"/>
    <col min="13062" max="13062" width="21.140625" style="134" customWidth="1"/>
    <col min="13063" max="13065" width="25.7109375" style="134" customWidth="1"/>
    <col min="13066" max="13066" width="19.5703125" style="134" customWidth="1"/>
    <col min="13067" max="13067" width="15.85546875" style="134" customWidth="1"/>
    <col min="13068" max="13068" width="3.140625" style="134" customWidth="1"/>
    <col min="13069" max="13069" width="28.85546875" style="134" customWidth="1"/>
    <col min="13070" max="13070" width="32.28515625" style="134" customWidth="1"/>
    <col min="13071" max="13071" width="36.28515625" style="134" customWidth="1"/>
    <col min="13072" max="13072" width="16.28515625" style="134" customWidth="1"/>
    <col min="13073" max="13073" width="35.7109375" style="134" customWidth="1"/>
    <col min="13074" max="13074" width="36.28515625" style="134" customWidth="1"/>
    <col min="13075" max="13075" width="35.7109375" style="134" customWidth="1"/>
    <col min="13076" max="13076" width="36.28515625" style="134" customWidth="1"/>
    <col min="13077" max="13077" width="35.7109375" style="134" customWidth="1"/>
    <col min="13078" max="13078" width="36.28515625" style="134" customWidth="1"/>
    <col min="13079" max="13079" width="35.7109375" style="134" customWidth="1"/>
    <col min="13080" max="13080" width="36.28515625" style="134" customWidth="1"/>
    <col min="13081" max="13081" width="16.28515625" style="134" customWidth="1"/>
    <col min="13082" max="13082" width="78.42578125" style="134" bestFit="1" customWidth="1"/>
    <col min="13083" max="13083" width="52.7109375" style="134" bestFit="1" customWidth="1"/>
    <col min="13084" max="13312" width="11.42578125" style="134"/>
    <col min="13313" max="13313" width="25.85546875" style="134" customWidth="1"/>
    <col min="13314" max="13314" width="20.85546875" style="134" bestFit="1" customWidth="1"/>
    <col min="13315" max="13315" width="28.85546875" style="134" customWidth="1"/>
    <col min="13316" max="13316" width="23.7109375" style="134" customWidth="1"/>
    <col min="13317" max="13317" width="24.42578125" style="134" bestFit="1" customWidth="1"/>
    <col min="13318" max="13318" width="21.140625" style="134" customWidth="1"/>
    <col min="13319" max="13321" width="25.7109375" style="134" customWidth="1"/>
    <col min="13322" max="13322" width="19.5703125" style="134" customWidth="1"/>
    <col min="13323" max="13323" width="15.85546875" style="134" customWidth="1"/>
    <col min="13324" max="13324" width="3.140625" style="134" customWidth="1"/>
    <col min="13325" max="13325" width="28.85546875" style="134" customWidth="1"/>
    <col min="13326" max="13326" width="32.28515625" style="134" customWidth="1"/>
    <col min="13327" max="13327" width="36.28515625" style="134" customWidth="1"/>
    <col min="13328" max="13328" width="16.28515625" style="134" customWidth="1"/>
    <col min="13329" max="13329" width="35.7109375" style="134" customWidth="1"/>
    <col min="13330" max="13330" width="36.28515625" style="134" customWidth="1"/>
    <col min="13331" max="13331" width="35.7109375" style="134" customWidth="1"/>
    <col min="13332" max="13332" width="36.28515625" style="134" customWidth="1"/>
    <col min="13333" max="13333" width="35.7109375" style="134" customWidth="1"/>
    <col min="13334" max="13334" width="36.28515625" style="134" customWidth="1"/>
    <col min="13335" max="13335" width="35.7109375" style="134" customWidth="1"/>
    <col min="13336" max="13336" width="36.28515625" style="134" customWidth="1"/>
    <col min="13337" max="13337" width="16.28515625" style="134" customWidth="1"/>
    <col min="13338" max="13338" width="78.42578125" style="134" bestFit="1" customWidth="1"/>
    <col min="13339" max="13339" width="52.7109375" style="134" bestFit="1" customWidth="1"/>
    <col min="13340" max="13568" width="11.42578125" style="134"/>
    <col min="13569" max="13569" width="25.85546875" style="134" customWidth="1"/>
    <col min="13570" max="13570" width="20.85546875" style="134" bestFit="1" customWidth="1"/>
    <col min="13571" max="13571" width="28.85546875" style="134" customWidth="1"/>
    <col min="13572" max="13572" width="23.7109375" style="134" customWidth="1"/>
    <col min="13573" max="13573" width="24.42578125" style="134" bestFit="1" customWidth="1"/>
    <col min="13574" max="13574" width="21.140625" style="134" customWidth="1"/>
    <col min="13575" max="13577" width="25.7109375" style="134" customWidth="1"/>
    <col min="13578" max="13578" width="19.5703125" style="134" customWidth="1"/>
    <col min="13579" max="13579" width="15.85546875" style="134" customWidth="1"/>
    <col min="13580" max="13580" width="3.140625" style="134" customWidth="1"/>
    <col min="13581" max="13581" width="28.85546875" style="134" customWidth="1"/>
    <col min="13582" max="13582" width="32.28515625" style="134" customWidth="1"/>
    <col min="13583" max="13583" width="36.28515625" style="134" customWidth="1"/>
    <col min="13584" max="13584" width="16.28515625" style="134" customWidth="1"/>
    <col min="13585" max="13585" width="35.7109375" style="134" customWidth="1"/>
    <col min="13586" max="13586" width="36.28515625" style="134" customWidth="1"/>
    <col min="13587" max="13587" width="35.7109375" style="134" customWidth="1"/>
    <col min="13588" max="13588" width="36.28515625" style="134" customWidth="1"/>
    <col min="13589" max="13589" width="35.7109375" style="134" customWidth="1"/>
    <col min="13590" max="13590" width="36.28515625" style="134" customWidth="1"/>
    <col min="13591" max="13591" width="35.7109375" style="134" customWidth="1"/>
    <col min="13592" max="13592" width="36.28515625" style="134" customWidth="1"/>
    <col min="13593" max="13593" width="16.28515625" style="134" customWidth="1"/>
    <col min="13594" max="13594" width="78.42578125" style="134" bestFit="1" customWidth="1"/>
    <col min="13595" max="13595" width="52.7109375" style="134" bestFit="1" customWidth="1"/>
    <col min="13596" max="13824" width="11.42578125" style="134"/>
    <col min="13825" max="13825" width="25.85546875" style="134" customWidth="1"/>
    <col min="13826" max="13826" width="20.85546875" style="134" bestFit="1" customWidth="1"/>
    <col min="13827" max="13827" width="28.85546875" style="134" customWidth="1"/>
    <col min="13828" max="13828" width="23.7109375" style="134" customWidth="1"/>
    <col min="13829" max="13829" width="24.42578125" style="134" bestFit="1" customWidth="1"/>
    <col min="13830" max="13830" width="21.140625" style="134" customWidth="1"/>
    <col min="13831" max="13833" width="25.7109375" style="134" customWidth="1"/>
    <col min="13834" max="13834" width="19.5703125" style="134" customWidth="1"/>
    <col min="13835" max="13835" width="15.85546875" style="134" customWidth="1"/>
    <col min="13836" max="13836" width="3.140625" style="134" customWidth="1"/>
    <col min="13837" max="13837" width="28.85546875" style="134" customWidth="1"/>
    <col min="13838" max="13838" width="32.28515625" style="134" customWidth="1"/>
    <col min="13839" max="13839" width="36.28515625" style="134" customWidth="1"/>
    <col min="13840" max="13840" width="16.28515625" style="134" customWidth="1"/>
    <col min="13841" max="13841" width="35.7109375" style="134" customWidth="1"/>
    <col min="13842" max="13842" width="36.28515625" style="134" customWidth="1"/>
    <col min="13843" max="13843" width="35.7109375" style="134" customWidth="1"/>
    <col min="13844" max="13844" width="36.28515625" style="134" customWidth="1"/>
    <col min="13845" max="13845" width="35.7109375" style="134" customWidth="1"/>
    <col min="13846" max="13846" width="36.28515625" style="134" customWidth="1"/>
    <col min="13847" max="13847" width="35.7109375" style="134" customWidth="1"/>
    <col min="13848" max="13848" width="36.28515625" style="134" customWidth="1"/>
    <col min="13849" max="13849" width="16.28515625" style="134" customWidth="1"/>
    <col min="13850" max="13850" width="78.42578125" style="134" bestFit="1" customWidth="1"/>
    <col min="13851" max="13851" width="52.7109375" style="134" bestFit="1" customWidth="1"/>
    <col min="13852" max="14080" width="11.42578125" style="134"/>
    <col min="14081" max="14081" width="25.85546875" style="134" customWidth="1"/>
    <col min="14082" max="14082" width="20.85546875" style="134" bestFit="1" customWidth="1"/>
    <col min="14083" max="14083" width="28.85546875" style="134" customWidth="1"/>
    <col min="14084" max="14084" width="23.7109375" style="134" customWidth="1"/>
    <col min="14085" max="14085" width="24.42578125" style="134" bestFit="1" customWidth="1"/>
    <col min="14086" max="14086" width="21.140625" style="134" customWidth="1"/>
    <col min="14087" max="14089" width="25.7109375" style="134" customWidth="1"/>
    <col min="14090" max="14090" width="19.5703125" style="134" customWidth="1"/>
    <col min="14091" max="14091" width="15.85546875" style="134" customWidth="1"/>
    <col min="14092" max="14092" width="3.140625" style="134" customWidth="1"/>
    <col min="14093" max="14093" width="28.85546875" style="134" customWidth="1"/>
    <col min="14094" max="14094" width="32.28515625" style="134" customWidth="1"/>
    <col min="14095" max="14095" width="36.28515625" style="134" customWidth="1"/>
    <col min="14096" max="14096" width="16.28515625" style="134" customWidth="1"/>
    <col min="14097" max="14097" width="35.7109375" style="134" customWidth="1"/>
    <col min="14098" max="14098" width="36.28515625" style="134" customWidth="1"/>
    <col min="14099" max="14099" width="35.7109375" style="134" customWidth="1"/>
    <col min="14100" max="14100" width="36.28515625" style="134" customWidth="1"/>
    <col min="14101" max="14101" width="35.7109375" style="134" customWidth="1"/>
    <col min="14102" max="14102" width="36.28515625" style="134" customWidth="1"/>
    <col min="14103" max="14103" width="35.7109375" style="134" customWidth="1"/>
    <col min="14104" max="14104" width="36.28515625" style="134" customWidth="1"/>
    <col min="14105" max="14105" width="16.28515625" style="134" customWidth="1"/>
    <col min="14106" max="14106" width="78.42578125" style="134" bestFit="1" customWidth="1"/>
    <col min="14107" max="14107" width="52.7109375" style="134" bestFit="1" customWidth="1"/>
    <col min="14108" max="14336" width="11.42578125" style="134"/>
    <col min="14337" max="14337" width="25.85546875" style="134" customWidth="1"/>
    <col min="14338" max="14338" width="20.85546875" style="134" bestFit="1" customWidth="1"/>
    <col min="14339" max="14339" width="28.85546875" style="134" customWidth="1"/>
    <col min="14340" max="14340" width="23.7109375" style="134" customWidth="1"/>
    <col min="14341" max="14341" width="24.42578125" style="134" bestFit="1" customWidth="1"/>
    <col min="14342" max="14342" width="21.140625" style="134" customWidth="1"/>
    <col min="14343" max="14345" width="25.7109375" style="134" customWidth="1"/>
    <col min="14346" max="14346" width="19.5703125" style="134" customWidth="1"/>
    <col min="14347" max="14347" width="15.85546875" style="134" customWidth="1"/>
    <col min="14348" max="14348" width="3.140625" style="134" customWidth="1"/>
    <col min="14349" max="14349" width="28.85546875" style="134" customWidth="1"/>
    <col min="14350" max="14350" width="32.28515625" style="134" customWidth="1"/>
    <col min="14351" max="14351" width="36.28515625" style="134" customWidth="1"/>
    <col min="14352" max="14352" width="16.28515625" style="134" customWidth="1"/>
    <col min="14353" max="14353" width="35.7109375" style="134" customWidth="1"/>
    <col min="14354" max="14354" width="36.28515625" style="134" customWidth="1"/>
    <col min="14355" max="14355" width="35.7109375" style="134" customWidth="1"/>
    <col min="14356" max="14356" width="36.28515625" style="134" customWidth="1"/>
    <col min="14357" max="14357" width="35.7109375" style="134" customWidth="1"/>
    <col min="14358" max="14358" width="36.28515625" style="134" customWidth="1"/>
    <col min="14359" max="14359" width="35.7109375" style="134" customWidth="1"/>
    <col min="14360" max="14360" width="36.28515625" style="134" customWidth="1"/>
    <col min="14361" max="14361" width="16.28515625" style="134" customWidth="1"/>
    <col min="14362" max="14362" width="78.42578125" style="134" bestFit="1" customWidth="1"/>
    <col min="14363" max="14363" width="52.7109375" style="134" bestFit="1" customWidth="1"/>
    <col min="14364" max="14592" width="11.42578125" style="134"/>
    <col min="14593" max="14593" width="25.85546875" style="134" customWidth="1"/>
    <col min="14594" max="14594" width="20.85546875" style="134" bestFit="1" customWidth="1"/>
    <col min="14595" max="14595" width="28.85546875" style="134" customWidth="1"/>
    <col min="14596" max="14596" width="23.7109375" style="134" customWidth="1"/>
    <col min="14597" max="14597" width="24.42578125" style="134" bestFit="1" customWidth="1"/>
    <col min="14598" max="14598" width="21.140625" style="134" customWidth="1"/>
    <col min="14599" max="14601" width="25.7109375" style="134" customWidth="1"/>
    <col min="14602" max="14602" width="19.5703125" style="134" customWidth="1"/>
    <col min="14603" max="14603" width="15.85546875" style="134" customWidth="1"/>
    <col min="14604" max="14604" width="3.140625" style="134" customWidth="1"/>
    <col min="14605" max="14605" width="28.85546875" style="134" customWidth="1"/>
    <col min="14606" max="14606" width="32.28515625" style="134" customWidth="1"/>
    <col min="14607" max="14607" width="36.28515625" style="134" customWidth="1"/>
    <col min="14608" max="14608" width="16.28515625" style="134" customWidth="1"/>
    <col min="14609" max="14609" width="35.7109375" style="134" customWidth="1"/>
    <col min="14610" max="14610" width="36.28515625" style="134" customWidth="1"/>
    <col min="14611" max="14611" width="35.7109375" style="134" customWidth="1"/>
    <col min="14612" max="14612" width="36.28515625" style="134" customWidth="1"/>
    <col min="14613" max="14613" width="35.7109375" style="134" customWidth="1"/>
    <col min="14614" max="14614" width="36.28515625" style="134" customWidth="1"/>
    <col min="14615" max="14615" width="35.7109375" style="134" customWidth="1"/>
    <col min="14616" max="14616" width="36.28515625" style="134" customWidth="1"/>
    <col min="14617" max="14617" width="16.28515625" style="134" customWidth="1"/>
    <col min="14618" max="14618" width="78.42578125" style="134" bestFit="1" customWidth="1"/>
    <col min="14619" max="14619" width="52.7109375" style="134" bestFit="1" customWidth="1"/>
    <col min="14620" max="14848" width="11.42578125" style="134"/>
    <col min="14849" max="14849" width="25.85546875" style="134" customWidth="1"/>
    <col min="14850" max="14850" width="20.85546875" style="134" bestFit="1" customWidth="1"/>
    <col min="14851" max="14851" width="28.85546875" style="134" customWidth="1"/>
    <col min="14852" max="14852" width="23.7109375" style="134" customWidth="1"/>
    <col min="14853" max="14853" width="24.42578125" style="134" bestFit="1" customWidth="1"/>
    <col min="14854" max="14854" width="21.140625" style="134" customWidth="1"/>
    <col min="14855" max="14857" width="25.7109375" style="134" customWidth="1"/>
    <col min="14858" max="14858" width="19.5703125" style="134" customWidth="1"/>
    <col min="14859" max="14859" width="15.85546875" style="134" customWidth="1"/>
    <col min="14860" max="14860" width="3.140625" style="134" customWidth="1"/>
    <col min="14861" max="14861" width="28.85546875" style="134" customWidth="1"/>
    <col min="14862" max="14862" width="32.28515625" style="134" customWidth="1"/>
    <col min="14863" max="14863" width="36.28515625" style="134" customWidth="1"/>
    <col min="14864" max="14864" width="16.28515625" style="134" customWidth="1"/>
    <col min="14865" max="14865" width="35.7109375" style="134" customWidth="1"/>
    <col min="14866" max="14866" width="36.28515625" style="134" customWidth="1"/>
    <col min="14867" max="14867" width="35.7109375" style="134" customWidth="1"/>
    <col min="14868" max="14868" width="36.28515625" style="134" customWidth="1"/>
    <col min="14869" max="14869" width="35.7109375" style="134" customWidth="1"/>
    <col min="14870" max="14870" width="36.28515625" style="134" customWidth="1"/>
    <col min="14871" max="14871" width="35.7109375" style="134" customWidth="1"/>
    <col min="14872" max="14872" width="36.28515625" style="134" customWidth="1"/>
    <col min="14873" max="14873" width="16.28515625" style="134" customWidth="1"/>
    <col min="14874" max="14874" width="78.42578125" style="134" bestFit="1" customWidth="1"/>
    <col min="14875" max="14875" width="52.7109375" style="134" bestFit="1" customWidth="1"/>
    <col min="14876" max="15104" width="11.42578125" style="134"/>
    <col min="15105" max="15105" width="25.85546875" style="134" customWidth="1"/>
    <col min="15106" max="15106" width="20.85546875" style="134" bestFit="1" customWidth="1"/>
    <col min="15107" max="15107" width="28.85546875" style="134" customWidth="1"/>
    <col min="15108" max="15108" width="23.7109375" style="134" customWidth="1"/>
    <col min="15109" max="15109" width="24.42578125" style="134" bestFit="1" customWidth="1"/>
    <col min="15110" max="15110" width="21.140625" style="134" customWidth="1"/>
    <col min="15111" max="15113" width="25.7109375" style="134" customWidth="1"/>
    <col min="15114" max="15114" width="19.5703125" style="134" customWidth="1"/>
    <col min="15115" max="15115" width="15.85546875" style="134" customWidth="1"/>
    <col min="15116" max="15116" width="3.140625" style="134" customWidth="1"/>
    <col min="15117" max="15117" width="28.85546875" style="134" customWidth="1"/>
    <col min="15118" max="15118" width="32.28515625" style="134" customWidth="1"/>
    <col min="15119" max="15119" width="36.28515625" style="134" customWidth="1"/>
    <col min="15120" max="15120" width="16.28515625" style="134" customWidth="1"/>
    <col min="15121" max="15121" width="35.7109375" style="134" customWidth="1"/>
    <col min="15122" max="15122" width="36.28515625" style="134" customWidth="1"/>
    <col min="15123" max="15123" width="35.7109375" style="134" customWidth="1"/>
    <col min="15124" max="15124" width="36.28515625" style="134" customWidth="1"/>
    <col min="15125" max="15125" width="35.7109375" style="134" customWidth="1"/>
    <col min="15126" max="15126" width="36.28515625" style="134" customWidth="1"/>
    <col min="15127" max="15127" width="35.7109375" style="134" customWidth="1"/>
    <col min="15128" max="15128" width="36.28515625" style="134" customWidth="1"/>
    <col min="15129" max="15129" width="16.28515625" style="134" customWidth="1"/>
    <col min="15130" max="15130" width="78.42578125" style="134" bestFit="1" customWidth="1"/>
    <col min="15131" max="15131" width="52.7109375" style="134" bestFit="1" customWidth="1"/>
    <col min="15132" max="15360" width="11.42578125" style="134"/>
    <col min="15361" max="15361" width="25.85546875" style="134" customWidth="1"/>
    <col min="15362" max="15362" width="20.85546875" style="134" bestFit="1" customWidth="1"/>
    <col min="15363" max="15363" width="28.85546875" style="134" customWidth="1"/>
    <col min="15364" max="15364" width="23.7109375" style="134" customWidth="1"/>
    <col min="15365" max="15365" width="24.42578125" style="134" bestFit="1" customWidth="1"/>
    <col min="15366" max="15366" width="21.140625" style="134" customWidth="1"/>
    <col min="15367" max="15369" width="25.7109375" style="134" customWidth="1"/>
    <col min="15370" max="15370" width="19.5703125" style="134" customWidth="1"/>
    <col min="15371" max="15371" width="15.85546875" style="134" customWidth="1"/>
    <col min="15372" max="15372" width="3.140625" style="134" customWidth="1"/>
    <col min="15373" max="15373" width="28.85546875" style="134" customWidth="1"/>
    <col min="15374" max="15374" width="32.28515625" style="134" customWidth="1"/>
    <col min="15375" max="15375" width="36.28515625" style="134" customWidth="1"/>
    <col min="15376" max="15376" width="16.28515625" style="134" customWidth="1"/>
    <col min="15377" max="15377" width="35.7109375" style="134" customWidth="1"/>
    <col min="15378" max="15378" width="36.28515625" style="134" customWidth="1"/>
    <col min="15379" max="15379" width="35.7109375" style="134" customWidth="1"/>
    <col min="15380" max="15380" width="36.28515625" style="134" customWidth="1"/>
    <col min="15381" max="15381" width="35.7109375" style="134" customWidth="1"/>
    <col min="15382" max="15382" width="36.28515625" style="134" customWidth="1"/>
    <col min="15383" max="15383" width="35.7109375" style="134" customWidth="1"/>
    <col min="15384" max="15384" width="36.28515625" style="134" customWidth="1"/>
    <col min="15385" max="15385" width="16.28515625" style="134" customWidth="1"/>
    <col min="15386" max="15386" width="78.42578125" style="134" bestFit="1" customWidth="1"/>
    <col min="15387" max="15387" width="52.7109375" style="134" bestFit="1" customWidth="1"/>
    <col min="15388" max="15616" width="11.42578125" style="134"/>
    <col min="15617" max="15617" width="25.85546875" style="134" customWidth="1"/>
    <col min="15618" max="15618" width="20.85546875" style="134" bestFit="1" customWidth="1"/>
    <col min="15619" max="15619" width="28.85546875" style="134" customWidth="1"/>
    <col min="15620" max="15620" width="23.7109375" style="134" customWidth="1"/>
    <col min="15621" max="15621" width="24.42578125" style="134" bestFit="1" customWidth="1"/>
    <col min="15622" max="15622" width="21.140625" style="134" customWidth="1"/>
    <col min="15623" max="15625" width="25.7109375" style="134" customWidth="1"/>
    <col min="15626" max="15626" width="19.5703125" style="134" customWidth="1"/>
    <col min="15627" max="15627" width="15.85546875" style="134" customWidth="1"/>
    <col min="15628" max="15628" width="3.140625" style="134" customWidth="1"/>
    <col min="15629" max="15629" width="28.85546875" style="134" customWidth="1"/>
    <col min="15630" max="15630" width="32.28515625" style="134" customWidth="1"/>
    <col min="15631" max="15631" width="36.28515625" style="134" customWidth="1"/>
    <col min="15632" max="15632" width="16.28515625" style="134" customWidth="1"/>
    <col min="15633" max="15633" width="35.7109375" style="134" customWidth="1"/>
    <col min="15634" max="15634" width="36.28515625" style="134" customWidth="1"/>
    <col min="15635" max="15635" width="35.7109375" style="134" customWidth="1"/>
    <col min="15636" max="15636" width="36.28515625" style="134" customWidth="1"/>
    <col min="15637" max="15637" width="35.7109375" style="134" customWidth="1"/>
    <col min="15638" max="15638" width="36.28515625" style="134" customWidth="1"/>
    <col min="15639" max="15639" width="35.7109375" style="134" customWidth="1"/>
    <col min="15640" max="15640" width="36.28515625" style="134" customWidth="1"/>
    <col min="15641" max="15641" width="16.28515625" style="134" customWidth="1"/>
    <col min="15642" max="15642" width="78.42578125" style="134" bestFit="1" customWidth="1"/>
    <col min="15643" max="15643" width="52.7109375" style="134" bestFit="1" customWidth="1"/>
    <col min="15644" max="15872" width="11.42578125" style="134"/>
    <col min="15873" max="15873" width="25.85546875" style="134" customWidth="1"/>
    <col min="15874" max="15874" width="20.85546875" style="134" bestFit="1" customWidth="1"/>
    <col min="15875" max="15875" width="28.85546875" style="134" customWidth="1"/>
    <col min="15876" max="15876" width="23.7109375" style="134" customWidth="1"/>
    <col min="15877" max="15877" width="24.42578125" style="134" bestFit="1" customWidth="1"/>
    <col min="15878" max="15878" width="21.140625" style="134" customWidth="1"/>
    <col min="15879" max="15881" width="25.7109375" style="134" customWidth="1"/>
    <col min="15882" max="15882" width="19.5703125" style="134" customWidth="1"/>
    <col min="15883" max="15883" width="15.85546875" style="134" customWidth="1"/>
    <col min="15884" max="15884" width="3.140625" style="134" customWidth="1"/>
    <col min="15885" max="15885" width="28.85546875" style="134" customWidth="1"/>
    <col min="15886" max="15886" width="32.28515625" style="134" customWidth="1"/>
    <col min="15887" max="15887" width="36.28515625" style="134" customWidth="1"/>
    <col min="15888" max="15888" width="16.28515625" style="134" customWidth="1"/>
    <col min="15889" max="15889" width="35.7109375" style="134" customWidth="1"/>
    <col min="15890" max="15890" width="36.28515625" style="134" customWidth="1"/>
    <col min="15891" max="15891" width="35.7109375" style="134" customWidth="1"/>
    <col min="15892" max="15892" width="36.28515625" style="134" customWidth="1"/>
    <col min="15893" max="15893" width="35.7109375" style="134" customWidth="1"/>
    <col min="15894" max="15894" width="36.28515625" style="134" customWidth="1"/>
    <col min="15895" max="15895" width="35.7109375" style="134" customWidth="1"/>
    <col min="15896" max="15896" width="36.28515625" style="134" customWidth="1"/>
    <col min="15897" max="15897" width="16.28515625" style="134" customWidth="1"/>
    <col min="15898" max="15898" width="78.42578125" style="134" bestFit="1" customWidth="1"/>
    <col min="15899" max="15899" width="52.7109375" style="134" bestFit="1" customWidth="1"/>
    <col min="15900" max="16128" width="11.42578125" style="134"/>
    <col min="16129" max="16129" width="25.85546875" style="134" customWidth="1"/>
    <col min="16130" max="16130" width="20.85546875" style="134" bestFit="1" customWidth="1"/>
    <col min="16131" max="16131" width="28.85546875" style="134" customWidth="1"/>
    <col min="16132" max="16132" width="23.7109375" style="134" customWidth="1"/>
    <col min="16133" max="16133" width="24.42578125" style="134" bestFit="1" customWidth="1"/>
    <col min="16134" max="16134" width="21.140625" style="134" customWidth="1"/>
    <col min="16135" max="16137" width="25.7109375" style="134" customWidth="1"/>
    <col min="16138" max="16138" width="19.5703125" style="134" customWidth="1"/>
    <col min="16139" max="16139" width="15.85546875" style="134" customWidth="1"/>
    <col min="16140" max="16140" width="3.140625" style="134" customWidth="1"/>
    <col min="16141" max="16141" width="28.85546875" style="134" customWidth="1"/>
    <col min="16142" max="16142" width="32.28515625" style="134" customWidth="1"/>
    <col min="16143" max="16143" width="36.28515625" style="134" customWidth="1"/>
    <col min="16144" max="16144" width="16.28515625" style="134" customWidth="1"/>
    <col min="16145" max="16145" width="35.7109375" style="134" customWidth="1"/>
    <col min="16146" max="16146" width="36.28515625" style="134" customWidth="1"/>
    <col min="16147" max="16147" width="35.7109375" style="134" customWidth="1"/>
    <col min="16148" max="16148" width="36.28515625" style="134" customWidth="1"/>
    <col min="16149" max="16149" width="35.7109375" style="134" customWidth="1"/>
    <col min="16150" max="16150" width="36.28515625" style="134" customWidth="1"/>
    <col min="16151" max="16151" width="35.7109375" style="134" customWidth="1"/>
    <col min="16152" max="16152" width="36.28515625" style="134" customWidth="1"/>
    <col min="16153" max="16153" width="16.28515625" style="134" customWidth="1"/>
    <col min="16154" max="16154" width="78.42578125" style="134" bestFit="1" customWidth="1"/>
    <col min="16155" max="16155" width="52.7109375" style="134" bestFit="1" customWidth="1"/>
    <col min="16156" max="16384" width="11.42578125" style="134"/>
  </cols>
  <sheetData>
    <row r="1" spans="1:13" ht="28.5" x14ac:dyDescent="0.25">
      <c r="A1" s="131"/>
      <c r="B1" s="132" t="s">
        <v>185</v>
      </c>
      <c r="C1" s="132"/>
      <c r="D1" s="132"/>
      <c r="E1" s="132"/>
      <c r="F1" s="132"/>
      <c r="G1" s="132"/>
      <c r="H1" s="132"/>
      <c r="I1" s="132"/>
      <c r="J1" s="133"/>
      <c r="K1" s="133"/>
      <c r="L1" s="133"/>
      <c r="M1" s="133"/>
    </row>
    <row r="2" spans="1:13" x14ac:dyDescent="0.25">
      <c r="L2" s="133"/>
      <c r="M2" s="133"/>
    </row>
    <row r="3" spans="1:13" x14ac:dyDescent="0.25">
      <c r="A3" s="135" t="s">
        <v>186</v>
      </c>
      <c r="B3" s="135"/>
      <c r="C3" s="135"/>
      <c r="D3" s="135"/>
      <c r="E3" s="135"/>
      <c r="F3" s="135"/>
      <c r="G3" s="135"/>
      <c r="H3" s="135"/>
      <c r="I3" s="135"/>
    </row>
    <row r="4" spans="1:13" x14ac:dyDescent="0.25">
      <c r="A4" s="136" t="s">
        <v>187</v>
      </c>
      <c r="B4" s="136"/>
      <c r="C4" s="136"/>
      <c r="D4" s="136"/>
      <c r="E4" s="136"/>
      <c r="F4" s="136"/>
      <c r="G4" s="136"/>
      <c r="H4" s="136"/>
      <c r="I4" s="136"/>
    </row>
    <row r="5" spans="1:13" x14ac:dyDescent="0.25">
      <c r="A5" s="136" t="s">
        <v>188</v>
      </c>
      <c r="B5" s="136"/>
      <c r="C5" s="136"/>
      <c r="D5" s="136"/>
      <c r="E5" s="136"/>
      <c r="F5" s="136"/>
      <c r="G5" s="136"/>
      <c r="H5" s="136"/>
      <c r="I5" s="136"/>
    </row>
    <row r="6" spans="1:13" x14ac:dyDescent="0.25">
      <c r="A6" s="136" t="s">
        <v>189</v>
      </c>
      <c r="B6" s="136"/>
      <c r="C6" s="136"/>
      <c r="D6" s="136"/>
      <c r="E6" s="136"/>
      <c r="F6" s="136"/>
      <c r="G6" s="136"/>
      <c r="H6" s="136"/>
      <c r="I6" s="136"/>
    </row>
    <row r="8" spans="1:13" x14ac:dyDescent="0.25">
      <c r="A8" s="136" t="s">
        <v>190</v>
      </c>
      <c r="B8" s="136"/>
      <c r="C8" s="136"/>
      <c r="D8" s="136"/>
      <c r="E8" s="136"/>
      <c r="F8" s="136"/>
      <c r="G8" s="136"/>
      <c r="H8" s="136"/>
      <c r="I8" s="136"/>
    </row>
    <row r="9" spans="1:13" ht="16.5" thickBot="1" x14ac:dyDescent="0.3"/>
    <row r="10" spans="1:13" ht="16.5" thickBot="1" x14ac:dyDescent="0.3">
      <c r="B10" s="138" t="s">
        <v>191</v>
      </c>
      <c r="C10" s="139" t="s">
        <v>192</v>
      </c>
      <c r="D10" s="140"/>
      <c r="E10" s="140"/>
      <c r="F10" s="141"/>
      <c r="G10" s="142" t="e">
        <f>CONCATENATE("Voie ",_xlfn.XLOOKUP(B13,Mesures!B23:B34,Mesures!C23:C34))</f>
        <v>#N/A</v>
      </c>
      <c r="H10" s="142" t="e">
        <f>CONCATENATE("Voie ",_xlfn.XLOOKUP(B14,Mesures!B23:B34,Mesures!C23:C34))</f>
        <v>#N/A</v>
      </c>
      <c r="I10" s="142" t="e">
        <f>CONCATENATE("Voie ",_xlfn.XLOOKUP(B15,Mesures!B23:B34,Mesures!C23:C34))</f>
        <v>#N/A</v>
      </c>
    </row>
    <row r="11" spans="1:13" ht="16.5" thickBot="1" x14ac:dyDescent="0.3">
      <c r="A11" s="133" t="s">
        <v>193</v>
      </c>
      <c r="B11" s="143" t="s">
        <v>194</v>
      </c>
      <c r="C11" s="142" t="s">
        <v>195</v>
      </c>
      <c r="D11" s="140" t="s">
        <v>196</v>
      </c>
      <c r="E11" s="140"/>
      <c r="F11" s="141"/>
      <c r="G11" s="144" t="e">
        <f>_xlfn.XLOOKUP(B13,Mesures!B23:B34,Mesures!D23:D34)</f>
        <v>#N/A</v>
      </c>
      <c r="H11" s="144" t="e">
        <f>_xlfn.XLOOKUP(B14,Mesures!B23:B34,Mesures!D23:D34)</f>
        <v>#N/A</v>
      </c>
      <c r="I11" s="144" t="e">
        <f>_xlfn.XLOOKUP(B15,Mesures!B23:B34,Mesures!D23:D34)</f>
        <v>#N/A</v>
      </c>
    </row>
    <row r="12" spans="1:13" ht="16.5" thickBot="1" x14ac:dyDescent="0.3">
      <c r="A12" s="134" t="s">
        <v>112</v>
      </c>
      <c r="G12" s="145"/>
      <c r="H12" s="145"/>
      <c r="I12" s="145"/>
    </row>
    <row r="13" spans="1:13" ht="17.25" thickTop="1" thickBot="1" x14ac:dyDescent="0.3">
      <c r="A13" s="179">
        <v>11</v>
      </c>
      <c r="B13" s="178">
        <f>_xlfn.XLOOKUP(A13,Mesures!A23:A34,Mesures!B23:B34)</f>
        <v>0</v>
      </c>
      <c r="C13" s="142" t="e" cm="1">
        <f t="array" ref="C13">_xlfn.XLOOKUP(_xlfn.VALUETOTEXT(B13),SUBSTITUTE(Mesures!A42:A53,"Sonde ",""),Mesures!C42:C53)</f>
        <v>#N/A</v>
      </c>
      <c r="D13" s="140" t="s">
        <v>197</v>
      </c>
      <c r="E13" s="140"/>
      <c r="F13" s="141"/>
      <c r="G13" s="144" t="e">
        <f>_xlfn.XLOOKUP(B13,Mesures!B23:B34,Mesures!E23:E34)</f>
        <v>#N/A</v>
      </c>
      <c r="H13" s="145"/>
      <c r="I13" s="145"/>
    </row>
    <row r="14" spans="1:13" ht="17.25" thickTop="1" thickBot="1" x14ac:dyDescent="0.3">
      <c r="A14" s="180">
        <v>10</v>
      </c>
      <c r="B14" s="178">
        <f>_xlfn.XLOOKUP(A14,Mesures!A23:A34,Mesures!B23:B34)</f>
        <v>0</v>
      </c>
      <c r="C14" s="142" t="e" cm="1">
        <f t="array" ref="C14">_xlfn.XLOOKUP(_xlfn.VALUETOTEXT(B14),SUBSTITUTE(Mesures!A42:A53,"Sonde ",""),Mesures!C42:C53)</f>
        <v>#N/A</v>
      </c>
      <c r="D14" s="140" t="s">
        <v>197</v>
      </c>
      <c r="E14" s="140"/>
      <c r="F14" s="140"/>
      <c r="G14" s="146"/>
      <c r="H14" s="144" t="e">
        <f>_xlfn.XLOOKUP(B14,Mesures!B23:B34,Mesures!E23:E34)</f>
        <v>#N/A</v>
      </c>
      <c r="I14" s="145"/>
    </row>
    <row r="15" spans="1:13" ht="17.25" thickTop="1" thickBot="1" x14ac:dyDescent="0.3">
      <c r="A15" s="180">
        <v>12</v>
      </c>
      <c r="B15" s="178">
        <f>_xlfn.XLOOKUP(A15,Mesures!A23:A34,Mesures!B23:B34)</f>
        <v>0</v>
      </c>
      <c r="C15" s="142" t="e" cm="1">
        <f t="array" ref="C15">_xlfn.XLOOKUP(_xlfn.VALUETOTEXT(B15),SUBSTITUTE(Mesures!A42:A53,"Sonde ",""),Mesures!C42:C53)</f>
        <v>#N/A</v>
      </c>
      <c r="D15" s="140" t="s">
        <v>197</v>
      </c>
      <c r="E15" s="140"/>
      <c r="F15" s="140"/>
      <c r="G15" s="145"/>
      <c r="H15" s="145"/>
      <c r="I15" s="144" t="e">
        <f>_xlfn.XLOOKUP(B15,Mesures!B23:B34,Mesures!E23:E34)</f>
        <v>#N/A</v>
      </c>
    </row>
    <row r="16" spans="1:13" ht="16.5" thickTop="1" x14ac:dyDescent="0.25">
      <c r="A16" s="133"/>
      <c r="B16" s="133"/>
      <c r="C16" s="133"/>
      <c r="G16" s="147"/>
      <c r="H16" s="137"/>
      <c r="I16" s="137"/>
      <c r="J16" s="137"/>
      <c r="K16" s="133"/>
    </row>
    <row r="17" spans="1:15" x14ac:dyDescent="0.25">
      <c r="A17" s="136" t="s">
        <v>198</v>
      </c>
      <c r="B17" s="136"/>
      <c r="C17" s="136"/>
      <c r="D17" s="136"/>
      <c r="E17" s="136"/>
      <c r="F17" s="136"/>
      <c r="G17" s="136"/>
      <c r="H17" s="136"/>
      <c r="I17" s="136"/>
    </row>
    <row r="18" spans="1:15" ht="16.5" thickBot="1" x14ac:dyDescent="0.3">
      <c r="A18" s="147"/>
      <c r="B18" s="147"/>
      <c r="C18" s="147"/>
      <c r="D18" s="147"/>
      <c r="E18" s="147"/>
      <c r="F18" s="147"/>
      <c r="G18" s="147"/>
      <c r="H18" s="147"/>
      <c r="I18" s="147"/>
    </row>
    <row r="19" spans="1:15" ht="16.5" thickBot="1" x14ac:dyDescent="0.3">
      <c r="A19" s="148" t="s">
        <v>191</v>
      </c>
      <c r="B19" s="149"/>
      <c r="C19" s="139" t="s">
        <v>192</v>
      </c>
      <c r="H19" s="140"/>
      <c r="I19" s="140"/>
    </row>
    <row r="20" spans="1:15" ht="16.5" thickBot="1" x14ac:dyDescent="0.3">
      <c r="A20" s="150" t="s">
        <v>199</v>
      </c>
      <c r="B20" s="151"/>
      <c r="C20" s="142" t="e">
        <f>C15</f>
        <v>#N/A</v>
      </c>
      <c r="D20" s="140" t="s">
        <v>200</v>
      </c>
      <c r="E20" s="140"/>
      <c r="F20" s="140"/>
      <c r="G20" s="152">
        <v>0</v>
      </c>
      <c r="H20" s="153" t="s">
        <v>201</v>
      </c>
    </row>
    <row r="21" spans="1:15" ht="16.5" thickBot="1" x14ac:dyDescent="0.3">
      <c r="A21" s="150" t="s">
        <v>202</v>
      </c>
      <c r="B21" s="151"/>
      <c r="C21" s="154" t="e">
        <f>C14</f>
        <v>#N/A</v>
      </c>
      <c r="D21" s="140" t="s">
        <v>200</v>
      </c>
      <c r="E21" s="140"/>
      <c r="F21" s="140"/>
      <c r="G21" s="152">
        <v>0</v>
      </c>
      <c r="H21" s="153" t="s">
        <v>203</v>
      </c>
    </row>
    <row r="22" spans="1:15" ht="16.5" thickBot="1" x14ac:dyDescent="0.3">
      <c r="A22" s="150" t="s">
        <v>204</v>
      </c>
      <c r="B22" s="151"/>
      <c r="C22" s="142" t="e">
        <f>C13</f>
        <v>#N/A</v>
      </c>
      <c r="D22" s="140" t="s">
        <v>200</v>
      </c>
      <c r="E22" s="140"/>
      <c r="F22" s="140"/>
      <c r="G22" s="152">
        <v>0</v>
      </c>
      <c r="H22" s="153" t="s">
        <v>205</v>
      </c>
    </row>
    <row r="23" spans="1:15" x14ac:dyDescent="0.25">
      <c r="A23" s="133"/>
      <c r="G23" s="147"/>
      <c r="H23" s="137"/>
      <c r="I23" s="137"/>
      <c r="J23" s="137"/>
      <c r="K23" s="133"/>
    </row>
    <row r="24" spans="1:15" x14ac:dyDescent="0.25">
      <c r="A24" s="155" t="str">
        <f>"TEMPERATURE : -30,0°C    CRITERES D'ACCEPTATION : +/-"&amp; Mesures!B20 &amp;"°C"</f>
        <v>TEMPERATURE : -30,0°C    CRITERES D'ACCEPTATION : +/-°C</v>
      </c>
      <c r="B24" s="155"/>
      <c r="C24" s="155"/>
      <c r="D24" s="155"/>
      <c r="E24" s="155"/>
      <c r="F24" s="155"/>
      <c r="G24" s="155"/>
      <c r="H24" s="155"/>
      <c r="I24" s="155"/>
      <c r="K24" s="133"/>
    </row>
    <row r="25" spans="1:15" ht="16.5" thickBot="1" x14ac:dyDescent="0.3">
      <c r="A25" s="136"/>
      <c r="B25" s="136"/>
      <c r="C25" s="136"/>
      <c r="D25" s="136"/>
      <c r="E25" s="136"/>
      <c r="F25" s="136"/>
      <c r="G25" s="136"/>
      <c r="H25" s="136"/>
      <c r="I25" s="136"/>
    </row>
    <row r="26" spans="1:15" x14ac:dyDescent="0.25">
      <c r="A26" s="156" t="s">
        <v>206</v>
      </c>
      <c r="B26" s="157"/>
      <c r="C26" s="157"/>
      <c r="D26" s="157"/>
      <c r="E26" s="157"/>
      <c r="F26" s="157"/>
      <c r="G26" s="157"/>
      <c r="H26" s="158"/>
      <c r="I26" s="159" t="s">
        <v>207</v>
      </c>
      <c r="K26" s="160"/>
      <c r="L26" s="160"/>
    </row>
    <row r="27" spans="1:15" s="137" customFormat="1" ht="63.75" customHeight="1" x14ac:dyDescent="0.25">
      <c r="A27" s="162" t="s">
        <v>208</v>
      </c>
      <c r="B27" s="163" t="s">
        <v>209</v>
      </c>
      <c r="C27" s="163" t="s">
        <v>210</v>
      </c>
      <c r="D27" s="164" t="s">
        <v>211</v>
      </c>
      <c r="E27" s="165" t="s">
        <v>212</v>
      </c>
      <c r="F27" s="183" t="s">
        <v>213</v>
      </c>
      <c r="G27" s="166" t="s">
        <v>214</v>
      </c>
      <c r="H27" s="163" t="s">
        <v>215</v>
      </c>
      <c r="I27" s="163" t="s">
        <v>216</v>
      </c>
      <c r="J27" s="134"/>
      <c r="K27" s="160"/>
      <c r="L27" s="160"/>
      <c r="N27" s="160"/>
      <c r="O27" s="167"/>
    </row>
    <row r="28" spans="1:15" ht="19.5" thickBot="1" x14ac:dyDescent="0.3">
      <c r="A28" s="168">
        <f>test</f>
        <v>0</v>
      </c>
      <c r="B28" s="169" t="s">
        <v>217</v>
      </c>
      <c r="C28" s="169" t="str">
        <f>CONCATENATE("Sonde ",B15)</f>
        <v>Sonde 0</v>
      </c>
      <c r="D28" s="181" t="e">
        <f ca="1">AVERAGE(INDIRECT("Valeurs_Brutes["&amp; CONCATENATE("Connecteur ", SUBSTITUTE(I10, "Voie ","")) &amp;"]"))</f>
        <v>#N/A</v>
      </c>
      <c r="E28" s="171" t="e">
        <f ca="1">D28+H11+H14</f>
        <v>#N/A</v>
      </c>
      <c r="F28" s="172">
        <f>Mesures!M48</f>
        <v>0</v>
      </c>
      <c r="G28" s="172">
        <f>F28+G20</f>
        <v>0</v>
      </c>
      <c r="H28" s="172" t="e">
        <f ca="1">G28-E28</f>
        <v>#N/A</v>
      </c>
      <c r="I28" s="185" t="e">
        <f ca="1">IF(OR(E28&gt;Mesures!B19+Mesures!B20,E28&lt;Mesures!B19-Mesures!B20),"NON CONFORME","CONFORME")</f>
        <v>#N/A</v>
      </c>
    </row>
    <row r="29" spans="1:15" x14ac:dyDescent="0.25">
      <c r="A29" s="156" t="s">
        <v>218</v>
      </c>
      <c r="B29" s="157"/>
      <c r="C29" s="157"/>
      <c r="D29" s="157"/>
      <c r="E29" s="157"/>
      <c r="F29" s="157"/>
      <c r="G29" s="157"/>
      <c r="H29" s="158"/>
      <c r="I29" s="159" t="s">
        <v>207</v>
      </c>
      <c r="K29" s="160"/>
      <c r="L29" s="160"/>
    </row>
    <row r="30" spans="1:15" s="137" customFormat="1" ht="78.75" customHeight="1" x14ac:dyDescent="0.25">
      <c r="A30" s="162" t="s">
        <v>208</v>
      </c>
      <c r="B30" s="163" t="s">
        <v>209</v>
      </c>
      <c r="C30" s="163" t="s">
        <v>210</v>
      </c>
      <c r="D30" s="164" t="s">
        <v>211</v>
      </c>
      <c r="E30" s="165" t="s">
        <v>212</v>
      </c>
      <c r="F30" s="164" t="s">
        <v>213</v>
      </c>
      <c r="G30" s="166" t="s">
        <v>214</v>
      </c>
      <c r="H30" s="163" t="s">
        <v>215</v>
      </c>
      <c r="I30" s="163" t="s">
        <v>216</v>
      </c>
      <c r="J30" s="134"/>
      <c r="K30" s="160"/>
      <c r="L30" s="160"/>
      <c r="N30" s="160"/>
      <c r="O30" s="167"/>
    </row>
    <row r="31" spans="1:15" ht="19.5" thickBot="1" x14ac:dyDescent="0.3">
      <c r="A31" s="168">
        <f>A28</f>
        <v>0</v>
      </c>
      <c r="B31" s="169" t="str">
        <f>B28</f>
        <v>E.LAGASSY</v>
      </c>
      <c r="C31" s="169" t="str">
        <f>CONCATENATE("Sonde ",B14)</f>
        <v>Sonde 0</v>
      </c>
      <c r="D31" s="170" t="e">
        <f ca="1">AVERAGE(INDIRECT("Valeurs_Brutes["&amp; CONCATENATE("Connecteur ", SUBSTITUTE(H10, "Voie ","")) &amp;"]"))</f>
        <v>#N/A</v>
      </c>
      <c r="E31" s="171" t="e">
        <f ca="1">D31+G11+G13</f>
        <v>#N/A</v>
      </c>
      <c r="F31" s="172">
        <f>Mesures!M49</f>
        <v>0</v>
      </c>
      <c r="G31" s="172">
        <f>F31+G21</f>
        <v>0</v>
      </c>
      <c r="H31" s="172" t="e">
        <f ca="1">G31-E31</f>
        <v>#N/A</v>
      </c>
      <c r="I31" s="185" t="e">
        <f ca="1">IF(OR(E31&gt;Mesures!B19+Mesures!B20,E31&lt;Mesures!B19-Mesures!B20),"NON CONFORME","CONFORME")</f>
        <v>#N/A</v>
      </c>
    </row>
    <row r="32" spans="1:15" x14ac:dyDescent="0.25">
      <c r="A32" s="156" t="s">
        <v>164</v>
      </c>
      <c r="B32" s="157"/>
      <c r="C32" s="157"/>
      <c r="D32" s="157"/>
      <c r="E32" s="157"/>
      <c r="F32" s="157"/>
      <c r="G32" s="157"/>
      <c r="H32" s="158"/>
      <c r="I32" s="159" t="s">
        <v>207</v>
      </c>
      <c r="K32" s="160"/>
      <c r="L32" s="160"/>
    </row>
    <row r="33" spans="1:15" s="137" customFormat="1" ht="105.75" customHeight="1" x14ac:dyDescent="0.25">
      <c r="A33" s="162" t="s">
        <v>208</v>
      </c>
      <c r="B33" s="163" t="s">
        <v>209</v>
      </c>
      <c r="C33" s="163" t="s">
        <v>210</v>
      </c>
      <c r="D33" s="164" t="s">
        <v>211</v>
      </c>
      <c r="E33" s="165" t="s">
        <v>212</v>
      </c>
      <c r="F33" s="164" t="s">
        <v>213</v>
      </c>
      <c r="G33" s="166" t="s">
        <v>214</v>
      </c>
      <c r="H33" s="163" t="s">
        <v>215</v>
      </c>
      <c r="I33" s="163" t="s">
        <v>216</v>
      </c>
      <c r="J33" s="134"/>
      <c r="K33" s="160"/>
      <c r="L33" s="160"/>
      <c r="N33" s="160"/>
      <c r="O33" s="167"/>
    </row>
    <row r="34" spans="1:15" ht="19.5" thickBot="1" x14ac:dyDescent="0.3">
      <c r="A34" s="168">
        <f>A28</f>
        <v>0</v>
      </c>
      <c r="B34" s="169" t="str">
        <f>B28</f>
        <v>E.LAGASSY</v>
      </c>
      <c r="C34" s="169" t="str">
        <f>CONCATENATE("Sonde ",B13)</f>
        <v>Sonde 0</v>
      </c>
      <c r="D34" s="169" t="e">
        <f ca="1">AVERAGE(INDIRECT("Valeurs_Brutes["&amp; CONCATENATE("Connecteur ", SUBSTITUTE(G10, "Voie ","")) &amp;"]"))</f>
        <v>#N/A</v>
      </c>
      <c r="E34" s="171" t="e">
        <f ca="1">D34+I11+I15</f>
        <v>#N/A</v>
      </c>
      <c r="F34" s="172">
        <f>Mesures!M50</f>
        <v>0</v>
      </c>
      <c r="G34" s="172">
        <f>F34+G22</f>
        <v>0</v>
      </c>
      <c r="H34" s="172" t="e">
        <f ca="1">G34-E34</f>
        <v>#N/A</v>
      </c>
      <c r="I34" s="185" t="e">
        <f ca="1">IF(OR(E34&gt;Mesures!B19+Mesures!B20,E34&lt;Mesures!B19-Mesures!B20),"NON CONFORME","CONFORME")</f>
        <v>#N/A</v>
      </c>
    </row>
    <row r="35" spans="1:15" ht="16.5" thickBot="1" x14ac:dyDescent="0.3"/>
    <row r="36" spans="1:15" ht="18.75" x14ac:dyDescent="0.25">
      <c r="A36" s="161" t="s">
        <v>219</v>
      </c>
      <c r="B36" s="161"/>
      <c r="C36" s="161"/>
      <c r="D36" s="161"/>
      <c r="E36" s="161"/>
      <c r="F36" s="161"/>
      <c r="G36" s="161"/>
      <c r="H36" s="161"/>
      <c r="I36" s="161"/>
      <c r="J36" s="173" t="s">
        <v>220</v>
      </c>
      <c r="K36" s="174">
        <f ca="1">TODAY()</f>
        <v>45310</v>
      </c>
    </row>
    <row r="37" spans="1:15" ht="19.5" thickBot="1" x14ac:dyDescent="0.3">
      <c r="D37" s="175"/>
      <c r="E37" s="175"/>
      <c r="F37" s="175"/>
      <c r="G37" s="175"/>
      <c r="H37" s="175"/>
      <c r="I37" s="134" t="s">
        <v>221</v>
      </c>
      <c r="J37" s="176" t="s">
        <v>222</v>
      </c>
      <c r="K37" s="177">
        <f ca="1">EDATE(K36,6)</f>
        <v>45492</v>
      </c>
    </row>
  </sheetData>
  <sheetProtection algorithmName="SHA-512" hashValue="zaF+knUJhlYao38PvTz2vR6Z+04TcU8i9Rrz6Q8l7RDZYT2onhWoEDonKv/kqTQQkLQSWYr9w2WkmY2RNvT+Sg==" saltValue="8KypqJXy+brVCbBHD1rSlQ==" spinCount="100000" sheet="1" objects="1" scenarios="1"/>
  <mergeCells count="26">
    <mergeCell ref="A36:I36"/>
    <mergeCell ref="A29:H29"/>
    <mergeCell ref="A32:H32"/>
    <mergeCell ref="A22:B22"/>
    <mergeCell ref="D22:F22"/>
    <mergeCell ref="A24:I24"/>
    <mergeCell ref="A25:I25"/>
    <mergeCell ref="A26:H26"/>
    <mergeCell ref="A19:B19"/>
    <mergeCell ref="H19:I19"/>
    <mergeCell ref="A20:B20"/>
    <mergeCell ref="D20:F20"/>
    <mergeCell ref="A21:B21"/>
    <mergeCell ref="D21:F21"/>
    <mergeCell ref="D10:F10"/>
    <mergeCell ref="D11:F11"/>
    <mergeCell ref="D13:F13"/>
    <mergeCell ref="D14:F14"/>
    <mergeCell ref="D15:F15"/>
    <mergeCell ref="A17:I17"/>
    <mergeCell ref="B1:I1"/>
    <mergeCell ref="A3:I3"/>
    <mergeCell ref="A4:I4"/>
    <mergeCell ref="A5:I5"/>
    <mergeCell ref="A6:I6"/>
    <mergeCell ref="A8:I8"/>
  </mergeCells>
  <conditionalFormatting sqref="I28">
    <cfRule type="containsText" dxfId="5" priority="6" operator="containsText" text="CONFORME">
      <formula>NOT(ISERROR(SEARCH("CONFORME",I28)))</formula>
    </cfRule>
    <cfRule type="containsText" dxfId="4" priority="5" operator="containsText" text="NON CONFORME">
      <formula>NOT(ISERROR(SEARCH("NON CONFORME",I28)))</formula>
    </cfRule>
  </conditionalFormatting>
  <conditionalFormatting sqref="I31">
    <cfRule type="containsText" dxfId="3" priority="4" operator="containsText" text="CONFORME">
      <formula>NOT(ISERROR(SEARCH("CONFORME",I31)))</formula>
    </cfRule>
    <cfRule type="containsText" dxfId="2" priority="3" operator="containsText" text="NON CONFORME">
      <formula>NOT(ISERROR(SEARCH("NON CONFORME",I31)))</formula>
    </cfRule>
  </conditionalFormatting>
  <conditionalFormatting sqref="I34">
    <cfRule type="containsText" dxfId="0" priority="2" operator="containsText" text="CONFORME">
      <formula>NOT(ISERROR(SEARCH("CONFORME",I34)))</formula>
    </cfRule>
    <cfRule type="containsText" dxfId="1" priority="1" operator="containsText" text="NON CONFORME">
      <formula>NOT(ISERROR(SEARCH("NON CONFORME",I34)))</formula>
    </cfRule>
  </conditionalFormatting>
  <pageMargins left="0.7" right="0.7" top="0.75" bottom="0.75" header="0.3" footer="0.3"/>
  <pageSetup paperSize="9" scale="26"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Mesures</vt:lpstr>
      <vt:lpstr>Valeurs brutes</vt:lpstr>
      <vt:lpstr>Entete</vt:lpstr>
      <vt:lpstr>-30°C</vt:lpstr>
      <vt:lpstr>PV</vt:lpstr>
      <vt:lpstr>Verif_periodique</vt:lpstr>
      <vt:lpstr>Consigne_tolerance</vt:lpstr>
      <vt:lpstr>Les_Entetes</vt:lpstr>
      <vt:lpstr>MT1_30</vt:lpstr>
      <vt:lpstr>MT2_30</vt:lpstr>
      <vt:lpstr>Positions_TC_Enreg</vt:lpstr>
      <vt:lpstr>test</vt:lpstr>
      <vt:lpstr>test1</vt:lpstr>
      <vt:lpstr>verif_propagation_30</vt:lpstr>
      <vt:lpstr>PV!Zone_d_impression</vt:lpstr>
      <vt:lpstr>Zone_info_TUS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dcterms:created xsi:type="dcterms:W3CDTF">2024-01-09T12:15:38Z</dcterms:created>
  <dcterms:modified xsi:type="dcterms:W3CDTF">2024-01-19T08:56:48Z</dcterms:modified>
</cp:coreProperties>
</file>