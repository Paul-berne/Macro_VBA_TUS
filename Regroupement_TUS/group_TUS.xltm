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drawings/drawing5.xml" ContentType="application/vnd.openxmlformats-officedocument.drawing+xml"/>
  <Override PartName="/xl/drawings/drawing6.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printerSettings/printerSettings3.bin" ContentType="application/vnd.openxmlformats-officedocument.spreadsheetml.printerSettings"/>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4.bin" ContentType="application/vnd.openxmlformats-officedocument.spreadsheetml.printerSettings"/>
  <Override PartName="/xl/drawings/drawing1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3.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6.bin" ContentType="application/vnd.openxmlformats-officedocument.spreadsheetml.printerSettings"/>
  <Override PartName="/xl/drawings/drawing1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Regroupement_TUS\"/>
    </mc:Choice>
  </mc:AlternateContent>
  <xr:revisionPtr revIDLastSave="0" documentId="13_ncr:1_{60AEFB86-2855-4A68-A7B4-2E40CD612813}" xr6:coauthVersionLast="47" xr6:coauthVersionMax="47" xr10:uidLastSave="{00000000-0000-0000-0000-000000000000}"/>
  <workbookProtection workbookAlgorithmName="SHA-512" workbookHashValue="EEYNLFLVhLDS9XClUBqyF2J+CWOa1/YH/snCM++xVH1GmffFlq43AzA0pQbO+ePb5nE8uTxIA6pGSVYSljqreA==" workbookSaltValue="7I5hzsebdzO4Gf9pTHxXsw==" workbookSpinCount="100000" lockStructure="1"/>
  <bookViews>
    <workbookView xWindow="-120" yWindow="-120" windowWidth="29040" windowHeight="15840" tabRatio="887" firstSheet="2" activeTab="2" xr2:uid="{00000000-000D-0000-FFFF-FFFF00000000}"/>
  </bookViews>
  <sheets>
    <sheet name="Group-1" sheetId="17" state="hidden" r:id="rId1"/>
    <sheet name="Entete" sheetId="18" state="hidden" r:id="rId2"/>
    <sheet name="Choose_TUS" sheetId="1" r:id="rId3"/>
    <sheet name="Mesures_Congel" sheetId="2" state="hidden" r:id="rId4"/>
    <sheet name="Donnee_Congel_-30" sheetId="16" state="hidden" r:id="rId5"/>
    <sheet name="Congel_-30°C" sheetId="5" state="hidden" r:id="rId6"/>
    <sheet name="Congel_PV" sheetId="20" state="hidden" r:id="rId7"/>
    <sheet name="Verif_periodique" sheetId="19" state="hidden" r:id="rId8"/>
    <sheet name="Mesures_Sechoir" sheetId="29" state="hidden" r:id="rId9"/>
    <sheet name="Donnee_Sechoir_50" sheetId="30" state="hidden" r:id="rId10"/>
    <sheet name="Sechoir_50°C" sheetId="31" state="hidden" r:id="rId11"/>
    <sheet name="Sechoir_PV" sheetId="32" state="hidden" r:id="rId12"/>
    <sheet name="Mesures_Omia" sheetId="4" state="hidden" r:id="rId13"/>
    <sheet name="Donnee_Omia_60" sheetId="21" state="hidden" r:id="rId14"/>
    <sheet name="Donnee_Omia_150" sheetId="22" state="hidden" r:id="rId15"/>
    <sheet name="Donnee_Omia_190" sheetId="23" state="hidden" r:id="rId16"/>
    <sheet name="Omia_60°C" sheetId="6" state="hidden" r:id="rId17"/>
    <sheet name="Omia_150°C" sheetId="7" state="hidden" r:id="rId18"/>
    <sheet name="Omia_190°C" sheetId="8" state="hidden" r:id="rId19"/>
    <sheet name="Omia_PV" sheetId="24" state="hidden" r:id="rId20"/>
    <sheet name="Mesures_Dover" sheetId="3" state="hidden" r:id="rId21"/>
    <sheet name="Donnee_Dover_50" sheetId="25" state="hidden" r:id="rId22"/>
    <sheet name="Donnee_Dover_100" sheetId="26" state="hidden" r:id="rId23"/>
    <sheet name="Donnee_Dover_150" sheetId="27" state="hidden" r:id="rId24"/>
    <sheet name="Dover_50°C" sheetId="9" state="hidden" r:id="rId25"/>
    <sheet name="Dover_100°C" sheetId="10" state="hidden" r:id="rId26"/>
    <sheet name="Dover_150°C" sheetId="11" state="hidden" r:id="rId27"/>
    <sheet name="Dover_PV" sheetId="28" state="hidden" r:id="rId28"/>
  </sheets>
  <functionGroups builtInGroupCount="19"/>
  <definedNames>
    <definedName name="Entete_Congel">Entete!$A$2:$N$21</definedName>
    <definedName name="Entete_DOVER">Entete!$A$46:$K$59</definedName>
    <definedName name="Entete_Etuve_Sechoir">Entete!$A$64:$J$75</definedName>
    <definedName name="Entete_OMIA">Entete!$A$25:$O$42</definedName>
    <definedName name="MT1_30" localSheetId="10">Sechoir_50°C!$A$11</definedName>
    <definedName name="MT1_30">'Congel_-30°C'!$A$11</definedName>
    <definedName name="MT2_30" localSheetId="10">Sechoir_50°C!$A$12</definedName>
    <definedName name="MT2_30">'Congel_-30°C'!$A$12</definedName>
    <definedName name="test_propagation" localSheetId="10">Sechoir_50°C!$B$11</definedName>
    <definedName name="test_propagation">'Congel_-30°C'!$B$11</definedName>
    <definedName name="_xlnm.Print_Area" localSheetId="6">Congel_PV!$A$1:$J$318</definedName>
    <definedName name="_xlnm.Print_Area" localSheetId="27">Dover_PV!$A$1:$O$511</definedName>
    <definedName name="_xlnm.Print_Area" localSheetId="19">Omia_PV!$A$1:$O$519</definedName>
    <definedName name="_xlnm.Print_Area" localSheetId="11">Sechoir_PV!$A$1:$J$318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5" i="31" l="1"/>
  <c r="A1" i="31"/>
  <c r="B11" i="31" a="1"/>
  <c r="B11" i="31" s="1"/>
  <c r="C11" i="31" a="1"/>
  <c r="C11" i="31" s="1"/>
  <c r="E306" i="32"/>
  <c r="E304" i="32"/>
  <c r="C234" i="32" a="1"/>
  <c r="A200" i="32" a="1"/>
  <c r="A200" i="32" s="1"/>
  <c r="A167" i="32" a="1"/>
  <c r="A167" i="32" s="1"/>
  <c r="G122" i="32"/>
  <c r="G121" i="32"/>
  <c r="G120" i="32"/>
  <c r="G119" i="32"/>
  <c r="D96" i="32" a="1"/>
  <c r="D96" i="32" s="1"/>
  <c r="D19" i="32"/>
  <c r="G18" i="32"/>
  <c r="D18" i="32"/>
  <c r="G16" i="32"/>
  <c r="D16" i="32"/>
  <c r="G15" i="32"/>
  <c r="D15" i="32"/>
  <c r="G13" i="32"/>
  <c r="D13" i="32"/>
  <c r="G12" i="32"/>
  <c r="D12" i="32"/>
  <c r="E10" i="32"/>
  <c r="O17" i="31"/>
  <c r="L17" i="31"/>
  <c r="O16" i="31"/>
  <c r="L16" i="31"/>
  <c r="C14" i="31" a="1"/>
  <c r="C14" i="31" s="1"/>
  <c r="C6" i="31" s="1"/>
  <c r="B10" i="31" a="1"/>
  <c r="B10" i="31" s="1"/>
  <c r="A50" i="29"/>
  <c r="A49" i="29"/>
  <c r="A48" i="29"/>
  <c r="A47" i="29"/>
  <c r="A46" i="29"/>
  <c r="A45" i="29"/>
  <c r="A44" i="29"/>
  <c r="A43" i="29"/>
  <c r="A42" i="29"/>
  <c r="E303" i="32"/>
  <c r="H202" i="32" a="1"/>
  <c r="H202" i="32" s="1"/>
  <c r="I202" i="32" s="1"/>
  <c r="G202" i="32"/>
  <c r="G202" i="32" a="1"/>
  <c r="B432" i="28" a="1"/>
  <c r="B432" i="28" s="1"/>
  <c r="C411" i="28"/>
  <c r="C410" i="28"/>
  <c r="B323" i="28" a="1"/>
  <c r="B323" i="28" s="1"/>
  <c r="C301" i="28"/>
  <c r="C300" i="28"/>
  <c r="B225" i="28" a="1"/>
  <c r="B225" i="28" s="1"/>
  <c r="C202" i="28"/>
  <c r="C201" i="28"/>
  <c r="A164" i="28" a="1"/>
  <c r="A164" i="28" s="1"/>
  <c r="G118" i="28"/>
  <c r="E96" i="28" a="1"/>
  <c r="E96" i="28" s="1"/>
  <c r="C79" i="28"/>
  <c r="C73" i="28"/>
  <c r="G500" i="28"/>
  <c r="F500" i="28"/>
  <c r="E500" i="28"/>
  <c r="B402" i="28"/>
  <c r="B292" i="28"/>
  <c r="B193" i="28"/>
  <c r="G117" i="28"/>
  <c r="G116" i="28"/>
  <c r="G115" i="28"/>
  <c r="D19" i="28"/>
  <c r="G18" i="28"/>
  <c r="D18" i="28"/>
  <c r="G16" i="28"/>
  <c r="D16" i="28"/>
  <c r="G15" i="28"/>
  <c r="D15" i="28"/>
  <c r="G13" i="28"/>
  <c r="D13" i="28"/>
  <c r="G12" i="28"/>
  <c r="D12" i="28"/>
  <c r="E10" i="28"/>
  <c r="C96" i="32" l="1" a="1"/>
  <c r="C96" i="32" s="1"/>
  <c r="H238" i="32" a="1"/>
  <c r="H238" i="32" s="1"/>
  <c r="F5" i="31"/>
  <c r="I245" i="32" a="1"/>
  <c r="I245" i="32" s="1"/>
  <c r="H239" i="32" a="1"/>
  <c r="H239" i="32" s="1"/>
  <c r="E6" i="31"/>
  <c r="H240" i="32" a="1"/>
  <c r="H240" i="32" s="1"/>
  <c r="H234" i="32" a="1"/>
  <c r="H234" i="32" s="1"/>
  <c r="H242" i="32" a="1"/>
  <c r="H242" i="32" s="1"/>
  <c r="H235" i="32" a="1"/>
  <c r="H235" i="32" s="1"/>
  <c r="H243" i="32" a="1"/>
  <c r="H243" i="32" s="1"/>
  <c r="H236" i="32" a="1"/>
  <c r="H236" i="32" s="1"/>
  <c r="H244" i="32" a="1"/>
  <c r="H244" i="32" s="1"/>
  <c r="H241" i="32" a="1"/>
  <c r="H241" i="32" s="1"/>
  <c r="H237" i="32" a="1"/>
  <c r="H237" i="32" s="1"/>
  <c r="H245" i="32" a="1"/>
  <c r="H245" i="32" s="1"/>
  <c r="C210" i="32"/>
  <c r="C209" i="32"/>
  <c r="I5" i="31"/>
  <c r="F234" i="32" a="1"/>
  <c r="F234" i="32" s="1"/>
  <c r="F235" i="32" a="1"/>
  <c r="F235" i="32" s="1"/>
  <c r="F236" i="32" a="1"/>
  <c r="F236" i="32" s="1"/>
  <c r="F237" i="32" a="1"/>
  <c r="F237" i="32" s="1"/>
  <c r="F238" i="32" a="1"/>
  <c r="F238" i="32" s="1"/>
  <c r="F239" i="32" a="1"/>
  <c r="F239" i="32" s="1"/>
  <c r="F240" i="32" a="1"/>
  <c r="F240" i="32" s="1"/>
  <c r="F241" i="32" a="1"/>
  <c r="F241" i="32" s="1"/>
  <c r="F242" i="32" a="1"/>
  <c r="F242" i="32" s="1"/>
  <c r="F243" i="32" a="1"/>
  <c r="F243" i="32" s="1"/>
  <c r="F244" i="32" a="1"/>
  <c r="F244" i="32" s="1"/>
  <c r="F245" i="32" a="1"/>
  <c r="F245" i="32" s="1"/>
  <c r="J5" i="31"/>
  <c r="I6" i="31"/>
  <c r="C234" i="32"/>
  <c r="C5" i="31"/>
  <c r="K5" i="31"/>
  <c r="J6" i="31"/>
  <c r="H6" i="31"/>
  <c r="G234" i="32" a="1"/>
  <c r="G234" i="32" s="1"/>
  <c r="G235" i="32" a="1"/>
  <c r="G235" i="32" s="1"/>
  <c r="G236" i="32" a="1"/>
  <c r="G236" i="32" s="1"/>
  <c r="G237" i="32" a="1"/>
  <c r="G237" i="32" s="1"/>
  <c r="G238" i="32" a="1"/>
  <c r="G238" i="32" s="1"/>
  <c r="G239" i="32" a="1"/>
  <c r="G239" i="32" s="1"/>
  <c r="G240" i="32" a="1"/>
  <c r="G240" i="32" s="1"/>
  <c r="G241" i="32" a="1"/>
  <c r="G241" i="32" s="1"/>
  <c r="G242" i="32" a="1"/>
  <c r="G242" i="32" s="1"/>
  <c r="G243" i="32" a="1"/>
  <c r="G243" i="32" s="1"/>
  <c r="G244" i="32" a="1"/>
  <c r="G244" i="32" s="1"/>
  <c r="G245" i="32" a="1"/>
  <c r="G245" i="32" s="1"/>
  <c r="D5" i="31"/>
  <c r="K6" i="31"/>
  <c r="E5" i="31"/>
  <c r="D6" i="31"/>
  <c r="G5" i="31"/>
  <c r="F6" i="31"/>
  <c r="I234" i="32" a="1"/>
  <c r="I234" i="32" s="1"/>
  <c r="I235" i="32" a="1"/>
  <c r="I235" i="32" s="1"/>
  <c r="I236" i="32" a="1"/>
  <c r="I236" i="32" s="1"/>
  <c r="I237" i="32" a="1"/>
  <c r="I237" i="32" s="1"/>
  <c r="I238" i="32" a="1"/>
  <c r="I238" i="32" s="1"/>
  <c r="I239" i="32" a="1"/>
  <c r="I239" i="32" s="1"/>
  <c r="I240" i="32" a="1"/>
  <c r="I240" i="32" s="1"/>
  <c r="I241" i="32" a="1"/>
  <c r="I241" i="32" s="1"/>
  <c r="I242" i="32" a="1"/>
  <c r="I242" i="32" s="1"/>
  <c r="I243" i="32" a="1"/>
  <c r="I243" i="32" s="1"/>
  <c r="I244" i="32" a="1"/>
  <c r="I244" i="32" s="1"/>
  <c r="H5" i="31"/>
  <c r="G6" i="31"/>
  <c r="L49" i="10"/>
  <c r="L48" i="10"/>
  <c r="O48" i="11"/>
  <c r="L49" i="11"/>
  <c r="L48" i="11"/>
  <c r="C47" i="11" a="1"/>
  <c r="C47" i="11" s="1"/>
  <c r="B11" i="11" a="1"/>
  <c r="B10" i="11" a="1"/>
  <c r="B10" i="11" s="1"/>
  <c r="O50" i="11"/>
  <c r="O49" i="11"/>
  <c r="A1" i="11"/>
  <c r="L49" i="9"/>
  <c r="L48" i="9"/>
  <c r="O48" i="9"/>
  <c r="O48" i="10"/>
  <c r="A1" i="10"/>
  <c r="C47" i="10" a="1"/>
  <c r="C47" i="10" s="1"/>
  <c r="B11" i="10" a="1"/>
  <c r="B10" i="10" a="1"/>
  <c r="B10" i="10" s="1"/>
  <c r="O50" i="10"/>
  <c r="O49" i="10"/>
  <c r="C47" i="9" a="1"/>
  <c r="C47" i="9" s="1"/>
  <c r="O50" i="9"/>
  <c r="O49" i="9"/>
  <c r="B11" i="9" a="1"/>
  <c r="B10" i="9" a="1"/>
  <c r="B10" i="9" s="1"/>
  <c r="A1" i="9"/>
  <c r="A48" i="3"/>
  <c r="C104" i="28" s="1"/>
  <c r="A47" i="3"/>
  <c r="C103" i="28" s="1"/>
  <c r="A46" i="3"/>
  <c r="C102" i="28" s="1"/>
  <c r="A45" i="3"/>
  <c r="C101" i="28" s="1"/>
  <c r="A44" i="3"/>
  <c r="C100" i="28" s="1"/>
  <c r="A43" i="3"/>
  <c r="C99" i="28" s="1"/>
  <c r="A42" i="3"/>
  <c r="C98" i="28" s="1"/>
  <c r="A41" i="3"/>
  <c r="C97" i="28" s="1"/>
  <c r="A40" i="3"/>
  <c r="C96" i="28" s="1"/>
  <c r="G508" i="24"/>
  <c r="F508" i="24"/>
  <c r="E508" i="24"/>
  <c r="B410" i="24"/>
  <c r="B300" i="24"/>
  <c r="B201"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B440" i="24" a="1"/>
  <c r="B440" i="24" s="1"/>
  <c r="B331" i="24" a="1"/>
  <c r="B331" i="24" s="1"/>
  <c r="B233" i="24" a="1"/>
  <c r="B233" i="24" s="1"/>
  <c r="C47" i="8" a="1"/>
  <c r="C47" i="8" s="1"/>
  <c r="B11" i="8" a="1"/>
  <c r="B11" i="8" s="1"/>
  <c r="G411" i="24" s="1"/>
  <c r="C10" i="8" a="1"/>
  <c r="C10" i="8" s="1"/>
  <c r="B10" i="8"/>
  <c r="C47" i="7" a="1"/>
  <c r="C47" i="7" s="1"/>
  <c r="B11" i="7" a="1"/>
  <c r="B11" i="7" s="1"/>
  <c r="G301" i="24" s="1"/>
  <c r="C10" i="7" a="1"/>
  <c r="C10" i="7" s="1"/>
  <c r="B10" i="7"/>
  <c r="C10" i="6" a="1"/>
  <c r="C10" i="6" s="1"/>
  <c r="B10" i="6"/>
  <c r="C47" i="6" a="1"/>
  <c r="C47" i="6" s="1"/>
  <c r="B11" i="6" a="1"/>
  <c r="B11" i="6" s="1"/>
  <c r="G202" i="24" s="1"/>
  <c r="S50" i="8"/>
  <c r="S49" i="8"/>
  <c r="P49" i="8"/>
  <c r="P48" i="8"/>
  <c r="S50" i="7"/>
  <c r="S49" i="7"/>
  <c r="P49" i="7"/>
  <c r="P48" i="7"/>
  <c r="S50" i="6"/>
  <c r="S49" i="6"/>
  <c r="P49" i="6"/>
  <c r="P48" i="6"/>
  <c r="C419" i="24"/>
  <c r="C418" i="24"/>
  <c r="C309" i="24"/>
  <c r="C308" i="24"/>
  <c r="C210" i="24"/>
  <c r="C209" i="24"/>
  <c r="S48" i="8"/>
  <c r="A1" i="8"/>
  <c r="S48" i="7"/>
  <c r="A1" i="7"/>
  <c r="S48" i="6"/>
  <c r="A1" i="6"/>
  <c r="I15" i="31" l="1" a="1"/>
  <c r="I15" i="31" s="1"/>
  <c r="F22" i="31"/>
  <c r="J15" i="31" a="1"/>
  <c r="J15" i="31" s="1"/>
  <c r="E18" i="31"/>
  <c r="G15" i="31" a="1"/>
  <c r="G15" i="31" s="1"/>
  <c r="E15" i="31" a="1"/>
  <c r="E15" i="31" s="1"/>
  <c r="G22" i="31"/>
  <c r="H16" i="31"/>
  <c r="E17" i="31"/>
  <c r="F17" i="31"/>
  <c r="G16" i="31"/>
  <c r="H15" i="31" a="1"/>
  <c r="H15" i="31" s="1"/>
  <c r="G18" i="31"/>
  <c r="H17" i="31"/>
  <c r="J17" i="31"/>
  <c r="J22" i="31"/>
  <c r="J16" i="31"/>
  <c r="J18" i="31"/>
  <c r="F15" i="31" a="1"/>
  <c r="F15" i="31" s="1"/>
  <c r="I16" i="31"/>
  <c r="F16" i="31"/>
  <c r="E16" i="31"/>
  <c r="E22" i="31"/>
  <c r="K22" i="31"/>
  <c r="K16" i="31"/>
  <c r="K18" i="31"/>
  <c r="K15" i="31" a="1"/>
  <c r="K15" i="31" s="1"/>
  <c r="K17" i="31"/>
  <c r="D22" i="31"/>
  <c r="D17" i="31"/>
  <c r="D18" i="31"/>
  <c r="D16" i="31"/>
  <c r="D15" i="31" a="1"/>
  <c r="D15" i="31" s="1"/>
  <c r="I17" i="31"/>
  <c r="I18" i="31"/>
  <c r="I22" i="31"/>
  <c r="H22" i="31"/>
  <c r="H18" i="31"/>
  <c r="F18" i="31"/>
  <c r="G17" i="31"/>
  <c r="C15" i="31" a="1"/>
  <c r="C15" i="31" s="1"/>
  <c r="C16" i="31"/>
  <c r="C22" i="31"/>
  <c r="C17" i="31"/>
  <c r="C18" i="31"/>
  <c r="B11" i="11"/>
  <c r="G403" i="28" s="1"/>
  <c r="H403" i="28"/>
  <c r="B11" i="10"/>
  <c r="G293" i="28" s="1"/>
  <c r="H293" i="28"/>
  <c r="B11" i="9"/>
  <c r="G194" i="28" s="1"/>
  <c r="H194" i="28"/>
  <c r="K5" i="10"/>
  <c r="I6" i="10"/>
  <c r="J6" i="10"/>
  <c r="E5" i="10"/>
  <c r="I5" i="10"/>
  <c r="H6" i="10"/>
  <c r="G6" i="10"/>
  <c r="F6" i="11"/>
  <c r="E5" i="9"/>
  <c r="F6" i="9"/>
  <c r="H6" i="9"/>
  <c r="I5" i="9"/>
  <c r="I6" i="9"/>
  <c r="J5" i="10"/>
  <c r="J5" i="9"/>
  <c r="J6" i="9"/>
  <c r="E6" i="9"/>
  <c r="F5" i="9"/>
  <c r="G6" i="9"/>
  <c r="H5" i="9"/>
  <c r="K5" i="9"/>
  <c r="K6" i="9"/>
  <c r="D6" i="10"/>
  <c r="D5" i="9"/>
  <c r="D6" i="9"/>
  <c r="G5" i="9"/>
  <c r="H6" i="11"/>
  <c r="G5" i="11"/>
  <c r="H5" i="11"/>
  <c r="G6" i="11"/>
  <c r="I5" i="11"/>
  <c r="J5" i="11"/>
  <c r="I6" i="11"/>
  <c r="K5" i="11"/>
  <c r="D5" i="11"/>
  <c r="K6" i="11"/>
  <c r="J6" i="11"/>
  <c r="E5" i="11"/>
  <c r="D6" i="11"/>
  <c r="F5" i="11"/>
  <c r="E6" i="11"/>
  <c r="D5" i="10"/>
  <c r="K6" i="10"/>
  <c r="F5" i="10"/>
  <c r="E6" i="10"/>
  <c r="G5" i="10"/>
  <c r="F6" i="10"/>
  <c r="H5" i="10"/>
  <c r="C5" i="9"/>
  <c r="C6" i="9"/>
  <c r="E5" i="6"/>
  <c r="J6" i="6"/>
  <c r="F5" i="6"/>
  <c r="G5" i="6"/>
  <c r="N5" i="6"/>
  <c r="I6" i="6"/>
  <c r="I5" i="8"/>
  <c r="D6" i="8"/>
  <c r="E6" i="8"/>
  <c r="L6" i="8"/>
  <c r="H5" i="8"/>
  <c r="M6" i="8"/>
  <c r="M5" i="6"/>
  <c r="H411" i="24"/>
  <c r="I411" i="24" s="1"/>
  <c r="J5" i="8"/>
  <c r="F6" i="8"/>
  <c r="N6" i="8"/>
  <c r="D5" i="8"/>
  <c r="L5" i="8"/>
  <c r="H6" i="8"/>
  <c r="K5" i="8"/>
  <c r="G6" i="8"/>
  <c r="O6" i="8"/>
  <c r="E5" i="8"/>
  <c r="M5" i="8"/>
  <c r="I6" i="8"/>
  <c r="F5" i="8"/>
  <c r="N5" i="8"/>
  <c r="J6" i="8"/>
  <c r="G5" i="8"/>
  <c r="O5" i="8"/>
  <c r="K6" i="8"/>
  <c r="H301" i="24"/>
  <c r="I301" i="24" s="1"/>
  <c r="F5" i="7"/>
  <c r="N5" i="7"/>
  <c r="J6" i="7"/>
  <c r="G5" i="7"/>
  <c r="O5" i="7"/>
  <c r="K6" i="7"/>
  <c r="G6" i="7"/>
  <c r="M5" i="7"/>
  <c r="I6" i="7"/>
  <c r="D6" i="7"/>
  <c r="O6" i="7"/>
  <c r="H5" i="7"/>
  <c r="L6" i="7"/>
  <c r="I5" i="7"/>
  <c r="E6" i="7"/>
  <c r="M6" i="7"/>
  <c r="J5" i="7"/>
  <c r="F6" i="7"/>
  <c r="N6" i="7"/>
  <c r="K5" i="7"/>
  <c r="D5" i="7"/>
  <c r="L5" i="7"/>
  <c r="H6" i="7"/>
  <c r="E5" i="7"/>
  <c r="H202" i="24"/>
  <c r="I202" i="24" s="1"/>
  <c r="K6" i="6"/>
  <c r="H5" i="6"/>
  <c r="D6" i="6"/>
  <c r="L6" i="6"/>
  <c r="M6" i="6"/>
  <c r="J5" i="6"/>
  <c r="F6" i="6"/>
  <c r="N6" i="6"/>
  <c r="O5" i="6"/>
  <c r="I5" i="6"/>
  <c r="K5" i="6"/>
  <c r="G6" i="6"/>
  <c r="O6" i="6"/>
  <c r="E6" i="6"/>
  <c r="D5" i="6"/>
  <c r="L5" i="6"/>
  <c r="H6" i="6"/>
  <c r="C5" i="8"/>
  <c r="C6" i="8"/>
  <c r="C5" i="7"/>
  <c r="C6" i="7"/>
  <c r="C6" i="6"/>
  <c r="C5" i="6"/>
  <c r="F19" i="31" l="1"/>
  <c r="H19" i="31"/>
  <c r="E19" i="31"/>
  <c r="C21" i="31"/>
  <c r="C214" i="32" s="1"/>
  <c r="I19" i="31"/>
  <c r="G19" i="31"/>
  <c r="C213" i="32"/>
  <c r="E213" i="32" s="1" a="1"/>
  <c r="E213" i="32" s="1"/>
  <c r="F213" i="32" s="1"/>
  <c r="C211" i="32"/>
  <c r="E211" i="32" s="1" a="1"/>
  <c r="E211" i="32" s="1"/>
  <c r="F297" i="32"/>
  <c r="C212" i="32"/>
  <c r="E212" i="32" s="1" a="1"/>
  <c r="E212" i="32" s="1"/>
  <c r="K19" i="31"/>
  <c r="D19" i="31"/>
  <c r="J19" i="31"/>
  <c r="C19" i="31"/>
  <c r="C20" i="31"/>
  <c r="E305" i="32" s="1"/>
  <c r="F54" i="9"/>
  <c r="E54" i="9"/>
  <c r="I403" i="28"/>
  <c r="I293" i="28"/>
  <c r="I194" i="28"/>
  <c r="J54" i="10"/>
  <c r="E54" i="10"/>
  <c r="I54" i="9"/>
  <c r="G54" i="9"/>
  <c r="I54" i="10"/>
  <c r="H54" i="9"/>
  <c r="O54" i="8"/>
  <c r="L54" i="8"/>
  <c r="F54" i="6"/>
  <c r="D54" i="9"/>
  <c r="H54" i="10"/>
  <c r="K54" i="10"/>
  <c r="D54" i="10"/>
  <c r="F54" i="11"/>
  <c r="G54" i="10"/>
  <c r="J54" i="9"/>
  <c r="K54" i="9"/>
  <c r="J54" i="11"/>
  <c r="C11" i="9" a="1"/>
  <c r="C11" i="9" s="1"/>
  <c r="C54" i="9"/>
  <c r="I54" i="11"/>
  <c r="E54" i="11"/>
  <c r="F54" i="10"/>
  <c r="G54" i="11"/>
  <c r="D54" i="11"/>
  <c r="K54" i="11"/>
  <c r="H54" i="11"/>
  <c r="C6" i="11"/>
  <c r="C5" i="11"/>
  <c r="C5" i="10"/>
  <c r="C6" i="10"/>
  <c r="G54" i="8"/>
  <c r="N54" i="7"/>
  <c r="E54" i="6"/>
  <c r="J54" i="6"/>
  <c r="F54" i="8"/>
  <c r="N54" i="8"/>
  <c r="D54" i="8"/>
  <c r="H54" i="8"/>
  <c r="E54" i="7"/>
  <c r="O54" i="7"/>
  <c r="K54" i="7"/>
  <c r="G54" i="7"/>
  <c r="E54" i="8"/>
  <c r="J54" i="7"/>
  <c r="I54" i="6"/>
  <c r="G54" i="6"/>
  <c r="N54" i="6"/>
  <c r="M54" i="6"/>
  <c r="K54" i="8"/>
  <c r="I54" i="8"/>
  <c r="M54" i="8"/>
  <c r="F54" i="7"/>
  <c r="M54" i="7"/>
  <c r="K54" i="6"/>
  <c r="J54" i="8"/>
  <c r="L54" i="7"/>
  <c r="D54" i="7"/>
  <c r="I54" i="7"/>
  <c r="H54" i="7"/>
  <c r="H54" i="6"/>
  <c r="O54" i="6"/>
  <c r="L54" i="6"/>
  <c r="C11" i="6" a="1"/>
  <c r="C11" i="6" s="1"/>
  <c r="C54" i="6"/>
  <c r="D54" i="6"/>
  <c r="C11" i="8" a="1"/>
  <c r="C54" i="8"/>
  <c r="C54" i="7"/>
  <c r="C11" i="7" a="1"/>
  <c r="C11" i="7" s="1"/>
  <c r="D213" i="32" l="1"/>
  <c r="F212" i="32"/>
  <c r="D212" i="32"/>
  <c r="D211" i="32"/>
  <c r="F211" i="32"/>
  <c r="B232" i="28" a="1"/>
  <c r="B232" i="28" s="1"/>
  <c r="C11" i="11" a="1"/>
  <c r="C11" i="11" s="1"/>
  <c r="C54" i="11"/>
  <c r="B439" i="28" s="1" a="1"/>
  <c r="B439" i="28" s="1"/>
  <c r="C11" i="10" a="1"/>
  <c r="C11" i="10" s="1"/>
  <c r="C54" i="10"/>
  <c r="B330" i="28" s="1" a="1"/>
  <c r="B330" i="28" s="1"/>
  <c r="D50" i="9"/>
  <c r="C228" i="28" s="1"/>
  <c r="K49" i="9"/>
  <c r="J227" i="28" s="1"/>
  <c r="J48" i="9"/>
  <c r="I226" i="28" s="1"/>
  <c r="K50" i="9"/>
  <c r="J228" i="28" s="1"/>
  <c r="J49" i="9"/>
  <c r="I227" i="28" s="1"/>
  <c r="I48" i="9"/>
  <c r="H226" i="28" s="1"/>
  <c r="J50" i="9"/>
  <c r="I228" i="28" s="1"/>
  <c r="I49" i="9"/>
  <c r="H227" i="28" s="1"/>
  <c r="H48" i="9"/>
  <c r="G226" i="28" s="1"/>
  <c r="I50" i="9"/>
  <c r="H228" i="28" s="1"/>
  <c r="H49" i="9"/>
  <c r="G227" i="28" s="1"/>
  <c r="G48" i="9"/>
  <c r="F226" i="28" s="1"/>
  <c r="H50" i="9"/>
  <c r="G228" i="28" s="1"/>
  <c r="G49" i="9"/>
  <c r="F227" i="28" s="1"/>
  <c r="F48" i="9"/>
  <c r="E226" i="28" s="1"/>
  <c r="G50" i="9"/>
  <c r="F228" i="28" s="1"/>
  <c r="F49" i="9"/>
  <c r="E227" i="28" s="1"/>
  <c r="E48" i="9"/>
  <c r="D226" i="28" s="1"/>
  <c r="F50" i="9"/>
  <c r="E228" i="28" s="1"/>
  <c r="E49" i="9"/>
  <c r="D227" i="28" s="1"/>
  <c r="D48" i="9"/>
  <c r="C226" i="28" s="1"/>
  <c r="E50" i="9"/>
  <c r="D228" i="28" s="1"/>
  <c r="D49" i="9"/>
  <c r="C227" i="28" s="1"/>
  <c r="K48" i="9"/>
  <c r="J226" i="28" s="1"/>
  <c r="B447" i="24" a="1"/>
  <c r="B447" i="24" s="1"/>
  <c r="C11" i="8"/>
  <c r="C50" i="8" s="1"/>
  <c r="I48" i="8"/>
  <c r="O49" i="8"/>
  <c r="M48" i="8"/>
  <c r="D48" i="8"/>
  <c r="K49" i="8"/>
  <c r="J50" i="8"/>
  <c r="E48" i="8"/>
  <c r="M50" i="8"/>
  <c r="J48" i="8"/>
  <c r="I49" i="8"/>
  <c r="N48" i="8"/>
  <c r="H48" i="8"/>
  <c r="E50" i="8"/>
  <c r="N50" i="8"/>
  <c r="G49" i="8"/>
  <c r="L50" i="8"/>
  <c r="E49" i="8"/>
  <c r="N49" i="8"/>
  <c r="G48" i="8"/>
  <c r="K50" i="8"/>
  <c r="I50" i="8"/>
  <c r="L49" i="8"/>
  <c r="F48" i="8"/>
  <c r="D50" i="8"/>
  <c r="L48" i="8"/>
  <c r="F49" i="8"/>
  <c r="H50" i="8"/>
  <c r="J49" i="8"/>
  <c r="K48" i="8"/>
  <c r="M49" i="8"/>
  <c r="G50" i="8"/>
  <c r="O48" i="8"/>
  <c r="D49" i="8"/>
  <c r="F50" i="8"/>
  <c r="O50" i="8"/>
  <c r="H49" i="8"/>
  <c r="B338" i="24" a="1"/>
  <c r="B338" i="24" s="1"/>
  <c r="B240" i="24" a="1"/>
  <c r="B240" i="24" s="1"/>
  <c r="L50" i="7"/>
  <c r="D50" i="7"/>
  <c r="K49" i="7"/>
  <c r="J48" i="7"/>
  <c r="H49" i="7"/>
  <c r="G48" i="7"/>
  <c r="E50" i="7"/>
  <c r="D49" i="7"/>
  <c r="K50" i="7"/>
  <c r="J49" i="7"/>
  <c r="I48" i="7"/>
  <c r="N50" i="7"/>
  <c r="F50" i="7"/>
  <c r="M49" i="7"/>
  <c r="E49" i="7"/>
  <c r="L48" i="7"/>
  <c r="D48" i="7"/>
  <c r="L49" i="7"/>
  <c r="J50" i="7"/>
  <c r="I49" i="7"/>
  <c r="H48" i="7"/>
  <c r="I50" i="7"/>
  <c r="O48" i="7"/>
  <c r="M50" i="7"/>
  <c r="K48" i="7"/>
  <c r="H50" i="7"/>
  <c r="O49" i="7"/>
  <c r="G49" i="7"/>
  <c r="N48" i="7"/>
  <c r="F48" i="7"/>
  <c r="O50" i="7"/>
  <c r="G50" i="7"/>
  <c r="N49" i="7"/>
  <c r="F49" i="7"/>
  <c r="M48" i="7"/>
  <c r="E48" i="7"/>
  <c r="H51" i="7" l="1"/>
  <c r="K51" i="8"/>
  <c r="F50" i="11"/>
  <c r="I49" i="11"/>
  <c r="D48" i="11"/>
  <c r="K50" i="11"/>
  <c r="F49" i="11"/>
  <c r="E50" i="11"/>
  <c r="H49" i="11"/>
  <c r="K48" i="11"/>
  <c r="I48" i="11"/>
  <c r="J49" i="11"/>
  <c r="D50" i="11"/>
  <c r="G49" i="11"/>
  <c r="J48" i="11"/>
  <c r="J50" i="11"/>
  <c r="E49" i="11"/>
  <c r="H48" i="11"/>
  <c r="H50" i="11"/>
  <c r="K49" i="11"/>
  <c r="G50" i="11"/>
  <c r="E48" i="11"/>
  <c r="I50" i="11"/>
  <c r="D49" i="11"/>
  <c r="G48" i="11"/>
  <c r="F48" i="11"/>
  <c r="H50" i="10"/>
  <c r="K49" i="10"/>
  <c r="F48" i="10"/>
  <c r="E50" i="10"/>
  <c r="K48" i="10"/>
  <c r="G50" i="10"/>
  <c r="J49" i="10"/>
  <c r="E48" i="10"/>
  <c r="H49" i="10"/>
  <c r="F50" i="10"/>
  <c r="I49" i="10"/>
  <c r="D48" i="10"/>
  <c r="E49" i="10"/>
  <c r="D49" i="10"/>
  <c r="D50" i="10"/>
  <c r="G49" i="10"/>
  <c r="J48" i="10"/>
  <c r="J50" i="10"/>
  <c r="H48" i="10"/>
  <c r="I50" i="10"/>
  <c r="K50" i="10"/>
  <c r="F49" i="10"/>
  <c r="I48" i="10"/>
  <c r="G48" i="10"/>
  <c r="D51" i="9"/>
  <c r="C229" i="28" s="1"/>
  <c r="G51" i="9"/>
  <c r="F229" i="28" s="1"/>
  <c r="K51" i="9"/>
  <c r="J229" i="28" s="1"/>
  <c r="F51" i="9"/>
  <c r="E229" i="28" s="1"/>
  <c r="J51" i="9"/>
  <c r="I229" i="28" s="1"/>
  <c r="I51" i="9"/>
  <c r="H229" i="28" s="1"/>
  <c r="C49" i="9"/>
  <c r="E501" i="28" s="1"/>
  <c r="C50" i="9"/>
  <c r="C48" i="9"/>
  <c r="E502" i="28" s="1"/>
  <c r="E51" i="9"/>
  <c r="D229" i="28" s="1"/>
  <c r="H51" i="9"/>
  <c r="G229" i="28" s="1"/>
  <c r="H51" i="8"/>
  <c r="C49" i="8"/>
  <c r="D51" i="8"/>
  <c r="L51" i="8"/>
  <c r="E51" i="8"/>
  <c r="J51" i="8"/>
  <c r="O51" i="8"/>
  <c r="I51" i="8"/>
  <c r="F51" i="8"/>
  <c r="G51" i="8"/>
  <c r="N51" i="8"/>
  <c r="M51" i="8"/>
  <c r="C48" i="8"/>
  <c r="C421" i="24" s="1"/>
  <c r="C53" i="8"/>
  <c r="C423" i="24"/>
  <c r="F51" i="7"/>
  <c r="O51" i="7"/>
  <c r="L51" i="7"/>
  <c r="J51" i="7"/>
  <c r="K51" i="7"/>
  <c r="N51" i="7"/>
  <c r="G51" i="7"/>
  <c r="E51" i="7"/>
  <c r="M51" i="7"/>
  <c r="I51" i="7"/>
  <c r="C49" i="7"/>
  <c r="C48" i="7"/>
  <c r="C50" i="7"/>
  <c r="C53" i="7" s="1"/>
  <c r="D51" i="7"/>
  <c r="K50" i="6"/>
  <c r="J236" i="24" s="1"/>
  <c r="J49" i="6"/>
  <c r="I235" i="24" s="1"/>
  <c r="I48" i="6"/>
  <c r="H234" i="24" s="1"/>
  <c r="J50" i="6"/>
  <c r="I236" i="24" s="1"/>
  <c r="I50" i="6"/>
  <c r="H236" i="24" s="1"/>
  <c r="H49" i="6"/>
  <c r="G235" i="24" s="1"/>
  <c r="O48" i="6"/>
  <c r="N234" i="24" s="1"/>
  <c r="G48" i="6"/>
  <c r="F234" i="24" s="1"/>
  <c r="D50" i="6"/>
  <c r="C236" i="24" s="1"/>
  <c r="I49" i="6"/>
  <c r="H235" i="24" s="1"/>
  <c r="H48" i="6"/>
  <c r="G234" i="24" s="1"/>
  <c r="H50" i="6"/>
  <c r="G236" i="24" s="1"/>
  <c r="O49" i="6"/>
  <c r="N235" i="24" s="1"/>
  <c r="G49" i="6"/>
  <c r="F235" i="24" s="1"/>
  <c r="N48" i="6"/>
  <c r="M234" i="24" s="1"/>
  <c r="F48" i="6"/>
  <c r="E234" i="24" s="1"/>
  <c r="O50" i="6"/>
  <c r="N236" i="24" s="1"/>
  <c r="G50" i="6"/>
  <c r="F236" i="24" s="1"/>
  <c r="N49" i="6"/>
  <c r="M235" i="24" s="1"/>
  <c r="F49" i="6"/>
  <c r="E235" i="24" s="1"/>
  <c r="M48" i="6"/>
  <c r="L234" i="24" s="1"/>
  <c r="E48" i="6"/>
  <c r="D234" i="24" s="1"/>
  <c r="L50" i="6"/>
  <c r="K236" i="24" s="1"/>
  <c r="K49" i="6"/>
  <c r="J235" i="24" s="1"/>
  <c r="J48" i="6"/>
  <c r="I234" i="24" s="1"/>
  <c r="N50" i="6"/>
  <c r="M236" i="24" s="1"/>
  <c r="F50" i="6"/>
  <c r="E236" i="24" s="1"/>
  <c r="M49" i="6"/>
  <c r="L235" i="24" s="1"/>
  <c r="E49" i="6"/>
  <c r="D235" i="24" s="1"/>
  <c r="L48" i="6"/>
  <c r="K234" i="24" s="1"/>
  <c r="D48" i="6"/>
  <c r="C234" i="24" s="1"/>
  <c r="M50" i="6"/>
  <c r="L236" i="24" s="1"/>
  <c r="E50" i="6"/>
  <c r="D236" i="24" s="1"/>
  <c r="L49" i="6"/>
  <c r="K235" i="24" s="1"/>
  <c r="D49" i="6"/>
  <c r="C235" i="24" s="1"/>
  <c r="K48" i="6"/>
  <c r="J234" i="24" s="1"/>
  <c r="C53" i="9" l="1"/>
  <c r="E503" i="28" s="1"/>
  <c r="C206" i="28"/>
  <c r="B228" i="28"/>
  <c r="C205" i="28"/>
  <c r="B227" i="28"/>
  <c r="E205" i="28" a="1"/>
  <c r="E205" i="28" s="1"/>
  <c r="B226" i="28"/>
  <c r="E504" i="28"/>
  <c r="E204" i="28" a="1"/>
  <c r="E204" i="28" s="1"/>
  <c r="C204" i="28"/>
  <c r="E203" i="28" a="1"/>
  <c r="E203" i="28" s="1"/>
  <c r="C203" i="28"/>
  <c r="I51" i="10"/>
  <c r="E51" i="10"/>
  <c r="H51" i="11"/>
  <c r="G51" i="11"/>
  <c r="G51" i="10"/>
  <c r="K51" i="11"/>
  <c r="J51" i="11"/>
  <c r="E51" i="11"/>
  <c r="D51" i="11"/>
  <c r="F51" i="11"/>
  <c r="C48" i="11"/>
  <c r="G502" i="28" s="1"/>
  <c r="C50" i="11"/>
  <c r="C49" i="11"/>
  <c r="G501" i="28" s="1"/>
  <c r="I51" i="11"/>
  <c r="J51" i="10"/>
  <c r="K51" i="10"/>
  <c r="D51" i="10"/>
  <c r="C49" i="10"/>
  <c r="F501" i="28" s="1"/>
  <c r="C48" i="10"/>
  <c r="F502" i="28" s="1"/>
  <c r="C50" i="10"/>
  <c r="C53" i="10" s="1"/>
  <c r="F503" i="28" s="1"/>
  <c r="H51" i="10"/>
  <c r="F51" i="10"/>
  <c r="C51" i="9"/>
  <c r="B229" i="28" s="1"/>
  <c r="C52" i="9"/>
  <c r="C51" i="8"/>
  <c r="B441" i="24" s="1" a="1"/>
  <c r="B441" i="24" s="1"/>
  <c r="G512" i="24"/>
  <c r="C422" i="24"/>
  <c r="C52" i="8"/>
  <c r="G507" i="24" s="1"/>
  <c r="G510" i="24"/>
  <c r="G509" i="24"/>
  <c r="E422" i="24" a="1"/>
  <c r="E422" i="24" s="1"/>
  <c r="F422" i="24" s="1"/>
  <c r="E421" i="24" a="1"/>
  <c r="E421" i="24" s="1"/>
  <c r="F421" i="24" s="1"/>
  <c r="C420" i="24"/>
  <c r="E420" i="24" a="1"/>
  <c r="E420" i="24" s="1"/>
  <c r="F420" i="24" s="1"/>
  <c r="B446" i="24"/>
  <c r="G511" i="24"/>
  <c r="F511" i="24"/>
  <c r="B337" i="24"/>
  <c r="E310" i="24" a="1"/>
  <c r="E310" i="24" s="1"/>
  <c r="C310" i="24"/>
  <c r="F512" i="24"/>
  <c r="C313" i="24"/>
  <c r="F510" i="24"/>
  <c r="C312" i="24"/>
  <c r="E311" i="24" a="1"/>
  <c r="E311" i="24" s="1"/>
  <c r="C311" i="24"/>
  <c r="E312" i="24" a="1"/>
  <c r="E312" i="24" s="1"/>
  <c r="F509" i="24"/>
  <c r="L51" i="6"/>
  <c r="K237" i="24" s="1"/>
  <c r="N51" i="6"/>
  <c r="M237" i="24" s="1"/>
  <c r="I51" i="6"/>
  <c r="H237" i="24" s="1"/>
  <c r="H51" i="6"/>
  <c r="G237" i="24" s="1"/>
  <c r="J51" i="6"/>
  <c r="I237" i="24" s="1"/>
  <c r="O51" i="6"/>
  <c r="N237" i="24" s="1"/>
  <c r="D51" i="6"/>
  <c r="C237" i="24" s="1"/>
  <c r="F51" i="6"/>
  <c r="E237" i="24" s="1"/>
  <c r="G51" i="6"/>
  <c r="F237" i="24" s="1"/>
  <c r="C51" i="7"/>
  <c r="B332" i="24" s="1" a="1"/>
  <c r="B332" i="24" s="1"/>
  <c r="C52" i="7"/>
  <c r="E51" i="6"/>
  <c r="D237" i="24" s="1"/>
  <c r="K51" i="6"/>
  <c r="J237" i="24" s="1"/>
  <c r="M51" i="6"/>
  <c r="L237" i="24" s="1"/>
  <c r="C50" i="6"/>
  <c r="C49" i="6"/>
  <c r="C48" i="6"/>
  <c r="C53" i="11" l="1"/>
  <c r="G503" i="28" s="1"/>
  <c r="C415" i="28"/>
  <c r="C413" i="28"/>
  <c r="E412" i="28" a="1"/>
  <c r="E412" i="28" s="1"/>
  <c r="C412" i="28"/>
  <c r="G504" i="28"/>
  <c r="E413" i="28" a="1"/>
  <c r="E413" i="28" s="1"/>
  <c r="B329" i="28"/>
  <c r="F504" i="28"/>
  <c r="C304" i="28"/>
  <c r="E303" i="28" a="1"/>
  <c r="E303" i="28" s="1"/>
  <c r="C303" i="28"/>
  <c r="E302" i="28" a="1"/>
  <c r="E302" i="28" s="1"/>
  <c r="C302" i="28"/>
  <c r="C305" i="28"/>
  <c r="B231" i="28"/>
  <c r="E304" i="28" a="1"/>
  <c r="E304" i="28" s="1"/>
  <c r="E499" i="28"/>
  <c r="B230" i="28"/>
  <c r="D203" i="28"/>
  <c r="F203" i="28"/>
  <c r="D205" i="28"/>
  <c r="F205" i="28"/>
  <c r="E414" i="28" a="1"/>
  <c r="E414" i="28" s="1"/>
  <c r="C414" i="28"/>
  <c r="D204" i="28"/>
  <c r="F204" i="28"/>
  <c r="C52" i="11"/>
  <c r="C51" i="11"/>
  <c r="B433" i="28" s="1" a="1"/>
  <c r="B433" i="28" s="1"/>
  <c r="C51" i="10"/>
  <c r="B324" i="28" s="1" a="1"/>
  <c r="B324" i="28" s="1"/>
  <c r="C52" i="10"/>
  <c r="D421" i="24"/>
  <c r="B445" i="24"/>
  <c r="D422" i="24"/>
  <c r="D420" i="24"/>
  <c r="F311" i="24"/>
  <c r="D311" i="24"/>
  <c r="B336" i="24"/>
  <c r="F507" i="24"/>
  <c r="F310" i="24"/>
  <c r="D310" i="24"/>
  <c r="D312" i="24"/>
  <c r="F312" i="24"/>
  <c r="C53" i="6"/>
  <c r="C214" i="24"/>
  <c r="B236" i="24"/>
  <c r="C211" i="24"/>
  <c r="E512" i="24"/>
  <c r="E211" i="24" a="1"/>
  <c r="E211" i="24" s="1"/>
  <c r="E212" i="24" a="1"/>
  <c r="E212" i="24" s="1"/>
  <c r="C212" i="24"/>
  <c r="B234" i="24"/>
  <c r="E510" i="24"/>
  <c r="E509" i="24"/>
  <c r="E213" i="24" a="1"/>
  <c r="E213" i="24" s="1"/>
  <c r="B235" i="24"/>
  <c r="C213" i="24"/>
  <c r="C51" i="6"/>
  <c r="B237" i="24" s="1"/>
  <c r="C52" i="6"/>
  <c r="F413" i="28" l="1"/>
  <c r="D413" i="28"/>
  <c r="D304" i="28"/>
  <c r="F304" i="28"/>
  <c r="F499" i="28"/>
  <c r="B328" i="28"/>
  <c r="D414" i="28"/>
  <c r="F414" i="28"/>
  <c r="G499" i="28"/>
  <c r="B437" i="28"/>
  <c r="F412" i="28"/>
  <c r="D412" i="28"/>
  <c r="D302" i="28"/>
  <c r="F302" i="28"/>
  <c r="B438" i="28"/>
  <c r="F303" i="28"/>
  <c r="D303" i="28"/>
  <c r="D212" i="24"/>
  <c r="F212" i="24"/>
  <c r="F211" i="24"/>
  <c r="D211" i="24"/>
  <c r="D213" i="24"/>
  <c r="F213" i="24"/>
  <c r="E507" i="24"/>
  <c r="B238" i="24"/>
  <c r="B239" i="24"/>
  <c r="E511" i="24"/>
  <c r="A56" i="4" l="1"/>
  <c r="C108" i="24" s="1"/>
  <c r="A55" i="4"/>
  <c r="C107" i="24" s="1"/>
  <c r="A54" i="4"/>
  <c r="C106" i="24" s="1"/>
  <c r="A53" i="4"/>
  <c r="C105" i="24" s="1"/>
  <c r="A52" i="4"/>
  <c r="C104" i="24" s="1"/>
  <c r="A51" i="4"/>
  <c r="C103" i="24" s="1"/>
  <c r="A50" i="4"/>
  <c r="C102" i="24" s="1"/>
  <c r="A49" i="4"/>
  <c r="C101" i="24" s="1"/>
  <c r="A48" i="4"/>
  <c r="C100" i="24" s="1"/>
  <c r="A47" i="4"/>
  <c r="C99" i="24" s="1"/>
  <c r="A46" i="4"/>
  <c r="C98" i="24" s="1"/>
  <c r="A45" i="4"/>
  <c r="C97" i="24" s="1"/>
  <c r="A44" i="4"/>
  <c r="C96" i="24" s="1"/>
  <c r="F34" i="19" l="1"/>
  <c r="G34" i="19" s="1"/>
  <c r="F31" i="19"/>
  <c r="G31" i="19" s="1"/>
  <c r="F28" i="19"/>
  <c r="G28" i="19" s="1"/>
  <c r="A24" i="19"/>
  <c r="K36" i="19"/>
  <c r="K37" i="19" s="1"/>
  <c r="B34" i="19"/>
  <c r="B31" i="19"/>
  <c r="B15" i="19"/>
  <c r="I11" i="19" s="1"/>
  <c r="B14" i="19"/>
  <c r="H11" i="19" s="1"/>
  <c r="B13" i="19"/>
  <c r="C13" i="19" s="1" a="1"/>
  <c r="C13" i="19" s="1"/>
  <c r="C22" i="19" s="1"/>
  <c r="G122" i="20"/>
  <c r="G121" i="20"/>
  <c r="G120" i="20"/>
  <c r="G119" i="20"/>
  <c r="E306" i="20"/>
  <c r="E304" i="20"/>
  <c r="C234" i="20" a="1"/>
  <c r="C234" i="20" s="1"/>
  <c r="H202" i="20" a="1"/>
  <c r="H202" i="20" s="1"/>
  <c r="G202" i="20" a="1"/>
  <c r="G202" i="20" s="1"/>
  <c r="A200" i="20" a="1"/>
  <c r="A200" i="20" s="1"/>
  <c r="A167" i="20" a="1"/>
  <c r="A167" i="20" s="1"/>
  <c r="D96" i="20" a="1"/>
  <c r="D96" i="20" s="1"/>
  <c r="G18" i="20"/>
  <c r="D19" i="20"/>
  <c r="D18" i="20"/>
  <c r="G16" i="20"/>
  <c r="G15" i="20"/>
  <c r="D16" i="20"/>
  <c r="D15" i="20"/>
  <c r="G13" i="20"/>
  <c r="G12" i="20"/>
  <c r="D13" i="20"/>
  <c r="D12" i="20"/>
  <c r="E10" i="20"/>
  <c r="E303" i="20"/>
  <c r="B10" i="5" a="1"/>
  <c r="B10" i="5" s="1"/>
  <c r="O17" i="5"/>
  <c r="O16" i="5"/>
  <c r="O15" i="5"/>
  <c r="R17" i="5"/>
  <c r="R16" i="5"/>
  <c r="C209" i="20" l="1"/>
  <c r="C210" i="20"/>
  <c r="H10" i="19"/>
  <c r="C15" i="19" a="1"/>
  <c r="C15" i="19" s="1"/>
  <c r="C20" i="19" s="1"/>
  <c r="I15" i="19"/>
  <c r="C14" i="19" a="1"/>
  <c r="C14" i="19" s="1"/>
  <c r="C21" i="19" s="1"/>
  <c r="G13" i="19"/>
  <c r="C31" i="19"/>
  <c r="G10" i="19"/>
  <c r="H14" i="19"/>
  <c r="C34" i="19"/>
  <c r="I10" i="19"/>
  <c r="G11" i="19"/>
  <c r="C28" i="19"/>
  <c r="C14" i="5" a="1"/>
  <c r="C14" i="5" s="1"/>
  <c r="I202" i="20"/>
  <c r="D31" i="19"/>
  <c r="D34" i="19"/>
  <c r="D28" i="19"/>
  <c r="E31" i="19" l="1"/>
  <c r="I31" i="19" s="1"/>
  <c r="E34" i="19"/>
  <c r="I34" i="19" s="1"/>
  <c r="E28" i="19"/>
  <c r="I28" i="19" s="1"/>
  <c r="H31" i="19" l="1"/>
  <c r="H28" i="19"/>
  <c r="H34" i="19"/>
  <c r="C11" i="5" a="1"/>
  <c r="C11" i="5" s="1"/>
  <c r="B11" i="5" a="1"/>
  <c r="B11" i="5" s="1"/>
  <c r="A28" i="19" s="1"/>
  <c r="A1" i="5"/>
  <c r="A34" i="19" l="1"/>
  <c r="A31" i="19"/>
  <c r="I6" i="5"/>
  <c r="M5" i="5"/>
  <c r="E5" i="5"/>
  <c r="H6" i="5"/>
  <c r="L5" i="5"/>
  <c r="D5" i="5"/>
  <c r="G6" i="5"/>
  <c r="K5" i="5"/>
  <c r="N5" i="5"/>
  <c r="N6" i="5"/>
  <c r="F6" i="5"/>
  <c r="J5" i="5"/>
  <c r="M6" i="5"/>
  <c r="E6" i="5"/>
  <c r="I5" i="5"/>
  <c r="D6" i="5"/>
  <c r="H5" i="5"/>
  <c r="K6" i="5"/>
  <c r="G5" i="5"/>
  <c r="J6" i="5"/>
  <c r="F5" i="5"/>
  <c r="L6" i="5"/>
  <c r="L15" i="5" l="1" a="1"/>
  <c r="L15" i="5" s="1"/>
  <c r="N17" i="5"/>
  <c r="F245" i="20" s="1" a="1"/>
  <c r="F245" i="20" s="1"/>
  <c r="D18" i="5"/>
  <c r="H235" i="20" s="1" a="1"/>
  <c r="H235" i="20" s="1"/>
  <c r="D16" i="5"/>
  <c r="G235" i="20" s="1" a="1"/>
  <c r="G235" i="20" s="1"/>
  <c r="D15" i="5" a="1"/>
  <c r="D15" i="5" s="1"/>
  <c r="D17" i="5"/>
  <c r="F235" i="20" s="1" a="1"/>
  <c r="F235" i="20" s="1"/>
  <c r="D22" i="5"/>
  <c r="H17" i="5"/>
  <c r="F239" i="20" s="1" a="1"/>
  <c r="F239" i="20" s="1"/>
  <c r="H16" i="5"/>
  <c r="G239" i="20" s="1" a="1"/>
  <c r="G239" i="20" s="1"/>
  <c r="H15" i="5" a="1"/>
  <c r="H15" i="5" s="1"/>
  <c r="H22" i="5"/>
  <c r="H18" i="5"/>
  <c r="H239" i="20" s="1" a="1"/>
  <c r="H239" i="20" s="1"/>
  <c r="I17" i="5"/>
  <c r="F240" i="20" s="1" a="1"/>
  <c r="F240" i="20" s="1"/>
  <c r="I18" i="5"/>
  <c r="H240" i="20" s="1" a="1"/>
  <c r="H240" i="20" s="1"/>
  <c r="I15" i="5" a="1"/>
  <c r="I15" i="5" s="1"/>
  <c r="I22" i="5"/>
  <c r="I16" i="5"/>
  <c r="G240" i="20" s="1" a="1"/>
  <c r="G240" i="20" s="1"/>
  <c r="F15" i="5" a="1"/>
  <c r="F15" i="5" s="1"/>
  <c r="F17" i="5"/>
  <c r="F237" i="20" s="1" a="1"/>
  <c r="F237" i="20" s="1"/>
  <c r="F16" i="5"/>
  <c r="G237" i="20" s="1" a="1"/>
  <c r="G237" i="20" s="1"/>
  <c r="F18" i="5"/>
  <c r="H237" i="20" s="1" a="1"/>
  <c r="H237" i="20" s="1"/>
  <c r="F22" i="5"/>
  <c r="N16" i="5"/>
  <c r="N18" i="5"/>
  <c r="H245" i="20" s="1" a="1"/>
  <c r="H245" i="20" s="1"/>
  <c r="N15" i="5" a="1"/>
  <c r="N15" i="5" s="1"/>
  <c r="N22" i="5"/>
  <c r="K22" i="5"/>
  <c r="K15" i="5" a="1"/>
  <c r="K15" i="5" s="1"/>
  <c r="K17" i="5"/>
  <c r="F242" i="20" s="1" a="1"/>
  <c r="F242" i="20" s="1"/>
  <c r="K16" i="5"/>
  <c r="G242" i="20" s="1" a="1"/>
  <c r="G242" i="20" s="1"/>
  <c r="K18" i="5"/>
  <c r="H242" i="20" s="1" a="1"/>
  <c r="H242" i="20" s="1"/>
  <c r="L18" i="5"/>
  <c r="H243" i="20" s="1" a="1"/>
  <c r="H243" i="20" s="1"/>
  <c r="L22" i="5"/>
  <c r="L17" i="5"/>
  <c r="F243" i="20" s="1" a="1"/>
  <c r="F243" i="20" s="1"/>
  <c r="L16" i="5"/>
  <c r="G243" i="20" s="1" a="1"/>
  <c r="G243" i="20" s="1"/>
  <c r="J22" i="5"/>
  <c r="J17" i="5"/>
  <c r="F241" i="20" s="1" a="1"/>
  <c r="F241" i="20" s="1"/>
  <c r="J15" i="5" a="1"/>
  <c r="J15" i="5" s="1"/>
  <c r="J16" i="5"/>
  <c r="G241" i="20" s="1" a="1"/>
  <c r="G241" i="20" s="1"/>
  <c r="J18" i="5"/>
  <c r="H241" i="20" s="1" a="1"/>
  <c r="H241" i="20" s="1"/>
  <c r="G15" i="5" a="1"/>
  <c r="G15" i="5" s="1"/>
  <c r="G16" i="5"/>
  <c r="G238" i="20" s="1" a="1"/>
  <c r="G238" i="20" s="1"/>
  <c r="G22" i="5"/>
  <c r="G17" i="5"/>
  <c r="F238" i="20" s="1" a="1"/>
  <c r="F238" i="20" s="1"/>
  <c r="G18" i="5"/>
  <c r="H238" i="20" s="1" a="1"/>
  <c r="H238" i="20" s="1"/>
  <c r="E18" i="5"/>
  <c r="H236" i="20" s="1" a="1"/>
  <c r="H236" i="20" s="1"/>
  <c r="E15" i="5" a="1"/>
  <c r="E15" i="5" s="1"/>
  <c r="E16" i="5"/>
  <c r="G236" i="20" s="1" a="1"/>
  <c r="G236" i="20" s="1"/>
  <c r="E22" i="5"/>
  <c r="E17" i="5"/>
  <c r="F236" i="20" s="1" a="1"/>
  <c r="F236" i="20" s="1"/>
  <c r="M15" i="5" a="1"/>
  <c r="M15" i="5" s="1"/>
  <c r="M16" i="5"/>
  <c r="G244" i="20" s="1" a="1"/>
  <c r="G244" i="20" s="1"/>
  <c r="M22" i="5"/>
  <c r="M18" i="5"/>
  <c r="H244" i="20" s="1" a="1"/>
  <c r="H244" i="20" s="1"/>
  <c r="M17" i="5"/>
  <c r="F244" i="20" s="1" a="1"/>
  <c r="F244" i="20" s="1"/>
  <c r="C5" i="5"/>
  <c r="C6" i="5"/>
  <c r="N19" i="5" l="1"/>
  <c r="I245" i="20" s="1" a="1"/>
  <c r="I245" i="20" s="1"/>
  <c r="G245" i="20" a="1"/>
  <c r="G245" i="20" s="1"/>
  <c r="F19" i="5"/>
  <c r="I237" i="20" s="1" a="1"/>
  <c r="I237" i="20" s="1"/>
  <c r="D19" i="5"/>
  <c r="I235" i="20" s="1" a="1"/>
  <c r="I235" i="20" s="1"/>
  <c r="M19" i="5"/>
  <c r="I244" i="20" s="1" a="1"/>
  <c r="I244" i="20" s="1"/>
  <c r="I19" i="5"/>
  <c r="I240" i="20" s="1" a="1"/>
  <c r="I240" i="20" s="1"/>
  <c r="H19" i="5"/>
  <c r="I239" i="20" s="1" a="1"/>
  <c r="I239" i="20" s="1"/>
  <c r="E19" i="5"/>
  <c r="I236" i="20" s="1" a="1"/>
  <c r="I236" i="20" s="1"/>
  <c r="J19" i="5"/>
  <c r="I241" i="20" s="1" a="1"/>
  <c r="I241" i="20" s="1"/>
  <c r="G19" i="5"/>
  <c r="I238" i="20" s="1" a="1"/>
  <c r="I238" i="20" s="1"/>
  <c r="C22" i="5"/>
  <c r="C15" i="5" a="1"/>
  <c r="C15" i="5" s="1"/>
  <c r="C18" i="5"/>
  <c r="C16" i="5"/>
  <c r="C17" i="5"/>
  <c r="K19" i="5"/>
  <c r="I242" i="20" s="1" a="1"/>
  <c r="I242" i="20" s="1"/>
  <c r="L19" i="5"/>
  <c r="I243" i="20" s="1" a="1"/>
  <c r="I243" i="20" s="1"/>
  <c r="E307" i="32" l="1"/>
  <c r="F297" i="20"/>
  <c r="E307" i="20" s="1"/>
  <c r="C21" i="5"/>
  <c r="H234" i="20" a="1"/>
  <c r="H234" i="20" s="1"/>
  <c r="C212" i="20"/>
  <c r="E212" i="20" s="1" a="1"/>
  <c r="E212" i="20" s="1"/>
  <c r="F212" i="20" s="1"/>
  <c r="G234" i="20" a="1"/>
  <c r="G234" i="20" s="1"/>
  <c r="C213" i="20"/>
  <c r="E213" i="20" s="1" a="1"/>
  <c r="E213" i="20" s="1"/>
  <c r="F213" i="20" s="1"/>
  <c r="F234" i="20" a="1"/>
  <c r="F234" i="20" s="1"/>
  <c r="C211" i="20"/>
  <c r="E211" i="20" s="1" a="1"/>
  <c r="E211" i="20" s="1"/>
  <c r="C20" i="5"/>
  <c r="C19" i="5"/>
  <c r="E305" i="20" l="1"/>
  <c r="I234" i="20" a="1"/>
  <c r="I234" i="20" s="1"/>
  <c r="C214" i="20"/>
  <c r="D212" i="20"/>
  <c r="D213" i="20"/>
  <c r="D211" i="20"/>
  <c r="F211" i="20"/>
  <c r="A53" i="2" l="1"/>
  <c r="A52" i="2"/>
  <c r="A51" i="2"/>
  <c r="A50" i="2"/>
  <c r="A49" i="2"/>
  <c r="A48" i="2"/>
  <c r="A47" i="2"/>
  <c r="A46" i="2"/>
  <c r="A45" i="2"/>
  <c r="A44" i="2"/>
  <c r="A43" i="2"/>
  <c r="A42" i="2"/>
  <c r="C96" i="20" l="1" a="1"/>
  <c r="C96" i="2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<sst xmlns="http://schemas.openxmlformats.org/spreadsheetml/2006/main" count="1410" uniqueCount="314">
  <si>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</si>
  <si>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</si>
  <si>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</si>
  <si>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</si>
  <si>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</si>
  <si>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</si>
  <si>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</si>
  <si>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</si>
  <si>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</si>
  <si>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</si>
  <si>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</si>
  <si>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</si>
  <si>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</si>
  <si>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</si>
  <si>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Annuelle</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</si>
  <si>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</si>
  <si>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</si>
  <si>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</si>
  <si>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</si>
  <si>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</si>
  <si>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</si>
  <si>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</si>
  <si>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</si>
  <si>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</si>
  <si>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</si>
  <si>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</si>
  <si>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</si>
  <si>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</si>
  <si>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</si>
  <si>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</si>
  <si>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</si>
  <si>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</si>
  <si>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</si>
  <si>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</si>
  <si>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</si>
  <si>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</si>
  <si>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</si>
  <si>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</si>
  <si>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</si>
  <si>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</si>
  <si>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</si>
  <si>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</si>
  <si>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</si>
  <si>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</si>
  <si>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</si>
  <si>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</si>
  <si>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</si>
  <si>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</si>
  <si>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</si>
  <si>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</si>
  <si>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</si>
  <si>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Décalage Enregistreur
60°C</t>
  </si>
  <si>
    <t>Décalage Enregistreur
150°C</t>
  </si>
  <si>
    <t>Décalage Enregistreur
190°C</t>
  </si>
  <si>
    <t>Décalage TC
60°C</t>
  </si>
  <si>
    <t>Décalage TC
150°C</t>
  </si>
  <si>
    <t>Décalage TC
190°C</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</si>
  <si>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</si>
  <si>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</si>
  <si>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</si>
  <si>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</si>
  <si>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</si>
  <si>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</si>
  <si>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</si>
  <si>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</si>
  <si>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</si>
  <si>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</si>
  <si>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</si>
  <si>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</si>
  <si>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</si>
  <si>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</si>
  <si>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</si>
  <si>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</si>
  <si>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</si>
  <si>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</si>
  <si>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</si>
  <si>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</si>
  <si>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</si>
  <si>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</si>
  <si>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</si>
  <si>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</si>
  <si>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</si>
  <si>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</si>
  <si>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</si>
  <si>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</si>
  <si>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</si>
  <si>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</si>
  <si>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</si>
  <si>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</si>
  <si>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</si>
  <si>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</si>
  <si>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</si>
  <si>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</si>
  <si>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</si>
  <si>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</si>
  <si>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</si>
  <si>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</si>
  <si>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</si>
  <si>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</si>
  <si>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</si>
  <si>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</si>
  <si>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</si>
  <si>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</si>
  <si>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</si>
  <si>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</si>
  <si>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</si>
  <si>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</si>
  <si>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</si>
  <si>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</si>
  <si>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</si>
  <si>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</si>
  <si>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</si>
  <si>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</si>
  <si>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</si>
  <si>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</si>
  <si>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</si>
  <si>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</si>
  <si>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</si>
  <si>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</si>
  <si>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</si>
  <si>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</si>
  <si>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</si>
  <si>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</si>
  <si>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</si>
  <si>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</si>
  <si>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</si>
  <si>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</si>
  <si>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</si>
  <si>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</si>
  <si>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</si>
  <si>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</si>
  <si>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</si>
  <si>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</si>
  <si>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</si>
  <si>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</si>
  <si>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</si>
  <si>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</si>
  <si>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</si>
  <si>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</si>
  <si>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</si>
  <si>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</si>
  <si>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</si>
  <si>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</si>
  <si>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</si>
  <si>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</si>
  <si>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</si>
  <si>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</si>
  <si>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</si>
  <si>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</si>
  <si>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</si>
  <si>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</si>
  <si>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</si>
  <si>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</si>
  <si>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</si>
  <si>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</si>
  <si>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</si>
  <si>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</si>
  <si>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</si>
  <si>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</si>
  <si>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</si>
  <si>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</si>
  <si>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</si>
  <si>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</si>
  <si>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</si>
  <si>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</si>
  <si>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</si>
  <si>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</si>
  <si>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</si>
  <si>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</si>
  <si>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</si>
  <si>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</si>
  <si>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</si>
  <si>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</si>
  <si>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</si>
  <si>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</si>
  <si>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</si>
  <si>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</si>
  <si>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</si>
  <si>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</si>
  <si>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</si>
  <si>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</si>
  <si>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</si>
  <si>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</si>
  <si>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</si>
  <si>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</si>
  <si>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</si>
  <si>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</si>
  <si>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</si>
  <si>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</si>
  <si>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</si>
  <si>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</si>
  <si>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</si>
  <si>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</si>
  <si>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</si>
  <si>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</si>
  <si>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</si>
  <si>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</si>
  <si>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</si>
  <si>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</si>
  <si>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</si>
  <si>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</si>
  <si>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</si>
  <si>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</si>
  <si>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</si>
  <si>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</si>
  <si>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</si>
  <si>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</si>
  <si>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</si>
  <si>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</si>
  <si>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</si>
  <si>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</si>
  <si>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</si>
  <si>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</si>
  <si>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</si>
  <si>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</si>
  <si>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</si>
  <si>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</si>
  <si>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</si>
  <si>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</si>
  <si>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</si>
  <si>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</si>
  <si>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</si>
  <si>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</si>
  <si>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3 – Courbe</t>
  </si>
  <si>
    <t>9. Conclusions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</si>
  <si>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</si>
  <si>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Température nominale de traitement désiré</t>
  </si>
  <si>
    <t>Température de Consigne</t>
  </si>
  <si>
    <t>Homogénéité en régime d'équilibre</t>
  </si>
  <si>
    <t>Tolérance requise</t>
  </si>
  <si>
    <t>Conformité avec la tolérance requise</t>
  </si>
  <si>
    <t>Classe de l'installation</t>
  </si>
  <si>
    <t>Trimestrielle</t>
  </si>
  <si>
    <t>Mensuelle</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</si>
  <si>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</si>
  <si>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</si>
  <si>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</si>
  <si>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</si>
  <si>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</si>
  <si>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</si>
  <si>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</si>
  <si>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</si>
  <si>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</si>
  <si>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</si>
  <si>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</si>
  <si>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</si>
  <si>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</si>
  <si>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</si>
  <si>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</si>
  <si>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</si>
  <si>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r>
      <t xml:space="preserve">6. Résultats et exploitation des résultats à </t>
    </r>
    <r>
      <rPr>
        <b/>
        <sz val="28"/>
        <color rgb="FF000000"/>
        <rFont val="Calibri"/>
        <family val="2"/>
        <scheme val="minor"/>
      </rPr>
      <t>60°C</t>
    </r>
  </si>
  <si>
    <t>Consigne</t>
  </si>
  <si>
    <t>Tolérance</t>
  </si>
  <si>
    <r>
      <t xml:space="preserve">7. Résultats et exploitation des résultats à </t>
    </r>
    <r>
      <rPr>
        <b/>
        <sz val="28"/>
        <color rgb="FF000000"/>
        <rFont val="Calibri"/>
        <family val="2"/>
        <scheme val="minor"/>
      </rPr>
      <t>60°C</t>
    </r>
  </si>
  <si>
    <r>
      <t xml:space="preserve">8. Résultats et exploitation des résultats à </t>
    </r>
    <r>
      <rPr>
        <b/>
        <sz val="28"/>
        <color rgb="FF000000"/>
        <rFont val="Calibri"/>
        <family val="2"/>
        <scheme val="minor"/>
      </rPr>
      <t>60°C</t>
    </r>
  </si>
  <si>
    <r>
      <t>7. Résultats et exploitation des résultats à 15</t>
    </r>
    <r>
      <rPr>
        <b/>
        <sz val="28"/>
        <color rgb="FF000000"/>
        <rFont val="Calibri"/>
        <family val="2"/>
        <scheme val="minor"/>
      </rPr>
      <t>0°C</t>
    </r>
  </si>
  <si>
    <r>
      <t>8. Résultats et exploitation des résultats à 15</t>
    </r>
    <r>
      <rPr>
        <b/>
        <sz val="28"/>
        <color rgb="FF000000"/>
        <rFont val="Calibri"/>
        <family val="2"/>
        <scheme val="minor"/>
      </rPr>
      <t>0°C</t>
    </r>
  </si>
  <si>
    <t>60°C</t>
  </si>
  <si>
    <t>150°C</t>
  </si>
  <si>
    <t>190°C</t>
  </si>
  <si>
    <t>Conformité avec la tolérance basse requise</t>
  </si>
  <si>
    <t>Conformité avec la tolérance haute requise</t>
  </si>
  <si>
    <t>Conformité avec la tolérance requise sur la moyenne</t>
  </si>
  <si>
    <t>Tus du Congélateur</t>
  </si>
  <si>
    <t>Tus de l'étuve OMIA</t>
  </si>
  <si>
    <t>Tus de l'étuve DOVER</t>
  </si>
  <si>
    <t/>
  </si>
  <si>
    <t>Veuillez choisir une TUS</t>
  </si>
  <si>
    <t>Décalage Enregistreur
50°C</t>
  </si>
  <si>
    <t>Décalage Enregistreur
100°C</t>
  </si>
  <si>
    <t>Décalage TC
50°C</t>
  </si>
  <si>
    <t>Décalage TC
100°C</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</si>
  <si>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</si>
  <si>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</si>
  <si>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</si>
  <si>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</si>
  <si>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</si>
  <si>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</si>
  <si>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</si>
  <si>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</si>
  <si>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</si>
  <si>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</si>
  <si>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</si>
  <si>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</si>
  <si>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</si>
  <si>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</si>
  <si>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</si>
  <si>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</si>
  <si>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</si>
  <si>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</si>
  <si>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</si>
  <si>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</si>
  <si>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</si>
  <si>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</si>
  <si>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</si>
  <si>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</si>
  <si>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</si>
  <si>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</si>
  <si>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</si>
  <si>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</si>
  <si>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</si>
  <si>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</si>
  <si>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</si>
  <si>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</si>
  <si>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r>
      <t>6. Résultats et exploitation des résultats à 5</t>
    </r>
    <r>
      <rPr>
        <b/>
        <sz val="28"/>
        <color rgb="FF000000"/>
        <rFont val="Calibri"/>
        <family val="2"/>
        <scheme val="minor"/>
      </rPr>
      <t>0°C</t>
    </r>
  </si>
  <si>
    <t>7. Résultats et exploitation des résultats à 50°C</t>
  </si>
  <si>
    <t>8. Résultats et exploitation des résultats à 50°C</t>
  </si>
  <si>
    <t>7. Résultats et exploitation des résultats à 100°C</t>
  </si>
  <si>
    <t>8. Résultats et exploitation des résultats à 100°C</t>
  </si>
  <si>
    <t>50°C</t>
  </si>
  <si>
    <t>100°C</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</si>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</sst>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
  </numFmts>
  <fonts count="44"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28"/>
      <color rgb="FF000000"/>
      <name val="Calibri"/>
      <family val="2"/>
      <scheme val="minor"/>
    </font>
    <font>
      <b/>
      <sz val="18"/>
      <color rgb="FF000000"/>
      <name val="Calibri"/>
      <family val="2"/>
      <scheme val="minor"/>
    </font>
    <font>
      <b/>
      <sz val="18"/>
      <color rgb="FF70AD47"/>
      <name val="Calibri"/>
      <family val="2"/>
      <scheme val="minor"/>
    </font>
    <font>
      <sz val="11"/>
      <color rgb="FF000000"/>
      <name val="Calibri"/>
      <family val="2"/>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s>
  <fills count="16">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251">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7" borderId="28" xfId="0" applyFont="1" applyFill="1" applyBorder="1" applyAlignment="1">
      <alignment horizontal="center" vertical="center"/>
    </xf>
    <xf numFmtId="0" fontId="9" fillId="0" borderId="32" xfId="0" applyFont="1" applyBorder="1" applyAlignment="1">
      <alignment horizontal="center" vertical="center" wrapText="1"/>
    </xf>
    <xf numFmtId="0" fontId="13" fillId="0" borderId="0" xfId="0" applyFont="1" applyAlignment="1">
      <alignment horizontal="center" vertical="center" wrapText="1"/>
    </xf>
    <xf numFmtId="0" fontId="9" fillId="0" borderId="33"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4" xfId="0" applyNumberFormat="1" applyFont="1" applyBorder="1" applyAlignment="1">
      <alignment horizontal="center" vertical="center"/>
    </xf>
    <xf numFmtId="0" fontId="9" fillId="0" borderId="35" xfId="0" applyFont="1" applyBorder="1" applyAlignment="1">
      <alignment horizontal="center" vertical="center"/>
    </xf>
    <xf numFmtId="2" fontId="9" fillId="0" borderId="35" xfId="0" quotePrefix="1" applyNumberFormat="1" applyFont="1" applyBorder="1" applyAlignment="1">
      <alignment horizontal="center" vertical="center"/>
    </xf>
    <xf numFmtId="165" fontId="9" fillId="0" borderId="36" xfId="0" applyNumberFormat="1" applyFont="1" applyBorder="1" applyAlignment="1">
      <alignment horizontal="center" vertical="center"/>
    </xf>
    <xf numFmtId="165" fontId="9" fillId="0" borderId="35" xfId="0" applyNumberFormat="1" applyFont="1" applyBorder="1" applyAlignment="1">
      <alignment horizontal="center" vertical="center"/>
    </xf>
    <xf numFmtId="0" fontId="15" fillId="0" borderId="35" xfId="1" applyFont="1" applyFill="1" applyBorder="1" applyAlignment="1">
      <alignment horizontal="center" vertical="center"/>
    </xf>
    <xf numFmtId="2" fontId="9" fillId="0" borderId="35" xfId="0" applyNumberFormat="1" applyFont="1" applyBorder="1" applyAlignment="1">
      <alignment horizontal="center" vertical="center"/>
    </xf>
    <xf numFmtId="0" fontId="16" fillId="9" borderId="37"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8" xfId="2" applyFont="1" applyBorder="1" applyAlignment="1">
      <alignment horizontal="right" vertical="center"/>
    </xf>
    <xf numFmtId="14" fontId="16" fillId="9" borderId="39"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6" fillId="0" borderId="0" xfId="0" applyFont="1" applyAlignment="1">
      <alignment horizontal="left" vertical="center" readingOrder="1"/>
    </xf>
    <xf numFmtId="0" fontId="36"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1" fillId="14" borderId="0" xfId="0" applyFont="1" applyFill="1"/>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1" fontId="0" fillId="15" borderId="1" xfId="0" applyNumberFormat="1" applyFill="1" applyBorder="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41" fillId="0" borderId="0" xfId="0" applyFont="1" applyAlignment="1">
      <alignment horizontal="left" vertical="center" readingOrder="1"/>
    </xf>
    <xf numFmtId="0" fontId="41" fillId="0" borderId="0" xfId="0" applyFont="1" applyAlignment="1">
      <alignment horizontal="left" vertical="center" wrapText="1" readingOrder="1"/>
    </xf>
    <xf numFmtId="0" fontId="20" fillId="0" borderId="0" xfId="0" applyFont="1" applyAlignment="1">
      <alignment vertical="top" wrapText="1" readingOrder="1"/>
    </xf>
    <xf numFmtId="0" fontId="42" fillId="0" borderId="0" xfId="0" applyFont="1" applyAlignment="1">
      <alignment vertical="top" wrapText="1" readingOrder="1"/>
    </xf>
    <xf numFmtId="14" fontId="20" fillId="0" borderId="0" xfId="0" applyNumberFormat="1" applyFont="1" applyAlignment="1">
      <alignment horizontal="left" vertical="top" wrapText="1" readingOrder="1"/>
    </xf>
    <xf numFmtId="0" fontId="43"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9" fillId="0" borderId="0" xfId="0" applyFont="1" applyAlignment="1">
      <alignment vertical="center"/>
    </xf>
    <xf numFmtId="0" fontId="0" fillId="0" borderId="40" xfId="0" applyBorder="1" applyAlignment="1">
      <alignment horizontal="center"/>
    </xf>
    <xf numFmtId="0" fontId="0" fillId="0" borderId="40" xfId="0" applyBorder="1" applyAlignment="1">
      <alignment horizontal="center" vertic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7" borderId="1" xfId="0" applyFill="1" applyBorder="1" applyAlignment="1">
      <alignment horizontal="center" vertical="center"/>
    </xf>
    <xf numFmtId="0" fontId="5" fillId="0" borderId="0" xfId="0" applyFont="1" applyAlignment="1">
      <alignment horizontal="center" vertical="center"/>
    </xf>
    <xf numFmtId="0" fontId="0" fillId="2" borderId="1"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22" fontId="8" fillId="0" borderId="0" xfId="0" applyNumberFormat="1" applyFont="1" applyAlignment="1">
      <alignment horizontal="center" vertical="center"/>
    </xf>
    <xf numFmtId="0" fontId="0" fillId="0" borderId="0" xfId="0" applyAlignment="1">
      <alignment horizontal="center"/>
    </xf>
    <xf numFmtId="14" fontId="0" fillId="0" borderId="0" xfId="0" applyNumberFormat="1" applyAlignment="1">
      <alignment horizontal="center"/>
    </xf>
    <xf numFmtId="2" fontId="0" fillId="0" borderId="1" xfId="0" applyNumberFormat="1" applyBorder="1" applyAlignment="1">
      <alignment horizontal="center"/>
    </xf>
    <xf numFmtId="0" fontId="28" fillId="0" borderId="0" xfId="0" applyFont="1" applyAlignment="1">
      <alignment horizontal="left" vertical="center" readingOrder="1"/>
    </xf>
    <xf numFmtId="0" fontId="18" fillId="0" borderId="0" xfId="0" applyFont="1" applyAlignment="1">
      <alignment horizontal="center" vertical="center"/>
    </xf>
    <xf numFmtId="0" fontId="19" fillId="12" borderId="0" xfId="0" applyFont="1" applyFill="1" applyAlignment="1">
      <alignment horizontal="center" vertical="center"/>
    </xf>
    <xf numFmtId="0" fontId="24" fillId="0" borderId="0" xfId="0" applyFont="1" applyAlignment="1">
      <alignment horizontal="center"/>
    </xf>
    <xf numFmtId="0" fontId="20" fillId="0" borderId="0" xfId="0" applyFont="1" applyAlignment="1">
      <alignment horizontal="left" vertical="top" wrapText="1" readingOrder="1"/>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36" fillId="0" borderId="0" xfId="0" applyFont="1" applyAlignment="1">
      <alignment horizontal="center" vertical="center" wrapText="1" readingOrder="1"/>
    </xf>
    <xf numFmtId="0" fontId="9" fillId="0" borderId="0" xfId="0" applyFont="1" applyAlignment="1">
      <alignment horizontal="left"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0" fontId="0" fillId="2" borderId="14" xfId="0" applyFill="1" applyBorder="1" applyAlignment="1">
      <alignment horizontal="center" vertical="center"/>
    </xf>
    <xf numFmtId="0" fontId="0" fillId="0" borderId="0" xfId="0" applyAlignment="1">
      <alignment horizontal="center" vertical="center"/>
    </xf>
    <xf numFmtId="0" fontId="0" fillId="3" borderId="1" xfId="0" applyFill="1" applyBorder="1" applyAlignment="1">
      <alignment horizontal="center" vertical="center" textRotation="90"/>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0" fontId="0" fillId="3" borderId="10" xfId="0" applyFill="1" applyBorder="1" applyAlignment="1">
      <alignment horizontal="center" vertical="center" textRotation="90"/>
    </xf>
    <xf numFmtId="0" fontId="0" fillId="3" borderId="0" xfId="0" applyFill="1" applyAlignment="1">
      <alignment horizontal="center" vertical="center" textRotation="90"/>
    </xf>
    <xf numFmtId="0" fontId="17" fillId="0" borderId="0" xfId="0" applyFont="1" applyAlignment="1">
      <alignment horizontal="center" vertical="center" wrapText="1"/>
    </xf>
    <xf numFmtId="0" fontId="17" fillId="0" borderId="0" xfId="0" applyFont="1" applyAlignment="1">
      <alignment horizontal="center" vertical="center"/>
    </xf>
    <xf numFmtId="0" fontId="18" fillId="0" borderId="0" xfId="0" applyFont="1" applyAlignment="1">
      <alignment horizontal="left" vertical="center" readingOrder="1"/>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2" fontId="0" fillId="12" borderId="14" xfId="0" applyNumberFormat="1" applyFill="1" applyBorder="1" applyAlignment="1">
      <alignment horizontal="center" vertical="center"/>
    </xf>
    <xf numFmtId="0" fontId="42" fillId="0" borderId="0" xfId="0" applyFont="1" applyAlignment="1">
      <alignment horizontal="left" vertical="center" wrapText="1" readingOrder="1"/>
    </xf>
    <xf numFmtId="0" fontId="0" fillId="0" borderId="0" xfId="0" applyBorder="1"/>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0" fillId="0" borderId="0" xfId="0" applyFill="1"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cellXfs>
  <cellStyles count="3">
    <cellStyle name="Neutre" xfId="2" builtinId="28"/>
    <cellStyle name="Normal" xfId="0" builtinId="0"/>
    <cellStyle name="Satisfaisant" xfId="1" builtinId="26"/>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s>
  <tableStyles count="0" defaultTableStyle="TableStyleMedium2" defaultPivotStyle="PivotStyleLight16"/>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'Donnee_Congel_-30'!$B$1</c:f>
              <c:strCache>
                <c:ptCount val="1"/>
                <c:pt idx="0">
                  <c:v>Connecteur 1</c:v>
                </c:pt>
              </c:strCache>
            </c:strRef>
          </c:tx>
          <c:spPr>
            <a:ln w="19050" cap="rnd">
              <a:solidFill>
                <a:schemeClr val="accent1"/>
              </a:solidFill>
              <a:round/>
            </a:ln>
            <a:effectLst/>
          </c:spPr>
          <c:marker>
            <c:symbol val="none"/>
          </c:marker>
          <c:xVal>
            <c:numRef>
              <c:f>'Donnee_Congel_-30'!$A$2</c:f>
              <c:numCache>
                <c:formatCode>General</c:formatCode>
                <c:ptCount val="1"/>
              </c:numCache>
            </c:numRef>
          </c:xVal>
          <c:yVal>
            <c:numRef>
              <c:f>'Donnee_Congel_-30'!$B$2</c:f>
              <c:numCache>
                <c:formatCode>General</c:formatCode>
                <c:ptCount val="1"/>
              </c:numCache>
            </c:numRef>
          </c:yVal>
          <c:smooth val="0"/>
          <c:extLst>
            <c:ext xmlns:c16="http://schemas.microsoft.com/office/drawing/2014/chart" uri="{C3380CC4-5D6E-409C-BE32-E72D297353CC}">
              <c16:uniqueId val="{00000000-3634-44AC-8C60-9DF8284C3080}"/>
            </c:ext>
          </c:extLst>
        </c:ser>
        <c:ser>
          <c:idx val="1"/>
          <c:order val="1"/>
          <c:tx>
            <c:strRef>
              <c:f>'Donnee_Congel_-30'!$C$1</c:f>
              <c:strCache>
                <c:ptCount val="1"/>
                <c:pt idx="0">
                  <c:v>Connecteur 2</c:v>
                </c:pt>
              </c:strCache>
            </c:strRef>
          </c:tx>
          <c:spPr>
            <a:ln w="19050" cap="rnd">
              <a:solidFill>
                <a:schemeClr val="accent2"/>
              </a:solidFill>
              <a:round/>
            </a:ln>
            <a:effectLst/>
          </c:spPr>
          <c:marker>
            <c:symbol val="none"/>
          </c:marker>
          <c:xVal>
            <c:numRef>
              <c:f>'Donnee_Congel_-30'!$A$2</c:f>
              <c:numCache>
                <c:formatCode>General</c:formatCode>
                <c:ptCount val="1"/>
              </c:numCache>
            </c:numRef>
          </c:xVal>
          <c:yVal>
            <c:numRef>
              <c:f>'Donnee_Congel_-30'!$C$2</c:f>
              <c:numCache>
                <c:formatCode>General</c:formatCode>
                <c:ptCount val="1"/>
              </c:numCache>
            </c:numRef>
          </c:yVal>
          <c:smooth val="0"/>
          <c:extLst>
            <c:ext xmlns:c16="http://schemas.microsoft.com/office/drawing/2014/chart" uri="{C3380CC4-5D6E-409C-BE32-E72D297353CC}">
              <c16:uniqueId val="{00000001-3634-44AC-8C60-9DF8284C3080}"/>
            </c:ext>
          </c:extLst>
        </c:ser>
        <c:ser>
          <c:idx val="2"/>
          <c:order val="2"/>
          <c:tx>
            <c:strRef>
              <c:f>'Donnee_Congel_-30'!$D$1</c:f>
              <c:strCache>
                <c:ptCount val="1"/>
                <c:pt idx="0">
                  <c:v>Connecteur 3</c:v>
                </c:pt>
              </c:strCache>
            </c:strRef>
          </c:tx>
          <c:spPr>
            <a:ln w="19050" cap="rnd">
              <a:solidFill>
                <a:schemeClr val="accent3"/>
              </a:solidFill>
              <a:round/>
            </a:ln>
            <a:effectLst/>
          </c:spPr>
          <c:marker>
            <c:symbol val="none"/>
          </c:marker>
          <c:xVal>
            <c:numRef>
              <c:f>'Donnee_Congel_-30'!$A$2</c:f>
              <c:numCache>
                <c:formatCode>General</c:formatCode>
                <c:ptCount val="1"/>
              </c:numCache>
            </c:numRef>
          </c:xVal>
          <c:yVal>
            <c:numRef>
              <c:f>'Donnee_Congel_-30'!$D$2</c:f>
              <c:numCache>
                <c:formatCode>General</c:formatCode>
                <c:ptCount val="1"/>
              </c:numCache>
            </c:numRef>
          </c:yVal>
          <c:smooth val="0"/>
          <c:extLst>
            <c:ext xmlns:c16="http://schemas.microsoft.com/office/drawing/2014/chart" uri="{C3380CC4-5D6E-409C-BE32-E72D297353CC}">
              <c16:uniqueId val="{00000002-3634-44AC-8C60-9DF8284C3080}"/>
            </c:ext>
          </c:extLst>
        </c:ser>
        <c:ser>
          <c:idx val="3"/>
          <c:order val="3"/>
          <c:tx>
            <c:strRef>
              <c:f>'Donnee_Congel_-30'!$E$1</c:f>
              <c:strCache>
                <c:ptCount val="1"/>
                <c:pt idx="0">
                  <c:v>Connecteur 4</c:v>
                </c:pt>
              </c:strCache>
            </c:strRef>
          </c:tx>
          <c:spPr>
            <a:ln w="19050" cap="rnd">
              <a:solidFill>
                <a:schemeClr val="accent4"/>
              </a:solidFill>
              <a:round/>
            </a:ln>
            <a:effectLst/>
          </c:spPr>
          <c:marker>
            <c:symbol val="none"/>
          </c:marker>
          <c:xVal>
            <c:numRef>
              <c:f>'Donnee_Congel_-30'!$A$2</c:f>
              <c:numCache>
                <c:formatCode>General</c:formatCode>
                <c:ptCount val="1"/>
              </c:numCache>
            </c:numRef>
          </c:xVal>
          <c:yVal>
            <c:numRef>
              <c:f>'Donnee_Congel_-30'!$E$2</c:f>
              <c:numCache>
                <c:formatCode>General</c:formatCode>
                <c:ptCount val="1"/>
              </c:numCache>
            </c:numRef>
          </c:yVal>
          <c:smooth val="0"/>
          <c:extLst>
            <c:ext xmlns:c16="http://schemas.microsoft.com/office/drawing/2014/chart" uri="{C3380CC4-5D6E-409C-BE32-E72D297353CC}">
              <c16:uniqueId val="{00000003-3634-44AC-8C60-9DF8284C3080}"/>
            </c:ext>
          </c:extLst>
        </c:ser>
        <c:ser>
          <c:idx val="4"/>
          <c:order val="4"/>
          <c:tx>
            <c:strRef>
              <c:f>'Donnee_Congel_-30'!$F$1</c:f>
              <c:strCache>
                <c:ptCount val="1"/>
                <c:pt idx="0">
                  <c:v>Connecteur 5</c:v>
                </c:pt>
              </c:strCache>
            </c:strRef>
          </c:tx>
          <c:spPr>
            <a:ln w="19050" cap="rnd">
              <a:solidFill>
                <a:schemeClr val="accent5"/>
              </a:solidFill>
              <a:round/>
            </a:ln>
            <a:effectLst/>
          </c:spPr>
          <c:marker>
            <c:symbol val="none"/>
          </c:marker>
          <c:xVal>
            <c:numRef>
              <c:f>'Donnee_Congel_-30'!$A$2</c:f>
              <c:numCache>
                <c:formatCode>General</c:formatCode>
                <c:ptCount val="1"/>
              </c:numCache>
            </c:numRef>
          </c:xVal>
          <c:yVal>
            <c:numRef>
              <c:f>'Donnee_Congel_-30'!$F$2</c:f>
              <c:numCache>
                <c:formatCode>General</c:formatCode>
                <c:ptCount val="1"/>
              </c:numCache>
            </c:numRef>
          </c:yVal>
          <c:smooth val="0"/>
          <c:extLst>
            <c:ext xmlns:c16="http://schemas.microsoft.com/office/drawing/2014/chart" uri="{C3380CC4-5D6E-409C-BE32-E72D297353CC}">
              <c16:uniqueId val="{00000004-3634-44AC-8C60-9DF8284C3080}"/>
            </c:ext>
          </c:extLst>
        </c:ser>
        <c:ser>
          <c:idx val="5"/>
          <c:order val="5"/>
          <c:tx>
            <c:strRef>
              <c:f>'Donnee_Congel_-30'!$G$1</c:f>
              <c:strCache>
                <c:ptCount val="1"/>
                <c:pt idx="0">
                  <c:v>Connecteur 6</c:v>
                </c:pt>
              </c:strCache>
            </c:strRef>
          </c:tx>
          <c:spPr>
            <a:ln w="19050" cap="rnd">
              <a:solidFill>
                <a:schemeClr val="accent6"/>
              </a:solidFill>
              <a:round/>
            </a:ln>
            <a:effectLst/>
          </c:spPr>
          <c:marker>
            <c:symbol val="none"/>
          </c:marker>
          <c:xVal>
            <c:numRef>
              <c:f>'Donnee_Congel_-30'!$A$2</c:f>
              <c:numCache>
                <c:formatCode>General</c:formatCode>
                <c:ptCount val="1"/>
              </c:numCache>
            </c:numRef>
          </c:xVal>
          <c:yVal>
            <c:numRef>
              <c:f>'Donnee_Congel_-30'!$G$2</c:f>
              <c:numCache>
                <c:formatCode>General</c:formatCode>
                <c:ptCount val="1"/>
              </c:numCache>
            </c:numRef>
          </c:yVal>
          <c:smooth val="0"/>
          <c:extLst>
            <c:ext xmlns:c16="http://schemas.microsoft.com/office/drawing/2014/chart" uri="{C3380CC4-5D6E-409C-BE32-E72D297353CC}">
              <c16:uniqueId val="{00000005-3634-44AC-8C60-9DF8284C3080}"/>
            </c:ext>
          </c:extLst>
        </c:ser>
        <c:ser>
          <c:idx val="6"/>
          <c:order val="6"/>
          <c:tx>
            <c:strRef>
              <c:f>'Donnee_Congel_-30'!$H$1</c:f>
              <c:strCache>
                <c:ptCount val="1"/>
                <c:pt idx="0">
                  <c:v>Connecteur 7</c:v>
                </c:pt>
              </c:strCache>
            </c:strRef>
          </c:tx>
          <c:spPr>
            <a:ln w="19050" cap="rnd">
              <a:solidFill>
                <a:schemeClr val="accent1">
                  <a:lumMod val="60000"/>
                </a:schemeClr>
              </a:solidFill>
              <a:round/>
            </a:ln>
            <a:effectLst/>
          </c:spPr>
          <c:marker>
            <c:symbol val="none"/>
          </c:marker>
          <c:xVal>
            <c:numRef>
              <c:f>'Donnee_Congel_-30'!$A$2</c:f>
              <c:numCache>
                <c:formatCode>General</c:formatCode>
                <c:ptCount val="1"/>
              </c:numCache>
            </c:numRef>
          </c:xVal>
          <c:yVal>
            <c:numRef>
              <c:f>'Donnee_Congel_-30'!$H$2</c:f>
              <c:numCache>
                <c:formatCode>General</c:formatCode>
                <c:ptCount val="1"/>
              </c:numCache>
            </c:numRef>
          </c:yVal>
          <c:smooth val="0"/>
          <c:extLst>
            <c:ext xmlns:c16="http://schemas.microsoft.com/office/drawing/2014/chart" uri="{C3380CC4-5D6E-409C-BE32-E72D297353CC}">
              <c16:uniqueId val="{00000006-3634-44AC-8C60-9DF8284C3080}"/>
            </c:ext>
          </c:extLst>
        </c:ser>
        <c:ser>
          <c:idx val="7"/>
          <c:order val="7"/>
          <c:tx>
            <c:strRef>
              <c:f>'Donnee_Congel_-30'!$I$1</c:f>
              <c:strCache>
                <c:ptCount val="1"/>
                <c:pt idx="0">
                  <c:v>Connecteur 8</c:v>
                </c:pt>
              </c:strCache>
            </c:strRef>
          </c:tx>
          <c:spPr>
            <a:ln w="19050" cap="rnd">
              <a:solidFill>
                <a:schemeClr val="accent2">
                  <a:lumMod val="60000"/>
                </a:schemeClr>
              </a:solidFill>
              <a:round/>
            </a:ln>
            <a:effectLst/>
          </c:spPr>
          <c:marker>
            <c:symbol val="none"/>
          </c:marker>
          <c:xVal>
            <c:numRef>
              <c:f>'Donnee_Congel_-30'!$A$2</c:f>
              <c:numCache>
                <c:formatCode>General</c:formatCode>
                <c:ptCount val="1"/>
              </c:numCache>
            </c:numRef>
          </c:xVal>
          <c:yVal>
            <c:numRef>
              <c:f>'Donnee_Congel_-30'!$I$2</c:f>
              <c:numCache>
                <c:formatCode>General</c:formatCode>
                <c:ptCount val="1"/>
              </c:numCache>
            </c:numRef>
          </c:yVal>
          <c:smooth val="0"/>
          <c:extLst>
            <c:ext xmlns:c16="http://schemas.microsoft.com/office/drawing/2014/chart" uri="{C3380CC4-5D6E-409C-BE32-E72D297353CC}">
              <c16:uniqueId val="{00000007-3634-44AC-8C60-9DF8284C3080}"/>
            </c:ext>
          </c:extLst>
        </c:ser>
        <c:ser>
          <c:idx val="8"/>
          <c:order val="8"/>
          <c:tx>
            <c:strRef>
              <c:f>'Donnee_Congel_-30'!$J$1</c:f>
              <c:strCache>
                <c:ptCount val="1"/>
                <c:pt idx="0">
                  <c:v>Connecteur 9</c:v>
                </c:pt>
              </c:strCache>
            </c:strRef>
          </c:tx>
          <c:spPr>
            <a:ln w="19050" cap="rnd">
              <a:solidFill>
                <a:schemeClr val="accent3">
                  <a:lumMod val="60000"/>
                </a:schemeClr>
              </a:solidFill>
              <a:round/>
            </a:ln>
            <a:effectLst/>
          </c:spPr>
          <c:marker>
            <c:symbol val="none"/>
          </c:marker>
          <c:xVal>
            <c:numRef>
              <c:f>'Donnee_Congel_-30'!$A$2</c:f>
              <c:numCache>
                <c:formatCode>General</c:formatCode>
                <c:ptCount val="1"/>
              </c:numCache>
            </c:numRef>
          </c:xVal>
          <c:yVal>
            <c:numRef>
              <c:f>'Donnee_Congel_-30'!$J$2</c:f>
              <c:numCache>
                <c:formatCode>General</c:formatCode>
                <c:ptCount val="1"/>
              </c:numCache>
            </c:numRef>
          </c:yVal>
          <c:smooth val="0"/>
          <c:extLst>
            <c:ext xmlns:c16="http://schemas.microsoft.com/office/drawing/2014/chart" uri="{C3380CC4-5D6E-409C-BE32-E72D297353CC}">
              <c16:uniqueId val="{00000008-3634-44AC-8C60-9DF8284C3080}"/>
            </c:ext>
          </c:extLst>
        </c:ser>
        <c:ser>
          <c:idx val="9"/>
          <c:order val="9"/>
          <c:tx>
            <c:strRef>
              <c:f>'Donnee_Congel_-30'!$K$1</c:f>
              <c:strCache>
                <c:ptCount val="1"/>
                <c:pt idx="0">
                  <c:v>Connecteur 10</c:v>
                </c:pt>
              </c:strCache>
            </c:strRef>
          </c:tx>
          <c:spPr>
            <a:ln w="19050" cap="rnd">
              <a:solidFill>
                <a:schemeClr val="accent4">
                  <a:lumMod val="60000"/>
                </a:schemeClr>
              </a:solidFill>
              <a:round/>
            </a:ln>
            <a:effectLst/>
          </c:spPr>
          <c:marker>
            <c:symbol val="none"/>
          </c:marker>
          <c:xVal>
            <c:numRef>
              <c:f>'Donnee_Congel_-30'!$A$2</c:f>
              <c:numCache>
                <c:formatCode>General</c:formatCode>
                <c:ptCount val="1"/>
              </c:numCache>
            </c:numRef>
          </c:xVal>
          <c:yVal>
            <c:numRef>
              <c:f>'Donnee_Congel_-30'!$K$2</c:f>
              <c:numCache>
                <c:formatCode>General</c:formatCode>
                <c:ptCount val="1"/>
              </c:numCache>
            </c:numRef>
          </c:yVal>
          <c:smooth val="0"/>
          <c:extLst>
            <c:ext xmlns:c16="http://schemas.microsoft.com/office/drawing/2014/chart" uri="{C3380CC4-5D6E-409C-BE32-E72D297353CC}">
              <c16:uniqueId val="{00000009-3634-44AC-8C60-9DF8284C3080}"/>
            </c:ext>
          </c:extLst>
        </c:ser>
        <c:ser>
          <c:idx val="10"/>
          <c:order val="10"/>
          <c:tx>
            <c:strRef>
              <c:f>'Donnee_Congel_-30'!$L$1</c:f>
              <c:strCache>
                <c:ptCount val="1"/>
                <c:pt idx="0">
                  <c:v>Connecteur 11</c:v>
                </c:pt>
              </c:strCache>
            </c:strRef>
          </c:tx>
          <c:spPr>
            <a:ln w="19050" cap="rnd">
              <a:solidFill>
                <a:schemeClr val="accent5">
                  <a:lumMod val="60000"/>
                </a:schemeClr>
              </a:solidFill>
              <a:round/>
            </a:ln>
            <a:effectLst/>
          </c:spPr>
          <c:marker>
            <c:symbol val="none"/>
          </c:marker>
          <c:xVal>
            <c:numRef>
              <c:f>'Donnee_Congel_-30'!$A$2</c:f>
              <c:numCache>
                <c:formatCode>General</c:formatCode>
                <c:ptCount val="1"/>
              </c:numCache>
            </c:numRef>
          </c:xVal>
          <c:yVal>
            <c:numRef>
              <c:f>'Donnee_Congel_-30'!$L$2</c:f>
              <c:numCache>
                <c:formatCode>General</c:formatCode>
                <c:ptCount val="1"/>
              </c:numCache>
            </c:numRef>
          </c:yVal>
          <c:smooth val="0"/>
          <c:extLst>
            <c:ext xmlns:c16="http://schemas.microsoft.com/office/drawing/2014/chart" uri="{C3380CC4-5D6E-409C-BE32-E72D297353CC}">
              <c16:uniqueId val="{0000000A-3634-44AC-8C60-9DF8284C3080}"/>
            </c:ext>
          </c:extLst>
        </c:ser>
        <c:ser>
          <c:idx val="11"/>
          <c:order val="11"/>
          <c:tx>
            <c:strRef>
              <c:f>'Donnee_Congel_-30'!$M$1</c:f>
              <c:strCache>
                <c:ptCount val="1"/>
                <c:pt idx="0">
                  <c:v>Connecteur 12</c:v>
                </c:pt>
              </c:strCache>
            </c:strRef>
          </c:tx>
          <c:spPr>
            <a:ln w="19050" cap="rnd">
              <a:solidFill>
                <a:schemeClr val="accent6">
                  <a:lumMod val="60000"/>
                </a:schemeClr>
              </a:solidFill>
              <a:round/>
            </a:ln>
            <a:effectLst/>
          </c:spPr>
          <c:marker>
            <c:symbol val="none"/>
          </c:marker>
          <c:xVal>
            <c:numRef>
              <c:f>'Donnee_Congel_-30'!$A$2</c:f>
              <c:numCache>
                <c:formatCode>General</c:formatCode>
                <c:ptCount val="1"/>
              </c:numCache>
            </c:numRef>
          </c:xVal>
          <c:yVal>
            <c:numRef>
              <c:f>'Donnee_Congel_-30'!$M$2</c:f>
              <c:numCache>
                <c:formatCode>General</c:formatCode>
                <c:ptCount val="1"/>
              </c:numCache>
            </c:numRef>
          </c:yVal>
          <c:smooth val="0"/>
          <c:extLst>
            <c:ext xmlns:c16="http://schemas.microsoft.com/office/drawing/2014/chart" uri="{C3380CC4-5D6E-409C-BE32-E72D297353CC}">
              <c16:uniqueId val="{0000000B-3634-44AC-8C60-9DF8284C308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'Donnee_Congel_-30'!$B$1</c:f>
              <c:strCache>
                <c:ptCount val="1"/>
                <c:pt idx="0">
                  <c:v>Connecteur 1</c:v>
                </c:pt>
              </c:strCache>
            </c:strRef>
          </c:tx>
          <c:spPr>
            <a:ln w="19050" cap="rnd">
              <a:solidFill>
                <a:schemeClr val="accent1"/>
              </a:solidFill>
              <a:round/>
            </a:ln>
            <a:effectLst/>
          </c:spPr>
          <c:marker>
            <c:symbol val="none"/>
          </c:marker>
          <c:xVal>
            <c:numRef>
              <c:f>'Donnee_Congel_-30'!$A$2</c:f>
              <c:numCache>
                <c:formatCode>General</c:formatCode>
                <c:ptCount val="1"/>
              </c:numCache>
            </c:numRef>
          </c:xVal>
          <c:yVal>
            <c:numRef>
              <c:f>'Donnee_Congel_-30'!$B$2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'Donnee_Congel_-30'!$C$1</c:f>
              <c:strCache>
                <c:ptCount val="1"/>
                <c:pt idx="0">
                  <c:v>Connecteur 2</c:v>
                </c:pt>
              </c:strCache>
            </c:strRef>
          </c:tx>
          <c:spPr>
            <a:ln w="19050" cap="rnd">
              <a:solidFill>
                <a:schemeClr val="accent2"/>
              </a:solidFill>
              <a:round/>
            </a:ln>
            <a:effectLst/>
          </c:spPr>
          <c:marker>
            <c:symbol val="none"/>
          </c:marker>
          <c:xVal>
            <c:numRef>
              <c:f>'Donnee_Congel_-30'!$A$2</c:f>
              <c:numCache>
                <c:formatCode>General</c:formatCode>
                <c:ptCount val="1"/>
              </c:numCache>
            </c:numRef>
          </c:xVal>
          <c:yVal>
            <c:numRef>
              <c:f>'Donnee_Congel_-30'!$C$2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'Donnee_Congel_-30'!$D$1</c:f>
              <c:strCache>
                <c:ptCount val="1"/>
                <c:pt idx="0">
                  <c:v>Connecteur 3</c:v>
                </c:pt>
              </c:strCache>
            </c:strRef>
          </c:tx>
          <c:spPr>
            <a:ln w="19050" cap="rnd">
              <a:solidFill>
                <a:schemeClr val="accent3"/>
              </a:solidFill>
              <a:round/>
            </a:ln>
            <a:effectLst/>
          </c:spPr>
          <c:marker>
            <c:symbol val="none"/>
          </c:marker>
          <c:xVal>
            <c:numRef>
              <c:f>'Donnee_Congel_-30'!$A$2</c:f>
              <c:numCache>
                <c:formatCode>General</c:formatCode>
                <c:ptCount val="1"/>
              </c:numCache>
            </c:numRef>
          </c:xVal>
          <c:yVal>
            <c:numRef>
              <c:f>'Donnee_Congel_-30'!$D$2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'Donnee_Congel_-30'!$E$1</c:f>
              <c:strCache>
                <c:ptCount val="1"/>
                <c:pt idx="0">
                  <c:v>Connecteur 4</c:v>
                </c:pt>
              </c:strCache>
            </c:strRef>
          </c:tx>
          <c:spPr>
            <a:ln w="19050" cap="rnd">
              <a:solidFill>
                <a:schemeClr val="accent4"/>
              </a:solidFill>
              <a:round/>
            </a:ln>
            <a:effectLst/>
          </c:spPr>
          <c:marker>
            <c:symbol val="none"/>
          </c:marker>
          <c:xVal>
            <c:numRef>
              <c:f>'Donnee_Congel_-30'!$A$2</c:f>
              <c:numCache>
                <c:formatCode>General</c:formatCode>
                <c:ptCount val="1"/>
              </c:numCache>
            </c:numRef>
          </c:xVal>
          <c:yVal>
            <c:numRef>
              <c:f>'Donnee_Congel_-30'!$E$2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'Donnee_Congel_-30'!$F$1</c:f>
              <c:strCache>
                <c:ptCount val="1"/>
                <c:pt idx="0">
                  <c:v>Connecteur 5</c:v>
                </c:pt>
              </c:strCache>
            </c:strRef>
          </c:tx>
          <c:spPr>
            <a:ln w="19050" cap="rnd">
              <a:solidFill>
                <a:schemeClr val="accent5"/>
              </a:solidFill>
              <a:round/>
            </a:ln>
            <a:effectLst/>
          </c:spPr>
          <c:marker>
            <c:symbol val="none"/>
          </c:marker>
          <c:xVal>
            <c:numRef>
              <c:f>'Donnee_Congel_-30'!$A$2</c:f>
              <c:numCache>
                <c:formatCode>General</c:formatCode>
                <c:ptCount val="1"/>
              </c:numCache>
            </c:numRef>
          </c:xVal>
          <c:yVal>
            <c:numRef>
              <c:f>'Donnee_Congel_-30'!$F$2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'Donnee_Congel_-30'!$G$1</c:f>
              <c:strCache>
                <c:ptCount val="1"/>
                <c:pt idx="0">
                  <c:v>Connecteur 6</c:v>
                </c:pt>
              </c:strCache>
            </c:strRef>
          </c:tx>
          <c:spPr>
            <a:ln w="19050" cap="rnd">
              <a:solidFill>
                <a:schemeClr val="accent6"/>
              </a:solidFill>
              <a:round/>
            </a:ln>
            <a:effectLst/>
          </c:spPr>
          <c:marker>
            <c:symbol val="none"/>
          </c:marker>
          <c:xVal>
            <c:numRef>
              <c:f>'Donnee_Congel_-30'!$A$2</c:f>
              <c:numCache>
                <c:formatCode>General</c:formatCode>
                <c:ptCount val="1"/>
              </c:numCache>
            </c:numRef>
          </c:xVal>
          <c:yVal>
            <c:numRef>
              <c:f>'Donnee_Congel_-30'!$G$2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'Donnee_Congel_-30'!$H$1</c:f>
              <c:strCache>
                <c:ptCount val="1"/>
                <c:pt idx="0">
                  <c:v>Connecteur 7</c:v>
                </c:pt>
              </c:strCache>
            </c:strRef>
          </c:tx>
          <c:spPr>
            <a:ln w="19050" cap="rnd">
              <a:solidFill>
                <a:schemeClr val="accent1">
                  <a:lumMod val="60000"/>
                </a:schemeClr>
              </a:solidFill>
              <a:round/>
            </a:ln>
            <a:effectLst/>
          </c:spPr>
          <c:marker>
            <c:symbol val="none"/>
          </c:marker>
          <c:xVal>
            <c:numRef>
              <c:f>'Donnee_Congel_-30'!$A$2</c:f>
              <c:numCache>
                <c:formatCode>General</c:formatCode>
                <c:ptCount val="1"/>
              </c:numCache>
            </c:numRef>
          </c:xVal>
          <c:yVal>
            <c:numRef>
              <c:f>'Donnee_Congel_-30'!$H$2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'Donnee_Congel_-30'!$I$1</c:f>
              <c:strCache>
                <c:ptCount val="1"/>
                <c:pt idx="0">
                  <c:v>Connecteur 8</c:v>
                </c:pt>
              </c:strCache>
            </c:strRef>
          </c:tx>
          <c:spPr>
            <a:ln w="19050" cap="rnd">
              <a:solidFill>
                <a:schemeClr val="accent2">
                  <a:lumMod val="60000"/>
                </a:schemeClr>
              </a:solidFill>
              <a:round/>
            </a:ln>
            <a:effectLst/>
          </c:spPr>
          <c:marker>
            <c:symbol val="none"/>
          </c:marker>
          <c:xVal>
            <c:numRef>
              <c:f>'Donnee_Congel_-30'!$A$2</c:f>
              <c:numCache>
                <c:formatCode>General</c:formatCode>
                <c:ptCount val="1"/>
              </c:numCache>
            </c:numRef>
          </c:xVal>
          <c:yVal>
            <c:numRef>
              <c:f>'Donnee_Congel_-30'!$I$2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'Donnee_Congel_-30'!$J$1</c:f>
              <c:strCache>
                <c:ptCount val="1"/>
                <c:pt idx="0">
                  <c:v>Connecteur 9</c:v>
                </c:pt>
              </c:strCache>
            </c:strRef>
          </c:tx>
          <c:spPr>
            <a:ln w="19050" cap="rnd">
              <a:solidFill>
                <a:schemeClr val="accent3">
                  <a:lumMod val="60000"/>
                </a:schemeClr>
              </a:solidFill>
              <a:round/>
            </a:ln>
            <a:effectLst/>
          </c:spPr>
          <c:marker>
            <c:symbol val="none"/>
          </c:marker>
          <c:xVal>
            <c:numRef>
              <c:f>'Donnee_Congel_-30'!$A$2</c:f>
              <c:numCache>
                <c:formatCode>General</c:formatCode>
                <c:ptCount val="1"/>
              </c:numCache>
            </c:numRef>
          </c:xVal>
          <c:yVal>
            <c:numRef>
              <c:f>'Donnee_Congel_-30'!$J$2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'Donnee_Congel_-30'!$K$1</c:f>
              <c:strCache>
                <c:ptCount val="1"/>
                <c:pt idx="0">
                  <c:v>Connecteur 10</c:v>
                </c:pt>
              </c:strCache>
            </c:strRef>
          </c:tx>
          <c:spPr>
            <a:ln w="19050" cap="rnd">
              <a:solidFill>
                <a:schemeClr val="accent4">
                  <a:lumMod val="60000"/>
                </a:schemeClr>
              </a:solidFill>
              <a:round/>
            </a:ln>
            <a:effectLst/>
          </c:spPr>
          <c:marker>
            <c:symbol val="none"/>
          </c:marker>
          <c:xVal>
            <c:numRef>
              <c:f>'Donnee_Congel_-30'!$A$2</c:f>
              <c:numCache>
                <c:formatCode>General</c:formatCode>
                <c:ptCount val="1"/>
              </c:numCache>
            </c:numRef>
          </c:xVal>
          <c:yVal>
            <c:numRef>
              <c:f>'Donnee_Congel_-30'!$K$2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'Donnee_Congel_-30'!$L$1</c:f>
              <c:strCache>
                <c:ptCount val="1"/>
                <c:pt idx="0">
                  <c:v>Connecteur 11</c:v>
                </c:pt>
              </c:strCache>
            </c:strRef>
          </c:tx>
          <c:spPr>
            <a:ln w="19050" cap="rnd">
              <a:solidFill>
                <a:schemeClr val="accent5">
                  <a:lumMod val="60000"/>
                </a:schemeClr>
              </a:solidFill>
              <a:round/>
            </a:ln>
            <a:effectLst/>
          </c:spPr>
          <c:marker>
            <c:symbol val="none"/>
          </c:marker>
          <c:xVal>
            <c:numRef>
              <c:f>'Donnee_Congel_-30'!$A$2</c:f>
              <c:numCache>
                <c:formatCode>General</c:formatCode>
                <c:ptCount val="1"/>
              </c:numCache>
            </c:numRef>
          </c:xVal>
          <c:yVal>
            <c:numRef>
              <c:f>'Donnee_Congel_-30'!$L$2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'Donnee_Congel_-30'!$M$1</c:f>
              <c:strCache>
                <c:ptCount val="1"/>
                <c:pt idx="0">
                  <c:v>Connecteur 12</c:v>
                </c:pt>
              </c:strCache>
            </c:strRef>
          </c:tx>
          <c:spPr>
            <a:ln w="19050" cap="rnd">
              <a:solidFill>
                <a:schemeClr val="accent6">
                  <a:lumMod val="60000"/>
                </a:schemeClr>
              </a:solidFill>
              <a:round/>
            </a:ln>
            <a:effectLst/>
          </c:spPr>
          <c:marker>
            <c:symbol val="none"/>
          </c:marker>
          <c:xVal>
            <c:numRef>
              <c:f>'Donnee_Congel_-30'!$A$2</c:f>
              <c:numCache>
                <c:formatCode>General</c:formatCode>
                <c:ptCount val="1"/>
              </c:numCache>
            </c:numRef>
          </c:xVal>
          <c:yVal>
            <c:numRef>
              <c:f>'Donnee_Congel_-30'!$M$2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'Donnee_Congel_-30'!$B$1</c:f>
              <c:strCache>
                <c:ptCount val="1"/>
                <c:pt idx="0">
                  <c:v>Connecteur 1</c:v>
                </c:pt>
              </c:strCache>
            </c:strRef>
          </c:tx>
          <c:spPr>
            <a:ln w="19050" cap="rnd">
              <a:solidFill>
                <a:schemeClr val="accent1"/>
              </a:solidFill>
              <a:round/>
            </a:ln>
            <a:effectLst/>
          </c:spPr>
          <c:marker>
            <c:symbol val="none"/>
          </c:marker>
          <c:xVal>
            <c:numRef>
              <c:f>'Donnee_Congel_-30'!$A$2</c:f>
              <c:numCache>
                <c:formatCode>General</c:formatCode>
                <c:ptCount val="1"/>
              </c:numCache>
            </c:numRef>
          </c:xVal>
          <c:yVal>
            <c:numRef>
              <c:f>'Donnee_Congel_-30'!$B$2</c:f>
              <c:numCache>
                <c:formatCode>General</c:formatCode>
                <c:ptCount val="1"/>
              </c:numCache>
            </c:numRef>
          </c:yVal>
          <c:smooth val="0"/>
          <c:extLst>
            <c:ext xmlns:c16="http://schemas.microsoft.com/office/drawing/2014/chart" uri="{C3380CC4-5D6E-409C-BE32-E72D297353CC}">
              <c16:uniqueId val="{00000000-676D-44BF-88FD-4A017FB347E2}"/>
            </c:ext>
          </c:extLst>
        </c:ser>
        <c:ser>
          <c:idx val="1"/>
          <c:order val="1"/>
          <c:tx>
            <c:strRef>
              <c:f>'Donnee_Congel_-30'!$C$1</c:f>
              <c:strCache>
                <c:ptCount val="1"/>
                <c:pt idx="0">
                  <c:v>Connecteur 2</c:v>
                </c:pt>
              </c:strCache>
            </c:strRef>
          </c:tx>
          <c:spPr>
            <a:ln w="19050" cap="rnd">
              <a:solidFill>
                <a:schemeClr val="accent2"/>
              </a:solidFill>
              <a:round/>
            </a:ln>
            <a:effectLst/>
          </c:spPr>
          <c:marker>
            <c:symbol val="none"/>
          </c:marker>
          <c:xVal>
            <c:numRef>
              <c:f>'Donnee_Congel_-30'!$A$2</c:f>
              <c:numCache>
                <c:formatCode>General</c:formatCode>
                <c:ptCount val="1"/>
              </c:numCache>
            </c:numRef>
          </c:xVal>
          <c:yVal>
            <c:numRef>
              <c:f>'Donnee_Congel_-30'!$C$2</c:f>
              <c:numCache>
                <c:formatCode>General</c:formatCode>
                <c:ptCount val="1"/>
              </c:numCache>
            </c:numRef>
          </c:yVal>
          <c:smooth val="0"/>
          <c:extLst>
            <c:ext xmlns:c16="http://schemas.microsoft.com/office/drawing/2014/chart" uri="{C3380CC4-5D6E-409C-BE32-E72D297353CC}">
              <c16:uniqueId val="{00000001-676D-44BF-88FD-4A017FB347E2}"/>
            </c:ext>
          </c:extLst>
        </c:ser>
        <c:ser>
          <c:idx val="2"/>
          <c:order val="2"/>
          <c:tx>
            <c:strRef>
              <c:f>'Donnee_Congel_-30'!$D$1</c:f>
              <c:strCache>
                <c:ptCount val="1"/>
                <c:pt idx="0">
                  <c:v>Connecteur 3</c:v>
                </c:pt>
              </c:strCache>
            </c:strRef>
          </c:tx>
          <c:spPr>
            <a:ln w="19050" cap="rnd">
              <a:solidFill>
                <a:schemeClr val="accent3"/>
              </a:solidFill>
              <a:round/>
            </a:ln>
            <a:effectLst/>
          </c:spPr>
          <c:marker>
            <c:symbol val="none"/>
          </c:marker>
          <c:xVal>
            <c:numRef>
              <c:f>'Donnee_Congel_-30'!$A$2</c:f>
              <c:numCache>
                <c:formatCode>General</c:formatCode>
                <c:ptCount val="1"/>
              </c:numCache>
            </c:numRef>
          </c:xVal>
          <c:yVal>
            <c:numRef>
              <c:f>'Donnee_Congel_-30'!$D$2</c:f>
              <c:numCache>
                <c:formatCode>General</c:formatCode>
                <c:ptCount val="1"/>
              </c:numCache>
            </c:numRef>
          </c:yVal>
          <c:smooth val="0"/>
          <c:extLst>
            <c:ext xmlns:c16="http://schemas.microsoft.com/office/drawing/2014/chart" uri="{C3380CC4-5D6E-409C-BE32-E72D297353CC}">
              <c16:uniqueId val="{00000002-676D-44BF-88FD-4A017FB347E2}"/>
            </c:ext>
          </c:extLst>
        </c:ser>
        <c:ser>
          <c:idx val="3"/>
          <c:order val="3"/>
          <c:tx>
            <c:strRef>
              <c:f>'Donnee_Congel_-30'!$E$1</c:f>
              <c:strCache>
                <c:ptCount val="1"/>
                <c:pt idx="0">
                  <c:v>Connecteur 4</c:v>
                </c:pt>
              </c:strCache>
            </c:strRef>
          </c:tx>
          <c:spPr>
            <a:ln w="19050" cap="rnd">
              <a:solidFill>
                <a:schemeClr val="accent4"/>
              </a:solidFill>
              <a:round/>
            </a:ln>
            <a:effectLst/>
          </c:spPr>
          <c:marker>
            <c:symbol val="none"/>
          </c:marker>
          <c:xVal>
            <c:numRef>
              <c:f>'Donnee_Congel_-30'!$A$2</c:f>
              <c:numCache>
                <c:formatCode>General</c:formatCode>
                <c:ptCount val="1"/>
              </c:numCache>
            </c:numRef>
          </c:xVal>
          <c:yVal>
            <c:numRef>
              <c:f>'Donnee_Congel_-30'!$E$2</c:f>
              <c:numCache>
                <c:formatCode>General</c:formatCode>
                <c:ptCount val="1"/>
              </c:numCache>
            </c:numRef>
          </c:yVal>
          <c:smooth val="0"/>
          <c:extLst>
            <c:ext xmlns:c16="http://schemas.microsoft.com/office/drawing/2014/chart" uri="{C3380CC4-5D6E-409C-BE32-E72D297353CC}">
              <c16:uniqueId val="{00000003-676D-44BF-88FD-4A017FB347E2}"/>
            </c:ext>
          </c:extLst>
        </c:ser>
        <c:ser>
          <c:idx val="4"/>
          <c:order val="4"/>
          <c:tx>
            <c:strRef>
              <c:f>'Donnee_Congel_-30'!$F$1</c:f>
              <c:strCache>
                <c:ptCount val="1"/>
                <c:pt idx="0">
                  <c:v>Connecteur 5</c:v>
                </c:pt>
              </c:strCache>
            </c:strRef>
          </c:tx>
          <c:spPr>
            <a:ln w="19050" cap="rnd">
              <a:solidFill>
                <a:schemeClr val="accent5"/>
              </a:solidFill>
              <a:round/>
            </a:ln>
            <a:effectLst/>
          </c:spPr>
          <c:marker>
            <c:symbol val="none"/>
          </c:marker>
          <c:xVal>
            <c:numRef>
              <c:f>'Donnee_Congel_-30'!$A$2</c:f>
              <c:numCache>
                <c:formatCode>General</c:formatCode>
                <c:ptCount val="1"/>
              </c:numCache>
            </c:numRef>
          </c:xVal>
          <c:yVal>
            <c:numRef>
              <c:f>'Donnee_Congel_-30'!$F$2</c:f>
              <c:numCache>
                <c:formatCode>General</c:formatCode>
                <c:ptCount val="1"/>
              </c:numCache>
            </c:numRef>
          </c:yVal>
          <c:smooth val="0"/>
          <c:extLst>
            <c:ext xmlns:c16="http://schemas.microsoft.com/office/drawing/2014/chart" uri="{C3380CC4-5D6E-409C-BE32-E72D297353CC}">
              <c16:uniqueId val="{00000004-676D-44BF-88FD-4A017FB347E2}"/>
            </c:ext>
          </c:extLst>
        </c:ser>
        <c:ser>
          <c:idx val="5"/>
          <c:order val="5"/>
          <c:tx>
            <c:strRef>
              <c:f>'Donnee_Congel_-30'!$G$1</c:f>
              <c:strCache>
                <c:ptCount val="1"/>
                <c:pt idx="0">
                  <c:v>Connecteur 6</c:v>
                </c:pt>
              </c:strCache>
            </c:strRef>
          </c:tx>
          <c:spPr>
            <a:ln w="19050" cap="rnd">
              <a:solidFill>
                <a:schemeClr val="accent6"/>
              </a:solidFill>
              <a:round/>
            </a:ln>
            <a:effectLst/>
          </c:spPr>
          <c:marker>
            <c:symbol val="none"/>
          </c:marker>
          <c:xVal>
            <c:numRef>
              <c:f>'Donnee_Congel_-30'!$A$2</c:f>
              <c:numCache>
                <c:formatCode>General</c:formatCode>
                <c:ptCount val="1"/>
              </c:numCache>
            </c:numRef>
          </c:xVal>
          <c:yVal>
            <c:numRef>
              <c:f>'Donnee_Congel_-30'!$G$2</c:f>
              <c:numCache>
                <c:formatCode>General</c:formatCode>
                <c:ptCount val="1"/>
              </c:numCache>
            </c:numRef>
          </c:yVal>
          <c:smooth val="0"/>
          <c:extLst>
            <c:ext xmlns:c16="http://schemas.microsoft.com/office/drawing/2014/chart" uri="{C3380CC4-5D6E-409C-BE32-E72D297353CC}">
              <c16:uniqueId val="{00000005-676D-44BF-88FD-4A017FB347E2}"/>
            </c:ext>
          </c:extLst>
        </c:ser>
        <c:ser>
          <c:idx val="6"/>
          <c:order val="6"/>
          <c:tx>
            <c:strRef>
              <c:f>'Donnee_Congel_-30'!$H$1</c:f>
              <c:strCache>
                <c:ptCount val="1"/>
                <c:pt idx="0">
                  <c:v>Connecteur 7</c:v>
                </c:pt>
              </c:strCache>
            </c:strRef>
          </c:tx>
          <c:spPr>
            <a:ln w="19050" cap="rnd">
              <a:solidFill>
                <a:schemeClr val="accent1">
                  <a:lumMod val="60000"/>
                </a:schemeClr>
              </a:solidFill>
              <a:round/>
            </a:ln>
            <a:effectLst/>
          </c:spPr>
          <c:marker>
            <c:symbol val="none"/>
          </c:marker>
          <c:xVal>
            <c:numRef>
              <c:f>'Donnee_Congel_-30'!$A$2</c:f>
              <c:numCache>
                <c:formatCode>General</c:formatCode>
                <c:ptCount val="1"/>
              </c:numCache>
            </c:numRef>
          </c:xVal>
          <c:yVal>
            <c:numRef>
              <c:f>'Donnee_Congel_-30'!$H$2</c:f>
              <c:numCache>
                <c:formatCode>General</c:formatCode>
                <c:ptCount val="1"/>
              </c:numCache>
            </c:numRef>
          </c:yVal>
          <c:smooth val="0"/>
          <c:extLst>
            <c:ext xmlns:c16="http://schemas.microsoft.com/office/drawing/2014/chart" uri="{C3380CC4-5D6E-409C-BE32-E72D297353CC}">
              <c16:uniqueId val="{00000006-676D-44BF-88FD-4A017FB347E2}"/>
            </c:ext>
          </c:extLst>
        </c:ser>
        <c:ser>
          <c:idx val="7"/>
          <c:order val="7"/>
          <c:tx>
            <c:strRef>
              <c:f>'Donnee_Congel_-30'!$I$1</c:f>
              <c:strCache>
                <c:ptCount val="1"/>
                <c:pt idx="0">
                  <c:v>Connecteur 8</c:v>
                </c:pt>
              </c:strCache>
            </c:strRef>
          </c:tx>
          <c:spPr>
            <a:ln w="19050" cap="rnd">
              <a:solidFill>
                <a:schemeClr val="accent2">
                  <a:lumMod val="60000"/>
                </a:schemeClr>
              </a:solidFill>
              <a:round/>
            </a:ln>
            <a:effectLst/>
          </c:spPr>
          <c:marker>
            <c:symbol val="none"/>
          </c:marker>
          <c:xVal>
            <c:numRef>
              <c:f>'Donnee_Congel_-30'!$A$2</c:f>
              <c:numCache>
                <c:formatCode>General</c:formatCode>
                <c:ptCount val="1"/>
              </c:numCache>
            </c:numRef>
          </c:xVal>
          <c:yVal>
            <c:numRef>
              <c:f>'Donnee_Congel_-30'!$I$2</c:f>
              <c:numCache>
                <c:formatCode>General</c:formatCode>
                <c:ptCount val="1"/>
              </c:numCache>
            </c:numRef>
          </c:yVal>
          <c:smooth val="0"/>
          <c:extLst>
            <c:ext xmlns:c16="http://schemas.microsoft.com/office/drawing/2014/chart" uri="{C3380CC4-5D6E-409C-BE32-E72D297353CC}">
              <c16:uniqueId val="{00000007-676D-44BF-88FD-4A017FB347E2}"/>
            </c:ext>
          </c:extLst>
        </c:ser>
        <c:ser>
          <c:idx val="8"/>
          <c:order val="8"/>
          <c:tx>
            <c:strRef>
              <c:f>'Donnee_Congel_-30'!$J$1</c:f>
              <c:strCache>
                <c:ptCount val="1"/>
                <c:pt idx="0">
                  <c:v>Connecteur 9</c:v>
                </c:pt>
              </c:strCache>
            </c:strRef>
          </c:tx>
          <c:spPr>
            <a:ln w="19050" cap="rnd">
              <a:solidFill>
                <a:schemeClr val="accent3">
                  <a:lumMod val="60000"/>
                </a:schemeClr>
              </a:solidFill>
              <a:round/>
            </a:ln>
            <a:effectLst/>
          </c:spPr>
          <c:marker>
            <c:symbol val="none"/>
          </c:marker>
          <c:xVal>
            <c:numRef>
              <c:f>'Donnee_Congel_-30'!$A$2</c:f>
              <c:numCache>
                <c:formatCode>General</c:formatCode>
                <c:ptCount val="1"/>
              </c:numCache>
            </c:numRef>
          </c:xVal>
          <c:yVal>
            <c:numRef>
              <c:f>'Donnee_Congel_-30'!$J$2</c:f>
              <c:numCache>
                <c:formatCode>General</c:formatCode>
                <c:ptCount val="1"/>
              </c:numCache>
            </c:numRef>
          </c:yVal>
          <c:smooth val="0"/>
          <c:extLst>
            <c:ext xmlns:c16="http://schemas.microsoft.com/office/drawing/2014/chart" uri="{C3380CC4-5D6E-409C-BE32-E72D297353CC}">
              <c16:uniqueId val="{00000008-676D-44BF-88FD-4A017FB347E2}"/>
            </c:ext>
          </c:extLst>
        </c:ser>
        <c:ser>
          <c:idx val="9"/>
          <c:order val="9"/>
          <c:tx>
            <c:strRef>
              <c:f>'Donnee_Congel_-30'!$K$1</c:f>
              <c:strCache>
                <c:ptCount val="1"/>
                <c:pt idx="0">
                  <c:v>Connecteur 10</c:v>
                </c:pt>
              </c:strCache>
            </c:strRef>
          </c:tx>
          <c:spPr>
            <a:ln w="19050" cap="rnd">
              <a:solidFill>
                <a:schemeClr val="accent4">
                  <a:lumMod val="60000"/>
                </a:schemeClr>
              </a:solidFill>
              <a:round/>
            </a:ln>
            <a:effectLst/>
          </c:spPr>
          <c:marker>
            <c:symbol val="none"/>
          </c:marker>
          <c:xVal>
            <c:numRef>
              <c:f>'Donnee_Congel_-30'!$A$2</c:f>
              <c:numCache>
                <c:formatCode>General</c:formatCode>
                <c:ptCount val="1"/>
              </c:numCache>
            </c:numRef>
          </c:xVal>
          <c:yVal>
            <c:numRef>
              <c:f>'Donnee_Congel_-30'!$K$2</c:f>
              <c:numCache>
                <c:formatCode>General</c:formatCode>
                <c:ptCount val="1"/>
              </c:numCache>
            </c:numRef>
          </c:yVal>
          <c:smooth val="0"/>
          <c:extLst>
            <c:ext xmlns:c16="http://schemas.microsoft.com/office/drawing/2014/chart" uri="{C3380CC4-5D6E-409C-BE32-E72D297353CC}">
              <c16:uniqueId val="{00000009-676D-44BF-88FD-4A017FB347E2}"/>
            </c:ext>
          </c:extLst>
        </c:ser>
        <c:ser>
          <c:idx val="10"/>
          <c:order val="10"/>
          <c:tx>
            <c:strRef>
              <c:f>'Donnee_Congel_-30'!$L$1</c:f>
              <c:strCache>
                <c:ptCount val="1"/>
                <c:pt idx="0">
                  <c:v>Connecteur 11</c:v>
                </c:pt>
              </c:strCache>
            </c:strRef>
          </c:tx>
          <c:spPr>
            <a:ln w="19050" cap="rnd">
              <a:solidFill>
                <a:schemeClr val="accent5">
                  <a:lumMod val="60000"/>
                </a:schemeClr>
              </a:solidFill>
              <a:round/>
            </a:ln>
            <a:effectLst/>
          </c:spPr>
          <c:marker>
            <c:symbol val="none"/>
          </c:marker>
          <c:xVal>
            <c:numRef>
              <c:f>'Donnee_Congel_-30'!$A$2</c:f>
              <c:numCache>
                <c:formatCode>General</c:formatCode>
                <c:ptCount val="1"/>
              </c:numCache>
            </c:numRef>
          </c:xVal>
          <c:yVal>
            <c:numRef>
              <c:f>'Donnee_Congel_-30'!$L$2</c:f>
              <c:numCache>
                <c:formatCode>General</c:formatCode>
                <c:ptCount val="1"/>
              </c:numCache>
            </c:numRef>
          </c:yVal>
          <c:smooth val="0"/>
          <c:extLst>
            <c:ext xmlns:c16="http://schemas.microsoft.com/office/drawing/2014/chart" uri="{C3380CC4-5D6E-409C-BE32-E72D297353CC}">
              <c16:uniqueId val="{0000000A-676D-44BF-88FD-4A017FB347E2}"/>
            </c:ext>
          </c:extLst>
        </c:ser>
        <c:ser>
          <c:idx val="11"/>
          <c:order val="11"/>
          <c:tx>
            <c:strRef>
              <c:f>'Donnee_Congel_-30'!$M$1</c:f>
              <c:strCache>
                <c:ptCount val="1"/>
                <c:pt idx="0">
                  <c:v>Connecteur 12</c:v>
                </c:pt>
              </c:strCache>
            </c:strRef>
          </c:tx>
          <c:spPr>
            <a:ln w="19050" cap="rnd">
              <a:solidFill>
                <a:schemeClr val="accent6">
                  <a:lumMod val="60000"/>
                </a:schemeClr>
              </a:solidFill>
              <a:round/>
            </a:ln>
            <a:effectLst/>
          </c:spPr>
          <c:marker>
            <c:symbol val="none"/>
          </c:marker>
          <c:xVal>
            <c:numRef>
              <c:f>'Donnee_Congel_-30'!$A$2</c:f>
              <c:numCache>
                <c:formatCode>General</c:formatCode>
                <c:ptCount val="1"/>
              </c:numCache>
            </c:numRef>
          </c:xVal>
          <c:yVal>
            <c:numRef>
              <c:f>'Donnee_Congel_-30'!$M$2</c:f>
              <c:numCache>
                <c:formatCode>General</c:formatCode>
                <c:ptCount val="1"/>
              </c:numCache>
            </c:numRef>
          </c:yVal>
          <c:smooth val="0"/>
          <c:extLst>
            <c:ext xmlns:c16="http://schemas.microsoft.com/office/drawing/2014/chart" uri="{C3380CC4-5D6E-409C-BE32-E72D297353CC}">
              <c16:uniqueId val="{0000000B-676D-44BF-88FD-4A017FB347E2}"/>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à 60°C</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Donnee_Omia_60!$B$1</c:f>
              <c:strCache>
                <c:ptCount val="1"/>
                <c:pt idx="0">
                  <c:v>Connecteur 1</c:v>
                </c:pt>
              </c:strCache>
            </c:strRef>
          </c:tx>
          <c:spPr>
            <a:ln w="19050" cap="rnd">
              <a:solidFill>
                <a:schemeClr val="accent1"/>
              </a:solidFill>
              <a:round/>
            </a:ln>
            <a:effectLst/>
          </c:spPr>
          <c:marker>
            <c:symbol val="none"/>
          </c:marker>
          <c:xVal>
            <c:numRef>
              <c:f>Donnee_Omia_60!$A$2</c:f>
              <c:numCache>
                <c:formatCode>General</c:formatCode>
                <c:ptCount val="1"/>
              </c:numCache>
            </c:numRef>
          </c:xVal>
          <c:yVal>
            <c:numRef>
              <c:f>Donnee_Omia_60!$B$2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Donnee_Omia_60!$C$1</c:f>
              <c:strCache>
                <c:ptCount val="1"/>
                <c:pt idx="0">
                  <c:v>Connecteur 2</c:v>
                </c:pt>
              </c:strCache>
            </c:strRef>
          </c:tx>
          <c:spPr>
            <a:ln w="19050" cap="rnd">
              <a:solidFill>
                <a:schemeClr val="accent2"/>
              </a:solidFill>
              <a:round/>
            </a:ln>
            <a:effectLst/>
          </c:spPr>
          <c:marker>
            <c:symbol val="none"/>
          </c:marker>
          <c:xVal>
            <c:numRef>
              <c:f>Donnee_Omia_60!$A$2</c:f>
              <c:numCache>
                <c:formatCode>General</c:formatCode>
                <c:ptCount val="1"/>
              </c:numCache>
            </c:numRef>
          </c:xVal>
          <c:yVal>
            <c:numRef>
              <c:f>Donnee_Omia_60!$C$2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Donnee_Omia_60!$D$1</c:f>
              <c:strCache>
                <c:ptCount val="1"/>
                <c:pt idx="0">
                  <c:v>Connecteur 3</c:v>
                </c:pt>
              </c:strCache>
            </c:strRef>
          </c:tx>
          <c:spPr>
            <a:ln w="19050" cap="rnd">
              <a:solidFill>
                <a:schemeClr val="accent3"/>
              </a:solidFill>
              <a:round/>
            </a:ln>
            <a:effectLst/>
          </c:spPr>
          <c:marker>
            <c:symbol val="none"/>
          </c:marker>
          <c:xVal>
            <c:numRef>
              <c:f>Donnee_Omia_60!$A$2</c:f>
              <c:numCache>
                <c:formatCode>General</c:formatCode>
                <c:ptCount val="1"/>
              </c:numCache>
            </c:numRef>
          </c:xVal>
          <c:yVal>
            <c:numRef>
              <c:f>Donnee_Omia_60!$D$2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Donnee_Omia_60!$E$1</c:f>
              <c:strCache>
                <c:ptCount val="1"/>
                <c:pt idx="0">
                  <c:v>Connecteur 4</c:v>
                </c:pt>
              </c:strCache>
            </c:strRef>
          </c:tx>
          <c:spPr>
            <a:ln w="19050" cap="rnd">
              <a:solidFill>
                <a:schemeClr val="accent4"/>
              </a:solidFill>
              <a:round/>
            </a:ln>
            <a:effectLst/>
          </c:spPr>
          <c:marker>
            <c:symbol val="none"/>
          </c:marker>
          <c:xVal>
            <c:numRef>
              <c:f>Donnee_Omia_60!$A$2</c:f>
              <c:numCache>
                <c:formatCode>General</c:formatCode>
                <c:ptCount val="1"/>
              </c:numCache>
            </c:numRef>
          </c:xVal>
          <c:yVal>
            <c:numRef>
              <c:f>Donnee_Omia_60!$E$2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Donnee_Omia_60!$F$1</c:f>
              <c:strCache>
                <c:ptCount val="1"/>
                <c:pt idx="0">
                  <c:v>Connecteur 5</c:v>
                </c:pt>
              </c:strCache>
            </c:strRef>
          </c:tx>
          <c:spPr>
            <a:ln w="19050" cap="rnd">
              <a:solidFill>
                <a:schemeClr val="accent5"/>
              </a:solidFill>
              <a:round/>
            </a:ln>
            <a:effectLst/>
          </c:spPr>
          <c:marker>
            <c:symbol val="none"/>
          </c:marker>
          <c:xVal>
            <c:numRef>
              <c:f>Donnee_Omia_60!$A$2</c:f>
              <c:numCache>
                <c:formatCode>General</c:formatCode>
                <c:ptCount val="1"/>
              </c:numCache>
            </c:numRef>
          </c:xVal>
          <c:yVal>
            <c:numRef>
              <c:f>Donnee_Omia_60!$F$2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Donnee_Omia_60!$G$1</c:f>
              <c:strCache>
                <c:ptCount val="1"/>
                <c:pt idx="0">
                  <c:v>Connecteur 6</c:v>
                </c:pt>
              </c:strCache>
            </c:strRef>
          </c:tx>
          <c:spPr>
            <a:ln w="19050" cap="rnd">
              <a:solidFill>
                <a:schemeClr val="accent6"/>
              </a:solidFill>
              <a:round/>
            </a:ln>
            <a:effectLst/>
          </c:spPr>
          <c:marker>
            <c:symbol val="none"/>
          </c:marker>
          <c:xVal>
            <c:numRef>
              <c:f>Donnee_Omia_60!$A$2</c:f>
              <c:numCache>
                <c:formatCode>General</c:formatCode>
                <c:ptCount val="1"/>
              </c:numCache>
            </c:numRef>
          </c:xVal>
          <c:yVal>
            <c:numRef>
              <c:f>Donnee_Omia_60!$G$2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Donnee_Omia_60!$H$1</c:f>
              <c:strCache>
                <c:ptCount val="1"/>
                <c:pt idx="0">
                  <c:v>Connecteur 7</c:v>
                </c:pt>
              </c:strCache>
            </c:strRef>
          </c:tx>
          <c:spPr>
            <a:ln w="19050" cap="rnd">
              <a:solidFill>
                <a:schemeClr val="accent1">
                  <a:lumMod val="60000"/>
                </a:schemeClr>
              </a:solidFill>
              <a:round/>
            </a:ln>
            <a:effectLst/>
          </c:spPr>
          <c:marker>
            <c:symbol val="none"/>
          </c:marker>
          <c:xVal>
            <c:numRef>
              <c:f>Donnee_Omia_60!$A$2</c:f>
              <c:numCache>
                <c:formatCode>General</c:formatCode>
                <c:ptCount val="1"/>
              </c:numCache>
            </c:numRef>
          </c:xVal>
          <c:yVal>
            <c:numRef>
              <c:f>Donnee_Omia_60!$H$2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Donnee_Omia_60!$I$1</c:f>
              <c:strCache>
                <c:ptCount val="1"/>
                <c:pt idx="0">
                  <c:v>Connecteur 8</c:v>
                </c:pt>
              </c:strCache>
            </c:strRef>
          </c:tx>
          <c:spPr>
            <a:ln w="19050" cap="rnd">
              <a:solidFill>
                <a:schemeClr val="accent2">
                  <a:lumMod val="60000"/>
                </a:schemeClr>
              </a:solidFill>
              <a:round/>
            </a:ln>
            <a:effectLst/>
          </c:spPr>
          <c:marker>
            <c:symbol val="none"/>
          </c:marker>
          <c:xVal>
            <c:numRef>
              <c:f>Donnee_Omia_60!$A$2</c:f>
              <c:numCache>
                <c:formatCode>General</c:formatCode>
                <c:ptCount val="1"/>
              </c:numCache>
            </c:numRef>
          </c:xVal>
          <c:yVal>
            <c:numRef>
              <c:f>Donnee_Omia_60!$I$2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Donnee_Omia_60!$J$1</c:f>
              <c:strCache>
                <c:ptCount val="1"/>
                <c:pt idx="0">
                  <c:v>Connecteur 9</c:v>
                </c:pt>
              </c:strCache>
            </c:strRef>
          </c:tx>
          <c:spPr>
            <a:ln w="19050" cap="rnd">
              <a:solidFill>
                <a:schemeClr val="accent3">
                  <a:lumMod val="60000"/>
                </a:schemeClr>
              </a:solidFill>
              <a:round/>
            </a:ln>
            <a:effectLst/>
          </c:spPr>
          <c:marker>
            <c:symbol val="none"/>
          </c:marker>
          <c:xVal>
            <c:numRef>
              <c:f>Donnee_Omia_60!$A$2</c:f>
              <c:numCache>
                <c:formatCode>General</c:formatCode>
                <c:ptCount val="1"/>
              </c:numCache>
            </c:numRef>
          </c:xVal>
          <c:yVal>
            <c:numRef>
              <c:f>Donnee_Omia_60!$J$2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Donnee_Omia_60!$K$1</c:f>
              <c:strCache>
                <c:ptCount val="1"/>
                <c:pt idx="0">
                  <c:v>Connecteur 10</c:v>
                </c:pt>
              </c:strCache>
            </c:strRef>
          </c:tx>
          <c:spPr>
            <a:ln w="19050" cap="rnd">
              <a:solidFill>
                <a:schemeClr val="accent4">
                  <a:lumMod val="60000"/>
                </a:schemeClr>
              </a:solidFill>
              <a:round/>
            </a:ln>
            <a:effectLst/>
          </c:spPr>
          <c:marker>
            <c:symbol val="none"/>
          </c:marker>
          <c:xVal>
            <c:numRef>
              <c:f>Donnee_Omia_60!$A$2</c:f>
              <c:numCache>
                <c:formatCode>General</c:formatCode>
                <c:ptCount val="1"/>
              </c:numCache>
            </c:numRef>
          </c:xVal>
          <c:yVal>
            <c:numRef>
              <c:f>Donnee_Omia_60!$K$2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Donnee_Omia_60!$L$1</c:f>
              <c:strCache>
                <c:ptCount val="1"/>
                <c:pt idx="0">
                  <c:v>Connecteur 11</c:v>
                </c:pt>
              </c:strCache>
            </c:strRef>
          </c:tx>
          <c:spPr>
            <a:ln w="19050" cap="rnd">
              <a:solidFill>
                <a:schemeClr val="accent5">
                  <a:lumMod val="60000"/>
                </a:schemeClr>
              </a:solidFill>
              <a:round/>
            </a:ln>
            <a:effectLst/>
          </c:spPr>
          <c:marker>
            <c:symbol val="none"/>
          </c:marker>
          <c:xVal>
            <c:numRef>
              <c:f>Donnee_Omia_60!$A$2</c:f>
              <c:numCache>
                <c:formatCode>General</c:formatCode>
                <c:ptCount val="1"/>
              </c:numCache>
            </c:numRef>
          </c:xVal>
          <c:yVal>
            <c:numRef>
              <c:f>Donnee_Omia_60!$L$2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Donnee_Omia_60!$M$1</c:f>
              <c:strCache>
                <c:ptCount val="1"/>
                <c:pt idx="0">
                  <c:v>Connecteur 12</c:v>
                </c:pt>
              </c:strCache>
            </c:strRef>
          </c:tx>
          <c:spPr>
            <a:ln w="19050" cap="rnd">
              <a:solidFill>
                <a:schemeClr val="accent6">
                  <a:lumMod val="60000"/>
                </a:schemeClr>
              </a:solidFill>
              <a:round/>
            </a:ln>
            <a:effectLst/>
          </c:spPr>
          <c:marker>
            <c:symbol val="none"/>
          </c:marker>
          <c:xVal>
            <c:numRef>
              <c:f>Donnee_Omia_60!$A$2</c:f>
              <c:numCache>
                <c:formatCode>General</c:formatCode>
                <c:ptCount val="1"/>
              </c:numCache>
            </c:numRef>
          </c:xVal>
          <c:yVal>
            <c:numRef>
              <c:f>Donnee_Omia_60!$M$2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Donnee_Omia_60!$N$1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Donnee_Omia_60!$A$2</c:f>
              <c:numCache>
                <c:formatCode>General</c:formatCode>
                <c:ptCount val="1"/>
              </c:numCache>
            </c:numRef>
          </c:xVal>
          <c:yVal>
            <c:numRef>
              <c:f>Donnee_Omia_60!$N$2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150°C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Donnee_Omia_150!$B$1</c:f>
              <c:strCache>
                <c:ptCount val="1"/>
                <c:pt idx="0">
                  <c:v>Connecteur 1</c:v>
                </c:pt>
              </c:strCache>
            </c:strRef>
          </c:tx>
          <c:spPr>
            <a:ln w="19050" cap="rnd">
              <a:solidFill>
                <a:schemeClr val="accent1"/>
              </a:solidFill>
              <a:round/>
            </a:ln>
            <a:effectLst/>
          </c:spPr>
          <c:marker>
            <c:symbol val="none"/>
          </c:marker>
          <c:xVal>
            <c:numRef>
              <c:f>Donnee_Omia_150!$A$2</c:f>
              <c:numCache>
                <c:formatCode>General</c:formatCode>
                <c:ptCount val="1"/>
              </c:numCache>
            </c:numRef>
          </c:xVal>
          <c:yVal>
            <c:numRef>
              <c:f>Donnee_Omia_150!$B$2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Donnee_Omia_150!$C$1</c:f>
              <c:strCache>
                <c:ptCount val="1"/>
                <c:pt idx="0">
                  <c:v>Connecteur 2</c:v>
                </c:pt>
              </c:strCache>
            </c:strRef>
          </c:tx>
          <c:spPr>
            <a:ln w="19050" cap="rnd">
              <a:solidFill>
                <a:schemeClr val="accent2"/>
              </a:solidFill>
              <a:round/>
            </a:ln>
            <a:effectLst/>
          </c:spPr>
          <c:marker>
            <c:symbol val="none"/>
          </c:marker>
          <c:xVal>
            <c:numRef>
              <c:f>Donnee_Omia_150!$A$2</c:f>
              <c:numCache>
                <c:formatCode>General</c:formatCode>
                <c:ptCount val="1"/>
              </c:numCache>
            </c:numRef>
          </c:xVal>
          <c:yVal>
            <c:numRef>
              <c:f>Donnee_Omia_150!$C$2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Donnee_Omia_150!$D$1</c:f>
              <c:strCache>
                <c:ptCount val="1"/>
                <c:pt idx="0">
                  <c:v>Connecteur 3</c:v>
                </c:pt>
              </c:strCache>
            </c:strRef>
          </c:tx>
          <c:spPr>
            <a:ln w="19050" cap="rnd">
              <a:solidFill>
                <a:schemeClr val="accent3"/>
              </a:solidFill>
              <a:round/>
            </a:ln>
            <a:effectLst/>
          </c:spPr>
          <c:marker>
            <c:symbol val="none"/>
          </c:marker>
          <c:xVal>
            <c:numRef>
              <c:f>Donnee_Omia_150!$A$2</c:f>
              <c:numCache>
                <c:formatCode>General</c:formatCode>
                <c:ptCount val="1"/>
              </c:numCache>
            </c:numRef>
          </c:xVal>
          <c:yVal>
            <c:numRef>
              <c:f>Donnee_Omia_150!$D$2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Donnee_Omia_150!$E$1</c:f>
              <c:strCache>
                <c:ptCount val="1"/>
                <c:pt idx="0">
                  <c:v>Connecteur 4</c:v>
                </c:pt>
              </c:strCache>
            </c:strRef>
          </c:tx>
          <c:spPr>
            <a:ln w="19050" cap="rnd">
              <a:solidFill>
                <a:schemeClr val="accent4"/>
              </a:solidFill>
              <a:round/>
            </a:ln>
            <a:effectLst/>
          </c:spPr>
          <c:marker>
            <c:symbol val="none"/>
          </c:marker>
          <c:xVal>
            <c:numRef>
              <c:f>Donnee_Omia_150!$A$2</c:f>
              <c:numCache>
                <c:formatCode>General</c:formatCode>
                <c:ptCount val="1"/>
              </c:numCache>
            </c:numRef>
          </c:xVal>
          <c:yVal>
            <c:numRef>
              <c:f>Donnee_Omia_150!$E$2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Donnee_Omia_150!$F$1</c:f>
              <c:strCache>
                <c:ptCount val="1"/>
                <c:pt idx="0">
                  <c:v>Connecteur 5</c:v>
                </c:pt>
              </c:strCache>
            </c:strRef>
          </c:tx>
          <c:spPr>
            <a:ln w="19050" cap="rnd">
              <a:solidFill>
                <a:schemeClr val="accent5"/>
              </a:solidFill>
              <a:round/>
            </a:ln>
            <a:effectLst/>
          </c:spPr>
          <c:marker>
            <c:symbol val="none"/>
          </c:marker>
          <c:xVal>
            <c:numRef>
              <c:f>Donnee_Omia_150!$A$2</c:f>
              <c:numCache>
                <c:formatCode>General</c:formatCode>
                <c:ptCount val="1"/>
              </c:numCache>
            </c:numRef>
          </c:xVal>
          <c:yVal>
            <c:numRef>
              <c:f>Donnee_Omia_150!$F$2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Donnee_Omia_150!$G$1</c:f>
              <c:strCache>
                <c:ptCount val="1"/>
                <c:pt idx="0">
                  <c:v>Connecteur 6</c:v>
                </c:pt>
              </c:strCache>
            </c:strRef>
          </c:tx>
          <c:spPr>
            <a:ln w="19050" cap="rnd">
              <a:solidFill>
                <a:schemeClr val="accent6"/>
              </a:solidFill>
              <a:round/>
            </a:ln>
            <a:effectLst/>
          </c:spPr>
          <c:marker>
            <c:symbol val="none"/>
          </c:marker>
          <c:xVal>
            <c:numRef>
              <c:f>Donnee_Omia_150!$A$2</c:f>
              <c:numCache>
                <c:formatCode>General</c:formatCode>
                <c:ptCount val="1"/>
              </c:numCache>
            </c:numRef>
          </c:xVal>
          <c:yVal>
            <c:numRef>
              <c:f>Donnee_Omia_150!$G$2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Donnee_Omia_150!$H$1</c:f>
              <c:strCache>
                <c:ptCount val="1"/>
                <c:pt idx="0">
                  <c:v>Connecteur 7</c:v>
                </c:pt>
              </c:strCache>
            </c:strRef>
          </c:tx>
          <c:spPr>
            <a:ln w="19050" cap="rnd">
              <a:solidFill>
                <a:schemeClr val="accent1">
                  <a:lumMod val="60000"/>
                </a:schemeClr>
              </a:solidFill>
              <a:round/>
            </a:ln>
            <a:effectLst/>
          </c:spPr>
          <c:marker>
            <c:symbol val="none"/>
          </c:marker>
          <c:xVal>
            <c:numRef>
              <c:f>Donnee_Omia_150!$A$2</c:f>
              <c:numCache>
                <c:formatCode>General</c:formatCode>
                <c:ptCount val="1"/>
              </c:numCache>
            </c:numRef>
          </c:xVal>
          <c:yVal>
            <c:numRef>
              <c:f>Donnee_Omia_150!$H$2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Donnee_Omia_150!$I$1</c:f>
              <c:strCache>
                <c:ptCount val="1"/>
                <c:pt idx="0">
                  <c:v>Connecteur 8</c:v>
                </c:pt>
              </c:strCache>
            </c:strRef>
          </c:tx>
          <c:spPr>
            <a:ln w="19050" cap="rnd">
              <a:solidFill>
                <a:schemeClr val="accent2">
                  <a:lumMod val="60000"/>
                </a:schemeClr>
              </a:solidFill>
              <a:round/>
            </a:ln>
            <a:effectLst/>
          </c:spPr>
          <c:marker>
            <c:symbol val="none"/>
          </c:marker>
          <c:xVal>
            <c:numRef>
              <c:f>Donnee_Omia_150!$A$2</c:f>
              <c:numCache>
                <c:formatCode>General</c:formatCode>
                <c:ptCount val="1"/>
              </c:numCache>
            </c:numRef>
          </c:xVal>
          <c:yVal>
            <c:numRef>
              <c:f>Donnee_Omia_150!$I$2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Donnee_Omia_150!$J$1</c:f>
              <c:strCache>
                <c:ptCount val="1"/>
                <c:pt idx="0">
                  <c:v>Connecteur 9</c:v>
                </c:pt>
              </c:strCache>
            </c:strRef>
          </c:tx>
          <c:spPr>
            <a:ln w="19050" cap="rnd">
              <a:solidFill>
                <a:schemeClr val="accent3">
                  <a:lumMod val="60000"/>
                </a:schemeClr>
              </a:solidFill>
              <a:round/>
            </a:ln>
            <a:effectLst/>
          </c:spPr>
          <c:marker>
            <c:symbol val="none"/>
          </c:marker>
          <c:xVal>
            <c:numRef>
              <c:f>Donnee_Omia_150!$A$2</c:f>
              <c:numCache>
                <c:formatCode>General</c:formatCode>
                <c:ptCount val="1"/>
              </c:numCache>
            </c:numRef>
          </c:xVal>
          <c:yVal>
            <c:numRef>
              <c:f>Donnee_Omia_150!$J$2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Donnee_Omia_150!$K$1</c:f>
              <c:strCache>
                <c:ptCount val="1"/>
                <c:pt idx="0">
                  <c:v>Connecteur 10</c:v>
                </c:pt>
              </c:strCache>
            </c:strRef>
          </c:tx>
          <c:spPr>
            <a:ln w="19050" cap="rnd">
              <a:solidFill>
                <a:schemeClr val="accent4">
                  <a:lumMod val="60000"/>
                </a:schemeClr>
              </a:solidFill>
              <a:round/>
            </a:ln>
            <a:effectLst/>
          </c:spPr>
          <c:marker>
            <c:symbol val="none"/>
          </c:marker>
          <c:xVal>
            <c:numRef>
              <c:f>Donnee_Omia_150!$A$2</c:f>
              <c:numCache>
                <c:formatCode>General</c:formatCode>
                <c:ptCount val="1"/>
              </c:numCache>
            </c:numRef>
          </c:xVal>
          <c:yVal>
            <c:numRef>
              <c:f>Donnee_Omia_150!$K$2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Donnee_Omia_150!$L$1</c:f>
              <c:strCache>
                <c:ptCount val="1"/>
                <c:pt idx="0">
                  <c:v>Connecteur 11</c:v>
                </c:pt>
              </c:strCache>
            </c:strRef>
          </c:tx>
          <c:spPr>
            <a:ln w="19050" cap="rnd">
              <a:solidFill>
                <a:schemeClr val="accent5">
                  <a:lumMod val="60000"/>
                </a:schemeClr>
              </a:solidFill>
              <a:round/>
            </a:ln>
            <a:effectLst/>
          </c:spPr>
          <c:marker>
            <c:symbol val="none"/>
          </c:marker>
          <c:xVal>
            <c:numRef>
              <c:f>Donnee_Omia_150!$A$2</c:f>
              <c:numCache>
                <c:formatCode>General</c:formatCode>
                <c:ptCount val="1"/>
              </c:numCache>
            </c:numRef>
          </c:xVal>
          <c:yVal>
            <c:numRef>
              <c:f>Donnee_Omia_150!$L$2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Donnee_Omia_150!$M$1</c:f>
              <c:strCache>
                <c:ptCount val="1"/>
                <c:pt idx="0">
                  <c:v>Connecteur 12</c:v>
                </c:pt>
              </c:strCache>
            </c:strRef>
          </c:tx>
          <c:spPr>
            <a:ln w="19050" cap="rnd">
              <a:solidFill>
                <a:schemeClr val="accent6">
                  <a:lumMod val="60000"/>
                </a:schemeClr>
              </a:solidFill>
              <a:round/>
            </a:ln>
            <a:effectLst/>
          </c:spPr>
          <c:marker>
            <c:symbol val="none"/>
          </c:marker>
          <c:xVal>
            <c:numRef>
              <c:f>Donnee_Omia_150!$A$2</c:f>
              <c:numCache>
                <c:formatCode>General</c:formatCode>
                <c:ptCount val="1"/>
              </c:numCache>
            </c:numRef>
          </c:xVal>
          <c:yVal>
            <c:numRef>
              <c:f>Donnee_Omia_150!$M$2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Donnee_Omia_150!$N$1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Donnee_Omia_150!$A$2</c:f>
              <c:numCache>
                <c:formatCode>General</c:formatCode>
                <c:ptCount val="1"/>
              </c:numCache>
            </c:numRef>
          </c:xVal>
          <c:yVal>
            <c:numRef>
              <c:f>Donnee_Omia_150!$N$2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à 190°C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Donnee_Omia_190!$B$1</c:f>
              <c:strCache>
                <c:ptCount val="1"/>
                <c:pt idx="0">
                  <c:v>Connecteur 1</c:v>
                </c:pt>
              </c:strCache>
            </c:strRef>
          </c:tx>
          <c:spPr>
            <a:ln w="19050" cap="rnd">
              <a:solidFill>
                <a:schemeClr val="accent1"/>
              </a:solidFill>
              <a:round/>
            </a:ln>
            <a:effectLst/>
          </c:spPr>
          <c:marker>
            <c:symbol val="none"/>
          </c:marker>
          <c:xVal>
            <c:numRef>
              <c:f>Donnee_Omia_190!$A$2</c:f>
              <c:numCache>
                <c:formatCode>General</c:formatCode>
                <c:ptCount val="1"/>
              </c:numCache>
            </c:numRef>
          </c:xVal>
          <c:yVal>
            <c:numRef>
              <c:f>Donnee_Omia_190!$B$2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Donnee_Omia_190!$C$1</c:f>
              <c:strCache>
                <c:ptCount val="1"/>
                <c:pt idx="0">
                  <c:v>Connecteur 2</c:v>
                </c:pt>
              </c:strCache>
            </c:strRef>
          </c:tx>
          <c:spPr>
            <a:ln w="19050" cap="rnd">
              <a:solidFill>
                <a:schemeClr val="accent2"/>
              </a:solidFill>
              <a:round/>
            </a:ln>
            <a:effectLst/>
          </c:spPr>
          <c:marker>
            <c:symbol val="none"/>
          </c:marker>
          <c:xVal>
            <c:numRef>
              <c:f>Donnee_Omia_190!$A$2</c:f>
              <c:numCache>
                <c:formatCode>General</c:formatCode>
                <c:ptCount val="1"/>
              </c:numCache>
            </c:numRef>
          </c:xVal>
          <c:yVal>
            <c:numRef>
              <c:f>Donnee_Omia_190!$C$2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Donnee_Omia_190!$D$1</c:f>
              <c:strCache>
                <c:ptCount val="1"/>
                <c:pt idx="0">
                  <c:v>Connecteur 3</c:v>
                </c:pt>
              </c:strCache>
            </c:strRef>
          </c:tx>
          <c:spPr>
            <a:ln w="19050" cap="rnd">
              <a:solidFill>
                <a:schemeClr val="accent3"/>
              </a:solidFill>
              <a:round/>
            </a:ln>
            <a:effectLst/>
          </c:spPr>
          <c:marker>
            <c:symbol val="none"/>
          </c:marker>
          <c:xVal>
            <c:numRef>
              <c:f>Donnee_Omia_190!$A$2</c:f>
              <c:numCache>
                <c:formatCode>General</c:formatCode>
                <c:ptCount val="1"/>
              </c:numCache>
            </c:numRef>
          </c:xVal>
          <c:yVal>
            <c:numRef>
              <c:f>Donnee_Omia_190!$D$2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Donnee_Omia_190!$E$1</c:f>
              <c:strCache>
                <c:ptCount val="1"/>
                <c:pt idx="0">
                  <c:v>Connecteur 4</c:v>
                </c:pt>
              </c:strCache>
            </c:strRef>
          </c:tx>
          <c:spPr>
            <a:ln w="19050" cap="rnd">
              <a:solidFill>
                <a:schemeClr val="accent4"/>
              </a:solidFill>
              <a:round/>
            </a:ln>
            <a:effectLst/>
          </c:spPr>
          <c:marker>
            <c:symbol val="none"/>
          </c:marker>
          <c:xVal>
            <c:numRef>
              <c:f>Donnee_Omia_190!$A$2</c:f>
              <c:numCache>
                <c:formatCode>General</c:formatCode>
                <c:ptCount val="1"/>
              </c:numCache>
            </c:numRef>
          </c:xVal>
          <c:yVal>
            <c:numRef>
              <c:f>Donnee_Omia_190!$E$2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Donnee_Omia_190!$F$1</c:f>
              <c:strCache>
                <c:ptCount val="1"/>
                <c:pt idx="0">
                  <c:v>Connecteur 5</c:v>
                </c:pt>
              </c:strCache>
            </c:strRef>
          </c:tx>
          <c:spPr>
            <a:ln w="19050" cap="rnd">
              <a:solidFill>
                <a:schemeClr val="accent5"/>
              </a:solidFill>
              <a:round/>
            </a:ln>
            <a:effectLst/>
          </c:spPr>
          <c:marker>
            <c:symbol val="none"/>
          </c:marker>
          <c:xVal>
            <c:numRef>
              <c:f>Donnee_Omia_190!$A$2</c:f>
              <c:numCache>
                <c:formatCode>General</c:formatCode>
                <c:ptCount val="1"/>
              </c:numCache>
            </c:numRef>
          </c:xVal>
          <c:yVal>
            <c:numRef>
              <c:f>Donnee_Omia_190!$F$2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Donnee_Omia_190!$G$1</c:f>
              <c:strCache>
                <c:ptCount val="1"/>
                <c:pt idx="0">
                  <c:v>Connecteur 6</c:v>
                </c:pt>
              </c:strCache>
            </c:strRef>
          </c:tx>
          <c:spPr>
            <a:ln w="19050" cap="rnd">
              <a:solidFill>
                <a:schemeClr val="accent6"/>
              </a:solidFill>
              <a:round/>
            </a:ln>
            <a:effectLst/>
          </c:spPr>
          <c:marker>
            <c:symbol val="none"/>
          </c:marker>
          <c:xVal>
            <c:numRef>
              <c:f>Donnee_Omia_190!$A$2</c:f>
              <c:numCache>
                <c:formatCode>General</c:formatCode>
                <c:ptCount val="1"/>
              </c:numCache>
            </c:numRef>
          </c:xVal>
          <c:yVal>
            <c:numRef>
              <c:f>Donnee_Omia_190!$G$2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Donnee_Omia_190!$H$1</c:f>
              <c:strCache>
                <c:ptCount val="1"/>
                <c:pt idx="0">
                  <c:v>Connecteur 7</c:v>
                </c:pt>
              </c:strCache>
            </c:strRef>
          </c:tx>
          <c:spPr>
            <a:ln w="19050" cap="rnd">
              <a:solidFill>
                <a:schemeClr val="accent1">
                  <a:lumMod val="60000"/>
                </a:schemeClr>
              </a:solidFill>
              <a:round/>
            </a:ln>
            <a:effectLst/>
          </c:spPr>
          <c:marker>
            <c:symbol val="none"/>
          </c:marker>
          <c:xVal>
            <c:numRef>
              <c:f>Donnee_Omia_190!$A$2</c:f>
              <c:numCache>
                <c:formatCode>General</c:formatCode>
                <c:ptCount val="1"/>
              </c:numCache>
            </c:numRef>
          </c:xVal>
          <c:yVal>
            <c:numRef>
              <c:f>Donnee_Omia_190!$H$2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Donnee_Omia_190!$I$1</c:f>
              <c:strCache>
                <c:ptCount val="1"/>
                <c:pt idx="0">
                  <c:v>Connecteur 8</c:v>
                </c:pt>
              </c:strCache>
            </c:strRef>
          </c:tx>
          <c:spPr>
            <a:ln w="19050" cap="rnd">
              <a:solidFill>
                <a:schemeClr val="accent2">
                  <a:lumMod val="60000"/>
                </a:schemeClr>
              </a:solidFill>
              <a:round/>
            </a:ln>
            <a:effectLst/>
          </c:spPr>
          <c:marker>
            <c:symbol val="none"/>
          </c:marker>
          <c:xVal>
            <c:numRef>
              <c:f>Donnee_Omia_190!$A$2</c:f>
              <c:numCache>
                <c:formatCode>General</c:formatCode>
                <c:ptCount val="1"/>
              </c:numCache>
            </c:numRef>
          </c:xVal>
          <c:yVal>
            <c:numRef>
              <c:f>Donnee_Omia_190!$I$2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Donnee_Omia_190!$J$1</c:f>
              <c:strCache>
                <c:ptCount val="1"/>
                <c:pt idx="0">
                  <c:v>Connecteur 9</c:v>
                </c:pt>
              </c:strCache>
            </c:strRef>
          </c:tx>
          <c:spPr>
            <a:ln w="19050" cap="rnd">
              <a:solidFill>
                <a:schemeClr val="accent3">
                  <a:lumMod val="60000"/>
                </a:schemeClr>
              </a:solidFill>
              <a:round/>
            </a:ln>
            <a:effectLst/>
          </c:spPr>
          <c:marker>
            <c:symbol val="none"/>
          </c:marker>
          <c:xVal>
            <c:numRef>
              <c:f>Donnee_Omia_190!$A$2</c:f>
              <c:numCache>
                <c:formatCode>General</c:formatCode>
                <c:ptCount val="1"/>
              </c:numCache>
            </c:numRef>
          </c:xVal>
          <c:yVal>
            <c:numRef>
              <c:f>Donnee_Omia_190!$J$2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Donnee_Omia_190!$K$1</c:f>
              <c:strCache>
                <c:ptCount val="1"/>
                <c:pt idx="0">
                  <c:v>Connecteur 10</c:v>
                </c:pt>
              </c:strCache>
            </c:strRef>
          </c:tx>
          <c:spPr>
            <a:ln w="19050" cap="rnd">
              <a:solidFill>
                <a:schemeClr val="accent4">
                  <a:lumMod val="60000"/>
                </a:schemeClr>
              </a:solidFill>
              <a:round/>
            </a:ln>
            <a:effectLst/>
          </c:spPr>
          <c:marker>
            <c:symbol val="none"/>
          </c:marker>
          <c:xVal>
            <c:numRef>
              <c:f>Donnee_Omia_190!$A$2</c:f>
              <c:numCache>
                <c:formatCode>General</c:formatCode>
                <c:ptCount val="1"/>
              </c:numCache>
            </c:numRef>
          </c:xVal>
          <c:yVal>
            <c:numRef>
              <c:f>Donnee_Omia_190!$K$2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Donnee_Omia_190!$L$1</c:f>
              <c:strCache>
                <c:ptCount val="1"/>
                <c:pt idx="0">
                  <c:v>Connecteur 11</c:v>
                </c:pt>
              </c:strCache>
            </c:strRef>
          </c:tx>
          <c:spPr>
            <a:ln w="19050" cap="rnd">
              <a:solidFill>
                <a:schemeClr val="accent5">
                  <a:lumMod val="60000"/>
                </a:schemeClr>
              </a:solidFill>
              <a:round/>
            </a:ln>
            <a:effectLst/>
          </c:spPr>
          <c:marker>
            <c:symbol val="none"/>
          </c:marker>
          <c:xVal>
            <c:numRef>
              <c:f>Donnee_Omia_190!$A$2</c:f>
              <c:numCache>
                <c:formatCode>General</c:formatCode>
                <c:ptCount val="1"/>
              </c:numCache>
            </c:numRef>
          </c:xVal>
          <c:yVal>
            <c:numRef>
              <c:f>Donnee_Omia_190!$L$2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Donnee_Omia_190!$M$1</c:f>
              <c:strCache>
                <c:ptCount val="1"/>
                <c:pt idx="0">
                  <c:v>Connecteur 12</c:v>
                </c:pt>
              </c:strCache>
            </c:strRef>
          </c:tx>
          <c:spPr>
            <a:ln w="19050" cap="rnd">
              <a:solidFill>
                <a:schemeClr val="accent6">
                  <a:lumMod val="60000"/>
                </a:schemeClr>
              </a:solidFill>
              <a:round/>
            </a:ln>
            <a:effectLst/>
          </c:spPr>
          <c:marker>
            <c:symbol val="none"/>
          </c:marker>
          <c:xVal>
            <c:numRef>
              <c:f>Donnee_Omia_190!$A$2</c:f>
              <c:numCache>
                <c:formatCode>General</c:formatCode>
                <c:ptCount val="1"/>
              </c:numCache>
            </c:numRef>
          </c:xVal>
          <c:yVal>
            <c:numRef>
              <c:f>Donnee_Omia_190!$M$2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Donnee_Omia_190!$N$1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Donnee_Omia_190!$A$2</c:f>
              <c:numCache>
                <c:formatCode>General</c:formatCode>
                <c:ptCount val="1"/>
              </c:numCache>
            </c:numRef>
          </c:xVal>
          <c:yVal>
            <c:numRef>
              <c:f>Donnee_Omia_190!$N$2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à 60°C</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Donnee_Omia_60!$B$1</c:f>
              <c:strCache>
                <c:ptCount val="1"/>
                <c:pt idx="0">
                  <c:v>Connecteur 1</c:v>
                </c:pt>
              </c:strCache>
            </c:strRef>
          </c:tx>
          <c:spPr>
            <a:ln w="19050" cap="rnd">
              <a:solidFill>
                <a:schemeClr val="accent1"/>
              </a:solidFill>
              <a:round/>
            </a:ln>
            <a:effectLst/>
          </c:spPr>
          <c:marker>
            <c:symbol val="none"/>
          </c:marker>
          <c:xVal>
            <c:numRef>
              <c:f>Donnee_Omia_60!$A$2</c:f>
              <c:numCache>
                <c:formatCode>General</c:formatCode>
                <c:ptCount val="1"/>
              </c:numCache>
            </c:numRef>
          </c:xVal>
          <c:yVal>
            <c:numRef>
              <c:f>Donnee_Omia_60!$B$2</c:f>
              <c:numCache>
                <c:formatCode>General</c:formatCode>
                <c:ptCount val="1"/>
              </c:numCache>
            </c:numRef>
          </c:yVal>
          <c:smooth val="0"/>
          <c:extLst>
            <c:ext xmlns:c16="http://schemas.microsoft.com/office/drawing/2014/chart" uri="{C3380CC4-5D6E-409C-BE32-E72D297353CC}">
              <c16:uniqueId val="{00000000-B0B1-4087-B444-217C140CB1B7}"/>
            </c:ext>
          </c:extLst>
        </c:ser>
        <c:ser>
          <c:idx val="1"/>
          <c:order val="1"/>
          <c:tx>
            <c:strRef>
              <c:f>Donnee_Omia_60!$C$1</c:f>
              <c:strCache>
                <c:ptCount val="1"/>
                <c:pt idx="0">
                  <c:v>Connecteur 2</c:v>
                </c:pt>
              </c:strCache>
            </c:strRef>
          </c:tx>
          <c:spPr>
            <a:ln w="19050" cap="rnd">
              <a:solidFill>
                <a:schemeClr val="accent2"/>
              </a:solidFill>
              <a:round/>
            </a:ln>
            <a:effectLst/>
          </c:spPr>
          <c:marker>
            <c:symbol val="none"/>
          </c:marker>
          <c:xVal>
            <c:numRef>
              <c:f>Donnee_Omia_60!$A$2</c:f>
              <c:numCache>
                <c:formatCode>General</c:formatCode>
                <c:ptCount val="1"/>
              </c:numCache>
            </c:numRef>
          </c:xVal>
          <c:yVal>
            <c:numRef>
              <c:f>Donnee_Omia_60!$C$2</c:f>
              <c:numCache>
                <c:formatCode>General</c:formatCode>
                <c:ptCount val="1"/>
              </c:numCache>
            </c:numRef>
          </c:yVal>
          <c:smooth val="0"/>
          <c:extLst>
            <c:ext xmlns:c16="http://schemas.microsoft.com/office/drawing/2014/chart" uri="{C3380CC4-5D6E-409C-BE32-E72D297353CC}">
              <c16:uniqueId val="{00000001-B0B1-4087-B444-217C140CB1B7}"/>
            </c:ext>
          </c:extLst>
        </c:ser>
        <c:ser>
          <c:idx val="2"/>
          <c:order val="2"/>
          <c:tx>
            <c:strRef>
              <c:f>Donnee_Omia_60!$D$1</c:f>
              <c:strCache>
                <c:ptCount val="1"/>
                <c:pt idx="0">
                  <c:v>Connecteur 3</c:v>
                </c:pt>
              </c:strCache>
            </c:strRef>
          </c:tx>
          <c:spPr>
            <a:ln w="19050" cap="rnd">
              <a:solidFill>
                <a:schemeClr val="accent3"/>
              </a:solidFill>
              <a:round/>
            </a:ln>
            <a:effectLst/>
          </c:spPr>
          <c:marker>
            <c:symbol val="none"/>
          </c:marker>
          <c:xVal>
            <c:numRef>
              <c:f>Donnee_Omia_60!$A$2</c:f>
              <c:numCache>
                <c:formatCode>General</c:formatCode>
                <c:ptCount val="1"/>
              </c:numCache>
            </c:numRef>
          </c:xVal>
          <c:yVal>
            <c:numRef>
              <c:f>Donnee_Omia_60!$D$2</c:f>
              <c:numCache>
                <c:formatCode>General</c:formatCode>
                <c:ptCount val="1"/>
              </c:numCache>
            </c:numRef>
          </c:yVal>
          <c:smooth val="0"/>
          <c:extLst>
            <c:ext xmlns:c16="http://schemas.microsoft.com/office/drawing/2014/chart" uri="{C3380CC4-5D6E-409C-BE32-E72D297353CC}">
              <c16:uniqueId val="{00000002-B0B1-4087-B444-217C140CB1B7}"/>
            </c:ext>
          </c:extLst>
        </c:ser>
        <c:ser>
          <c:idx val="3"/>
          <c:order val="3"/>
          <c:tx>
            <c:strRef>
              <c:f>Donnee_Omia_60!$E$1</c:f>
              <c:strCache>
                <c:ptCount val="1"/>
                <c:pt idx="0">
                  <c:v>Connecteur 4</c:v>
                </c:pt>
              </c:strCache>
            </c:strRef>
          </c:tx>
          <c:spPr>
            <a:ln w="19050" cap="rnd">
              <a:solidFill>
                <a:schemeClr val="accent4"/>
              </a:solidFill>
              <a:round/>
            </a:ln>
            <a:effectLst/>
          </c:spPr>
          <c:marker>
            <c:symbol val="none"/>
          </c:marker>
          <c:xVal>
            <c:numRef>
              <c:f>Donnee_Omia_60!$A$2</c:f>
              <c:numCache>
                <c:formatCode>General</c:formatCode>
                <c:ptCount val="1"/>
              </c:numCache>
            </c:numRef>
          </c:xVal>
          <c:yVal>
            <c:numRef>
              <c:f>Donnee_Omia_60!$E$2</c:f>
              <c:numCache>
                <c:formatCode>General</c:formatCode>
                <c:ptCount val="1"/>
              </c:numCache>
            </c:numRef>
          </c:yVal>
          <c:smooth val="0"/>
          <c:extLst>
            <c:ext xmlns:c16="http://schemas.microsoft.com/office/drawing/2014/chart" uri="{C3380CC4-5D6E-409C-BE32-E72D297353CC}">
              <c16:uniqueId val="{00000003-B0B1-4087-B444-217C140CB1B7}"/>
            </c:ext>
          </c:extLst>
        </c:ser>
        <c:ser>
          <c:idx val="4"/>
          <c:order val="4"/>
          <c:tx>
            <c:strRef>
              <c:f>Donnee_Omia_60!$F$1</c:f>
              <c:strCache>
                <c:ptCount val="1"/>
                <c:pt idx="0">
                  <c:v>Connecteur 5</c:v>
                </c:pt>
              </c:strCache>
            </c:strRef>
          </c:tx>
          <c:spPr>
            <a:ln w="19050" cap="rnd">
              <a:solidFill>
                <a:schemeClr val="accent5"/>
              </a:solidFill>
              <a:round/>
            </a:ln>
            <a:effectLst/>
          </c:spPr>
          <c:marker>
            <c:symbol val="none"/>
          </c:marker>
          <c:xVal>
            <c:numRef>
              <c:f>Donnee_Omia_60!$A$2</c:f>
              <c:numCache>
                <c:formatCode>General</c:formatCode>
                <c:ptCount val="1"/>
              </c:numCache>
            </c:numRef>
          </c:xVal>
          <c:yVal>
            <c:numRef>
              <c:f>Donnee_Omia_60!$F$2</c:f>
              <c:numCache>
                <c:formatCode>General</c:formatCode>
                <c:ptCount val="1"/>
              </c:numCache>
            </c:numRef>
          </c:yVal>
          <c:smooth val="0"/>
          <c:extLst>
            <c:ext xmlns:c16="http://schemas.microsoft.com/office/drawing/2014/chart" uri="{C3380CC4-5D6E-409C-BE32-E72D297353CC}">
              <c16:uniqueId val="{00000004-B0B1-4087-B444-217C140CB1B7}"/>
            </c:ext>
          </c:extLst>
        </c:ser>
        <c:ser>
          <c:idx val="5"/>
          <c:order val="5"/>
          <c:tx>
            <c:strRef>
              <c:f>Donnee_Omia_60!$G$1</c:f>
              <c:strCache>
                <c:ptCount val="1"/>
                <c:pt idx="0">
                  <c:v>Connecteur 6</c:v>
                </c:pt>
              </c:strCache>
            </c:strRef>
          </c:tx>
          <c:spPr>
            <a:ln w="19050" cap="rnd">
              <a:solidFill>
                <a:schemeClr val="accent6"/>
              </a:solidFill>
              <a:round/>
            </a:ln>
            <a:effectLst/>
          </c:spPr>
          <c:marker>
            <c:symbol val="none"/>
          </c:marker>
          <c:xVal>
            <c:numRef>
              <c:f>Donnee_Omia_60!$A$2</c:f>
              <c:numCache>
                <c:formatCode>General</c:formatCode>
                <c:ptCount val="1"/>
              </c:numCache>
            </c:numRef>
          </c:xVal>
          <c:yVal>
            <c:numRef>
              <c:f>Donnee_Omia_60!$G$2</c:f>
              <c:numCache>
                <c:formatCode>General</c:formatCode>
                <c:ptCount val="1"/>
              </c:numCache>
            </c:numRef>
          </c:yVal>
          <c:smooth val="0"/>
          <c:extLst>
            <c:ext xmlns:c16="http://schemas.microsoft.com/office/drawing/2014/chart" uri="{C3380CC4-5D6E-409C-BE32-E72D297353CC}">
              <c16:uniqueId val="{00000005-B0B1-4087-B444-217C140CB1B7}"/>
            </c:ext>
          </c:extLst>
        </c:ser>
        <c:ser>
          <c:idx val="6"/>
          <c:order val="6"/>
          <c:tx>
            <c:strRef>
              <c:f>Donnee_Omia_60!$H$1</c:f>
              <c:strCache>
                <c:ptCount val="1"/>
                <c:pt idx="0">
                  <c:v>Connecteur 7</c:v>
                </c:pt>
              </c:strCache>
            </c:strRef>
          </c:tx>
          <c:spPr>
            <a:ln w="19050" cap="rnd">
              <a:solidFill>
                <a:schemeClr val="accent1">
                  <a:lumMod val="60000"/>
                </a:schemeClr>
              </a:solidFill>
              <a:round/>
            </a:ln>
            <a:effectLst/>
          </c:spPr>
          <c:marker>
            <c:symbol val="none"/>
          </c:marker>
          <c:xVal>
            <c:numRef>
              <c:f>Donnee_Omia_60!$A$2</c:f>
              <c:numCache>
                <c:formatCode>General</c:formatCode>
                <c:ptCount val="1"/>
              </c:numCache>
            </c:numRef>
          </c:xVal>
          <c:yVal>
            <c:numRef>
              <c:f>Donnee_Omia_60!$H$2</c:f>
              <c:numCache>
                <c:formatCode>General</c:formatCode>
                <c:ptCount val="1"/>
              </c:numCache>
            </c:numRef>
          </c:yVal>
          <c:smooth val="0"/>
          <c:extLst>
            <c:ext xmlns:c16="http://schemas.microsoft.com/office/drawing/2014/chart" uri="{C3380CC4-5D6E-409C-BE32-E72D297353CC}">
              <c16:uniqueId val="{00000006-B0B1-4087-B444-217C140CB1B7}"/>
            </c:ext>
          </c:extLst>
        </c:ser>
        <c:ser>
          <c:idx val="7"/>
          <c:order val="7"/>
          <c:tx>
            <c:strRef>
              <c:f>Donnee_Omia_60!$I$1</c:f>
              <c:strCache>
                <c:ptCount val="1"/>
                <c:pt idx="0">
                  <c:v>Connecteur 8</c:v>
                </c:pt>
              </c:strCache>
            </c:strRef>
          </c:tx>
          <c:spPr>
            <a:ln w="19050" cap="rnd">
              <a:solidFill>
                <a:schemeClr val="accent2">
                  <a:lumMod val="60000"/>
                </a:schemeClr>
              </a:solidFill>
              <a:round/>
            </a:ln>
            <a:effectLst/>
          </c:spPr>
          <c:marker>
            <c:symbol val="none"/>
          </c:marker>
          <c:xVal>
            <c:numRef>
              <c:f>Donnee_Omia_60!$A$2</c:f>
              <c:numCache>
                <c:formatCode>General</c:formatCode>
                <c:ptCount val="1"/>
              </c:numCache>
            </c:numRef>
          </c:xVal>
          <c:yVal>
            <c:numRef>
              <c:f>Donnee_Omia_60!$I$2</c:f>
              <c:numCache>
                <c:formatCode>General</c:formatCode>
                <c:ptCount val="1"/>
              </c:numCache>
            </c:numRef>
          </c:yVal>
          <c:smooth val="0"/>
          <c:extLst>
            <c:ext xmlns:c16="http://schemas.microsoft.com/office/drawing/2014/chart" uri="{C3380CC4-5D6E-409C-BE32-E72D297353CC}">
              <c16:uniqueId val="{00000007-B0B1-4087-B444-217C140CB1B7}"/>
            </c:ext>
          </c:extLst>
        </c:ser>
        <c:ser>
          <c:idx val="8"/>
          <c:order val="8"/>
          <c:tx>
            <c:strRef>
              <c:f>Donnee_Omia_60!$J$1</c:f>
              <c:strCache>
                <c:ptCount val="1"/>
                <c:pt idx="0">
                  <c:v>Connecteur 9</c:v>
                </c:pt>
              </c:strCache>
            </c:strRef>
          </c:tx>
          <c:spPr>
            <a:ln w="19050" cap="rnd">
              <a:solidFill>
                <a:schemeClr val="accent3">
                  <a:lumMod val="60000"/>
                </a:schemeClr>
              </a:solidFill>
              <a:round/>
            </a:ln>
            <a:effectLst/>
          </c:spPr>
          <c:marker>
            <c:symbol val="none"/>
          </c:marker>
          <c:xVal>
            <c:numRef>
              <c:f>Donnee_Omia_60!$A$2</c:f>
              <c:numCache>
                <c:formatCode>General</c:formatCode>
                <c:ptCount val="1"/>
              </c:numCache>
            </c:numRef>
          </c:xVal>
          <c:yVal>
            <c:numRef>
              <c:f>Donnee_Omia_60!$J$2</c:f>
              <c:numCache>
                <c:formatCode>General</c:formatCode>
                <c:ptCount val="1"/>
              </c:numCache>
            </c:numRef>
          </c:yVal>
          <c:smooth val="0"/>
          <c:extLst>
            <c:ext xmlns:c16="http://schemas.microsoft.com/office/drawing/2014/chart" uri="{C3380CC4-5D6E-409C-BE32-E72D297353CC}">
              <c16:uniqueId val="{00000008-B0B1-4087-B444-217C140CB1B7}"/>
            </c:ext>
          </c:extLst>
        </c:ser>
        <c:ser>
          <c:idx val="9"/>
          <c:order val="9"/>
          <c:tx>
            <c:strRef>
              <c:f>Donnee_Omia_60!$K$1</c:f>
              <c:strCache>
                <c:ptCount val="1"/>
                <c:pt idx="0">
                  <c:v>Connecteur 10</c:v>
                </c:pt>
              </c:strCache>
            </c:strRef>
          </c:tx>
          <c:spPr>
            <a:ln w="19050" cap="rnd">
              <a:solidFill>
                <a:schemeClr val="accent4">
                  <a:lumMod val="60000"/>
                </a:schemeClr>
              </a:solidFill>
              <a:round/>
            </a:ln>
            <a:effectLst/>
          </c:spPr>
          <c:marker>
            <c:symbol val="none"/>
          </c:marker>
          <c:xVal>
            <c:numRef>
              <c:f>Donnee_Omia_60!$A$2</c:f>
              <c:numCache>
                <c:formatCode>General</c:formatCode>
                <c:ptCount val="1"/>
              </c:numCache>
            </c:numRef>
          </c:xVal>
          <c:yVal>
            <c:numRef>
              <c:f>Donnee_Omia_60!$K$2</c:f>
              <c:numCache>
                <c:formatCode>General</c:formatCode>
                <c:ptCount val="1"/>
              </c:numCache>
            </c:numRef>
          </c:yVal>
          <c:smooth val="0"/>
          <c:extLst>
            <c:ext xmlns:c16="http://schemas.microsoft.com/office/drawing/2014/chart" uri="{C3380CC4-5D6E-409C-BE32-E72D297353CC}">
              <c16:uniqueId val="{00000009-B0B1-4087-B444-217C140CB1B7}"/>
            </c:ext>
          </c:extLst>
        </c:ser>
        <c:ser>
          <c:idx val="10"/>
          <c:order val="10"/>
          <c:tx>
            <c:strRef>
              <c:f>Donnee_Omia_60!$L$1</c:f>
              <c:strCache>
                <c:ptCount val="1"/>
                <c:pt idx="0">
                  <c:v>Connecteur 11</c:v>
                </c:pt>
              </c:strCache>
            </c:strRef>
          </c:tx>
          <c:spPr>
            <a:ln w="19050" cap="rnd">
              <a:solidFill>
                <a:schemeClr val="accent5">
                  <a:lumMod val="60000"/>
                </a:schemeClr>
              </a:solidFill>
              <a:round/>
            </a:ln>
            <a:effectLst/>
          </c:spPr>
          <c:marker>
            <c:symbol val="none"/>
          </c:marker>
          <c:xVal>
            <c:numRef>
              <c:f>Donnee_Omia_60!$A$2</c:f>
              <c:numCache>
                <c:formatCode>General</c:formatCode>
                <c:ptCount val="1"/>
              </c:numCache>
            </c:numRef>
          </c:xVal>
          <c:yVal>
            <c:numRef>
              <c:f>Donnee_Omia_60!$L$2</c:f>
              <c:numCache>
                <c:formatCode>General</c:formatCode>
                <c:ptCount val="1"/>
              </c:numCache>
            </c:numRef>
          </c:yVal>
          <c:smooth val="0"/>
          <c:extLst>
            <c:ext xmlns:c16="http://schemas.microsoft.com/office/drawing/2014/chart" uri="{C3380CC4-5D6E-409C-BE32-E72D297353CC}">
              <c16:uniqueId val="{0000000A-B0B1-4087-B444-217C140CB1B7}"/>
            </c:ext>
          </c:extLst>
        </c:ser>
        <c:ser>
          <c:idx val="11"/>
          <c:order val="11"/>
          <c:tx>
            <c:strRef>
              <c:f>Donnee_Omia_60!$M$1</c:f>
              <c:strCache>
                <c:ptCount val="1"/>
                <c:pt idx="0">
                  <c:v>Connecteur 12</c:v>
                </c:pt>
              </c:strCache>
            </c:strRef>
          </c:tx>
          <c:spPr>
            <a:ln w="19050" cap="rnd">
              <a:solidFill>
                <a:schemeClr val="accent6">
                  <a:lumMod val="60000"/>
                </a:schemeClr>
              </a:solidFill>
              <a:round/>
            </a:ln>
            <a:effectLst/>
          </c:spPr>
          <c:marker>
            <c:symbol val="none"/>
          </c:marker>
          <c:xVal>
            <c:numRef>
              <c:f>Donnee_Omia_60!$A$2</c:f>
              <c:numCache>
                <c:formatCode>General</c:formatCode>
                <c:ptCount val="1"/>
              </c:numCache>
            </c:numRef>
          </c:xVal>
          <c:yVal>
            <c:numRef>
              <c:f>Donnee_Omia_60!$M$2</c:f>
              <c:numCache>
                <c:formatCode>General</c:formatCode>
                <c:ptCount val="1"/>
              </c:numCache>
            </c:numRef>
          </c:yVal>
          <c:smooth val="0"/>
          <c:extLst>
            <c:ext xmlns:c16="http://schemas.microsoft.com/office/drawing/2014/chart" uri="{C3380CC4-5D6E-409C-BE32-E72D297353CC}">
              <c16:uniqueId val="{0000000B-B0B1-4087-B444-217C140CB1B7}"/>
            </c:ext>
          </c:extLst>
        </c:ser>
        <c:ser>
          <c:idx val="12"/>
          <c:order val="12"/>
          <c:tx>
            <c:strRef>
              <c:f>Donnee_Omia_60!$N$1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Donnee_Omia_60!$A$2</c:f>
              <c:numCache>
                <c:formatCode>General</c:formatCode>
                <c:ptCount val="1"/>
              </c:numCache>
            </c:numRef>
          </c:xVal>
          <c:yVal>
            <c:numRef>
              <c:f>Donnee_Omia_60!$N$2</c:f>
              <c:numCache>
                <c:formatCode>General</c:formatCode>
                <c:ptCount val="1"/>
              </c:numCache>
            </c:numRef>
          </c:yVal>
          <c:smooth val="0"/>
          <c:extLst>
            <c:ext xmlns:c16="http://schemas.microsoft.com/office/drawing/2014/chart" uri="{C3380CC4-5D6E-409C-BE32-E72D297353CC}">
              <c16:uniqueId val="{0000000C-B0B1-4087-B444-217C140CB1B7}"/>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150°C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Donnee_Omia_150!$B$1</c:f>
              <c:strCache>
                <c:ptCount val="1"/>
                <c:pt idx="0">
                  <c:v>Connecteur 1</c:v>
                </c:pt>
              </c:strCache>
            </c:strRef>
          </c:tx>
          <c:spPr>
            <a:ln w="19050" cap="rnd">
              <a:solidFill>
                <a:schemeClr val="accent1"/>
              </a:solidFill>
              <a:round/>
            </a:ln>
            <a:effectLst/>
          </c:spPr>
          <c:marker>
            <c:symbol val="none"/>
          </c:marker>
          <c:xVal>
            <c:numRef>
              <c:f>Donnee_Omia_150!$A$2</c:f>
              <c:numCache>
                <c:formatCode>General</c:formatCode>
                <c:ptCount val="1"/>
              </c:numCache>
            </c:numRef>
          </c:xVal>
          <c:yVal>
            <c:numRef>
              <c:f>Donnee_Omia_150!$B$2</c:f>
              <c:numCache>
                <c:formatCode>General</c:formatCode>
                <c:ptCount val="1"/>
              </c:numCache>
            </c:numRef>
          </c:yVal>
          <c:smooth val="0"/>
          <c:extLst>
            <c:ext xmlns:c16="http://schemas.microsoft.com/office/drawing/2014/chart" uri="{C3380CC4-5D6E-409C-BE32-E72D297353CC}">
              <c16:uniqueId val="{00000000-7DB5-4C93-B690-B9EF441DA424}"/>
            </c:ext>
          </c:extLst>
        </c:ser>
        <c:ser>
          <c:idx val="1"/>
          <c:order val="1"/>
          <c:tx>
            <c:strRef>
              <c:f>Donnee_Omia_150!$C$1</c:f>
              <c:strCache>
                <c:ptCount val="1"/>
                <c:pt idx="0">
                  <c:v>Connecteur 2</c:v>
                </c:pt>
              </c:strCache>
            </c:strRef>
          </c:tx>
          <c:spPr>
            <a:ln w="19050" cap="rnd">
              <a:solidFill>
                <a:schemeClr val="accent2"/>
              </a:solidFill>
              <a:round/>
            </a:ln>
            <a:effectLst/>
          </c:spPr>
          <c:marker>
            <c:symbol val="none"/>
          </c:marker>
          <c:xVal>
            <c:numRef>
              <c:f>Donnee_Omia_150!$A$2</c:f>
              <c:numCache>
                <c:formatCode>General</c:formatCode>
                <c:ptCount val="1"/>
              </c:numCache>
            </c:numRef>
          </c:xVal>
          <c:yVal>
            <c:numRef>
              <c:f>Donnee_Omia_150!$C$2</c:f>
              <c:numCache>
                <c:formatCode>General</c:formatCode>
                <c:ptCount val="1"/>
              </c:numCache>
            </c:numRef>
          </c:yVal>
          <c:smooth val="0"/>
          <c:extLst>
            <c:ext xmlns:c16="http://schemas.microsoft.com/office/drawing/2014/chart" uri="{C3380CC4-5D6E-409C-BE32-E72D297353CC}">
              <c16:uniqueId val="{00000001-7DB5-4C93-B690-B9EF441DA424}"/>
            </c:ext>
          </c:extLst>
        </c:ser>
        <c:ser>
          <c:idx val="2"/>
          <c:order val="2"/>
          <c:tx>
            <c:strRef>
              <c:f>Donnee_Omia_150!$D$1</c:f>
              <c:strCache>
                <c:ptCount val="1"/>
                <c:pt idx="0">
                  <c:v>Connecteur 3</c:v>
                </c:pt>
              </c:strCache>
            </c:strRef>
          </c:tx>
          <c:spPr>
            <a:ln w="19050" cap="rnd">
              <a:solidFill>
                <a:schemeClr val="accent3"/>
              </a:solidFill>
              <a:round/>
            </a:ln>
            <a:effectLst/>
          </c:spPr>
          <c:marker>
            <c:symbol val="none"/>
          </c:marker>
          <c:xVal>
            <c:numRef>
              <c:f>Donnee_Omia_150!$A$2</c:f>
              <c:numCache>
                <c:formatCode>General</c:formatCode>
                <c:ptCount val="1"/>
              </c:numCache>
            </c:numRef>
          </c:xVal>
          <c:yVal>
            <c:numRef>
              <c:f>Donnee_Omia_150!$D$2</c:f>
              <c:numCache>
                <c:formatCode>General</c:formatCode>
                <c:ptCount val="1"/>
              </c:numCache>
            </c:numRef>
          </c:yVal>
          <c:smooth val="0"/>
          <c:extLst>
            <c:ext xmlns:c16="http://schemas.microsoft.com/office/drawing/2014/chart" uri="{C3380CC4-5D6E-409C-BE32-E72D297353CC}">
              <c16:uniqueId val="{00000002-7DB5-4C93-B690-B9EF441DA424}"/>
            </c:ext>
          </c:extLst>
        </c:ser>
        <c:ser>
          <c:idx val="3"/>
          <c:order val="3"/>
          <c:tx>
            <c:strRef>
              <c:f>Donnee_Omia_150!$E$1</c:f>
              <c:strCache>
                <c:ptCount val="1"/>
                <c:pt idx="0">
                  <c:v>Connecteur 4</c:v>
                </c:pt>
              </c:strCache>
            </c:strRef>
          </c:tx>
          <c:spPr>
            <a:ln w="19050" cap="rnd">
              <a:solidFill>
                <a:schemeClr val="accent4"/>
              </a:solidFill>
              <a:round/>
            </a:ln>
            <a:effectLst/>
          </c:spPr>
          <c:marker>
            <c:symbol val="none"/>
          </c:marker>
          <c:xVal>
            <c:numRef>
              <c:f>Donnee_Omia_150!$A$2</c:f>
              <c:numCache>
                <c:formatCode>General</c:formatCode>
                <c:ptCount val="1"/>
              </c:numCache>
            </c:numRef>
          </c:xVal>
          <c:yVal>
            <c:numRef>
              <c:f>Donnee_Omia_150!$E$2</c:f>
              <c:numCache>
                <c:formatCode>General</c:formatCode>
                <c:ptCount val="1"/>
              </c:numCache>
            </c:numRef>
          </c:yVal>
          <c:smooth val="0"/>
          <c:extLst>
            <c:ext xmlns:c16="http://schemas.microsoft.com/office/drawing/2014/chart" uri="{C3380CC4-5D6E-409C-BE32-E72D297353CC}">
              <c16:uniqueId val="{00000003-7DB5-4C93-B690-B9EF441DA424}"/>
            </c:ext>
          </c:extLst>
        </c:ser>
        <c:ser>
          <c:idx val="4"/>
          <c:order val="4"/>
          <c:tx>
            <c:strRef>
              <c:f>Donnee_Omia_150!$F$1</c:f>
              <c:strCache>
                <c:ptCount val="1"/>
                <c:pt idx="0">
                  <c:v>Connecteur 5</c:v>
                </c:pt>
              </c:strCache>
            </c:strRef>
          </c:tx>
          <c:spPr>
            <a:ln w="19050" cap="rnd">
              <a:solidFill>
                <a:schemeClr val="accent5"/>
              </a:solidFill>
              <a:round/>
            </a:ln>
            <a:effectLst/>
          </c:spPr>
          <c:marker>
            <c:symbol val="none"/>
          </c:marker>
          <c:xVal>
            <c:numRef>
              <c:f>Donnee_Omia_150!$A$2</c:f>
              <c:numCache>
                <c:formatCode>General</c:formatCode>
                <c:ptCount val="1"/>
              </c:numCache>
            </c:numRef>
          </c:xVal>
          <c:yVal>
            <c:numRef>
              <c:f>Donnee_Omia_150!$F$2</c:f>
              <c:numCache>
                <c:formatCode>General</c:formatCode>
                <c:ptCount val="1"/>
              </c:numCache>
            </c:numRef>
          </c:yVal>
          <c:smooth val="0"/>
          <c:extLst>
            <c:ext xmlns:c16="http://schemas.microsoft.com/office/drawing/2014/chart" uri="{C3380CC4-5D6E-409C-BE32-E72D297353CC}">
              <c16:uniqueId val="{00000004-7DB5-4C93-B690-B9EF441DA424}"/>
            </c:ext>
          </c:extLst>
        </c:ser>
        <c:ser>
          <c:idx val="5"/>
          <c:order val="5"/>
          <c:tx>
            <c:strRef>
              <c:f>Donnee_Omia_150!$G$1</c:f>
              <c:strCache>
                <c:ptCount val="1"/>
                <c:pt idx="0">
                  <c:v>Connecteur 6</c:v>
                </c:pt>
              </c:strCache>
            </c:strRef>
          </c:tx>
          <c:spPr>
            <a:ln w="19050" cap="rnd">
              <a:solidFill>
                <a:schemeClr val="accent6"/>
              </a:solidFill>
              <a:round/>
            </a:ln>
            <a:effectLst/>
          </c:spPr>
          <c:marker>
            <c:symbol val="none"/>
          </c:marker>
          <c:xVal>
            <c:numRef>
              <c:f>Donnee_Omia_150!$A$2</c:f>
              <c:numCache>
                <c:formatCode>General</c:formatCode>
                <c:ptCount val="1"/>
              </c:numCache>
            </c:numRef>
          </c:xVal>
          <c:yVal>
            <c:numRef>
              <c:f>Donnee_Omia_150!$G$2</c:f>
              <c:numCache>
                <c:formatCode>General</c:formatCode>
                <c:ptCount val="1"/>
              </c:numCache>
            </c:numRef>
          </c:yVal>
          <c:smooth val="0"/>
          <c:extLst>
            <c:ext xmlns:c16="http://schemas.microsoft.com/office/drawing/2014/chart" uri="{C3380CC4-5D6E-409C-BE32-E72D297353CC}">
              <c16:uniqueId val="{00000005-7DB5-4C93-B690-B9EF441DA424}"/>
            </c:ext>
          </c:extLst>
        </c:ser>
        <c:ser>
          <c:idx val="6"/>
          <c:order val="6"/>
          <c:tx>
            <c:strRef>
              <c:f>Donnee_Omia_150!$H$1</c:f>
              <c:strCache>
                <c:ptCount val="1"/>
                <c:pt idx="0">
                  <c:v>Connecteur 7</c:v>
                </c:pt>
              </c:strCache>
            </c:strRef>
          </c:tx>
          <c:spPr>
            <a:ln w="19050" cap="rnd">
              <a:solidFill>
                <a:schemeClr val="accent1">
                  <a:lumMod val="60000"/>
                </a:schemeClr>
              </a:solidFill>
              <a:round/>
            </a:ln>
            <a:effectLst/>
          </c:spPr>
          <c:marker>
            <c:symbol val="none"/>
          </c:marker>
          <c:xVal>
            <c:numRef>
              <c:f>Donnee_Omia_150!$A$2</c:f>
              <c:numCache>
                <c:formatCode>General</c:formatCode>
                <c:ptCount val="1"/>
              </c:numCache>
            </c:numRef>
          </c:xVal>
          <c:yVal>
            <c:numRef>
              <c:f>Donnee_Omia_150!$H$2</c:f>
              <c:numCache>
                <c:formatCode>General</c:formatCode>
                <c:ptCount val="1"/>
              </c:numCache>
            </c:numRef>
          </c:yVal>
          <c:smooth val="0"/>
          <c:extLst>
            <c:ext xmlns:c16="http://schemas.microsoft.com/office/drawing/2014/chart" uri="{C3380CC4-5D6E-409C-BE32-E72D297353CC}">
              <c16:uniqueId val="{00000006-7DB5-4C93-B690-B9EF441DA424}"/>
            </c:ext>
          </c:extLst>
        </c:ser>
        <c:ser>
          <c:idx val="7"/>
          <c:order val="7"/>
          <c:tx>
            <c:strRef>
              <c:f>Donnee_Omia_150!$I$1</c:f>
              <c:strCache>
                <c:ptCount val="1"/>
                <c:pt idx="0">
                  <c:v>Connecteur 8</c:v>
                </c:pt>
              </c:strCache>
            </c:strRef>
          </c:tx>
          <c:spPr>
            <a:ln w="19050" cap="rnd">
              <a:solidFill>
                <a:schemeClr val="accent2">
                  <a:lumMod val="60000"/>
                </a:schemeClr>
              </a:solidFill>
              <a:round/>
            </a:ln>
            <a:effectLst/>
          </c:spPr>
          <c:marker>
            <c:symbol val="none"/>
          </c:marker>
          <c:xVal>
            <c:numRef>
              <c:f>Donnee_Omia_150!$A$2</c:f>
              <c:numCache>
                <c:formatCode>General</c:formatCode>
                <c:ptCount val="1"/>
              </c:numCache>
            </c:numRef>
          </c:xVal>
          <c:yVal>
            <c:numRef>
              <c:f>Donnee_Omia_150!$I$2</c:f>
              <c:numCache>
                <c:formatCode>General</c:formatCode>
                <c:ptCount val="1"/>
              </c:numCache>
            </c:numRef>
          </c:yVal>
          <c:smooth val="0"/>
          <c:extLst>
            <c:ext xmlns:c16="http://schemas.microsoft.com/office/drawing/2014/chart" uri="{C3380CC4-5D6E-409C-BE32-E72D297353CC}">
              <c16:uniqueId val="{00000007-7DB5-4C93-B690-B9EF441DA424}"/>
            </c:ext>
          </c:extLst>
        </c:ser>
        <c:ser>
          <c:idx val="8"/>
          <c:order val="8"/>
          <c:tx>
            <c:strRef>
              <c:f>Donnee_Omia_150!$J$1</c:f>
              <c:strCache>
                <c:ptCount val="1"/>
                <c:pt idx="0">
                  <c:v>Connecteur 9</c:v>
                </c:pt>
              </c:strCache>
            </c:strRef>
          </c:tx>
          <c:spPr>
            <a:ln w="19050" cap="rnd">
              <a:solidFill>
                <a:schemeClr val="accent3">
                  <a:lumMod val="60000"/>
                </a:schemeClr>
              </a:solidFill>
              <a:round/>
            </a:ln>
            <a:effectLst/>
          </c:spPr>
          <c:marker>
            <c:symbol val="none"/>
          </c:marker>
          <c:xVal>
            <c:numRef>
              <c:f>Donnee_Omia_150!$A$2</c:f>
              <c:numCache>
                <c:formatCode>General</c:formatCode>
                <c:ptCount val="1"/>
              </c:numCache>
            </c:numRef>
          </c:xVal>
          <c:yVal>
            <c:numRef>
              <c:f>Donnee_Omia_150!$J$2</c:f>
              <c:numCache>
                <c:formatCode>General</c:formatCode>
                <c:ptCount val="1"/>
              </c:numCache>
            </c:numRef>
          </c:yVal>
          <c:smooth val="0"/>
          <c:extLst>
            <c:ext xmlns:c16="http://schemas.microsoft.com/office/drawing/2014/chart" uri="{C3380CC4-5D6E-409C-BE32-E72D297353CC}">
              <c16:uniqueId val="{00000008-7DB5-4C93-B690-B9EF441DA424}"/>
            </c:ext>
          </c:extLst>
        </c:ser>
        <c:ser>
          <c:idx val="9"/>
          <c:order val="9"/>
          <c:tx>
            <c:strRef>
              <c:f>Donnee_Omia_150!$K$1</c:f>
              <c:strCache>
                <c:ptCount val="1"/>
                <c:pt idx="0">
                  <c:v>Connecteur 10</c:v>
                </c:pt>
              </c:strCache>
            </c:strRef>
          </c:tx>
          <c:spPr>
            <a:ln w="19050" cap="rnd">
              <a:solidFill>
                <a:schemeClr val="accent4">
                  <a:lumMod val="60000"/>
                </a:schemeClr>
              </a:solidFill>
              <a:round/>
            </a:ln>
            <a:effectLst/>
          </c:spPr>
          <c:marker>
            <c:symbol val="none"/>
          </c:marker>
          <c:xVal>
            <c:numRef>
              <c:f>Donnee_Omia_150!$A$2</c:f>
              <c:numCache>
                <c:formatCode>General</c:formatCode>
                <c:ptCount val="1"/>
              </c:numCache>
            </c:numRef>
          </c:xVal>
          <c:yVal>
            <c:numRef>
              <c:f>Donnee_Omia_150!$K$2</c:f>
              <c:numCache>
                <c:formatCode>General</c:formatCode>
                <c:ptCount val="1"/>
              </c:numCache>
            </c:numRef>
          </c:yVal>
          <c:smooth val="0"/>
          <c:extLst>
            <c:ext xmlns:c16="http://schemas.microsoft.com/office/drawing/2014/chart" uri="{C3380CC4-5D6E-409C-BE32-E72D297353CC}">
              <c16:uniqueId val="{00000009-7DB5-4C93-B690-B9EF441DA424}"/>
            </c:ext>
          </c:extLst>
        </c:ser>
        <c:ser>
          <c:idx val="10"/>
          <c:order val="10"/>
          <c:tx>
            <c:strRef>
              <c:f>Donnee_Omia_150!$L$1</c:f>
              <c:strCache>
                <c:ptCount val="1"/>
                <c:pt idx="0">
                  <c:v>Connecteur 11</c:v>
                </c:pt>
              </c:strCache>
            </c:strRef>
          </c:tx>
          <c:spPr>
            <a:ln w="19050" cap="rnd">
              <a:solidFill>
                <a:schemeClr val="accent5">
                  <a:lumMod val="60000"/>
                </a:schemeClr>
              </a:solidFill>
              <a:round/>
            </a:ln>
            <a:effectLst/>
          </c:spPr>
          <c:marker>
            <c:symbol val="none"/>
          </c:marker>
          <c:xVal>
            <c:numRef>
              <c:f>Donnee_Omia_150!$A$2</c:f>
              <c:numCache>
                <c:formatCode>General</c:formatCode>
                <c:ptCount val="1"/>
              </c:numCache>
            </c:numRef>
          </c:xVal>
          <c:yVal>
            <c:numRef>
              <c:f>Donnee_Omia_150!$L$2</c:f>
              <c:numCache>
                <c:formatCode>General</c:formatCode>
                <c:ptCount val="1"/>
              </c:numCache>
            </c:numRef>
          </c:yVal>
          <c:smooth val="0"/>
          <c:extLst>
            <c:ext xmlns:c16="http://schemas.microsoft.com/office/drawing/2014/chart" uri="{C3380CC4-5D6E-409C-BE32-E72D297353CC}">
              <c16:uniqueId val="{0000000A-7DB5-4C93-B690-B9EF441DA424}"/>
            </c:ext>
          </c:extLst>
        </c:ser>
        <c:ser>
          <c:idx val="11"/>
          <c:order val="11"/>
          <c:tx>
            <c:strRef>
              <c:f>Donnee_Omia_150!$M$1</c:f>
              <c:strCache>
                <c:ptCount val="1"/>
                <c:pt idx="0">
                  <c:v>Connecteur 12</c:v>
                </c:pt>
              </c:strCache>
            </c:strRef>
          </c:tx>
          <c:spPr>
            <a:ln w="19050" cap="rnd">
              <a:solidFill>
                <a:schemeClr val="accent6">
                  <a:lumMod val="60000"/>
                </a:schemeClr>
              </a:solidFill>
              <a:round/>
            </a:ln>
            <a:effectLst/>
          </c:spPr>
          <c:marker>
            <c:symbol val="none"/>
          </c:marker>
          <c:xVal>
            <c:numRef>
              <c:f>Donnee_Omia_150!$A$2</c:f>
              <c:numCache>
                <c:formatCode>General</c:formatCode>
                <c:ptCount val="1"/>
              </c:numCache>
            </c:numRef>
          </c:xVal>
          <c:yVal>
            <c:numRef>
              <c:f>Donnee_Omia_150!$M$2</c:f>
              <c:numCache>
                <c:formatCode>General</c:formatCode>
                <c:ptCount val="1"/>
              </c:numCache>
            </c:numRef>
          </c:yVal>
          <c:smooth val="0"/>
          <c:extLst>
            <c:ext xmlns:c16="http://schemas.microsoft.com/office/drawing/2014/chart" uri="{C3380CC4-5D6E-409C-BE32-E72D297353CC}">
              <c16:uniqueId val="{0000000B-7DB5-4C93-B690-B9EF441DA424}"/>
            </c:ext>
          </c:extLst>
        </c:ser>
        <c:ser>
          <c:idx val="12"/>
          <c:order val="12"/>
          <c:tx>
            <c:strRef>
              <c:f>Donnee_Omia_150!$N$1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Donnee_Omia_150!$A$2</c:f>
              <c:numCache>
                <c:formatCode>General</c:formatCode>
                <c:ptCount val="1"/>
              </c:numCache>
            </c:numRef>
          </c:xVal>
          <c:yVal>
            <c:numRef>
              <c:f>Donnee_Omia_150!$N$2</c:f>
              <c:numCache>
                <c:formatCode>General</c:formatCode>
                <c:ptCount val="1"/>
              </c:numCache>
            </c:numRef>
          </c:yVal>
          <c:smooth val="0"/>
          <c:extLst>
            <c:ext xmlns:c16="http://schemas.microsoft.com/office/drawing/2014/chart" uri="{C3380CC4-5D6E-409C-BE32-E72D297353CC}">
              <c16:uniqueId val="{0000000C-7DB5-4C93-B690-B9EF441DA424}"/>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à 190°C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Donnee_Omia_190!$B$1</c:f>
              <c:strCache>
                <c:ptCount val="1"/>
                <c:pt idx="0">
                  <c:v>Connecteur 1</c:v>
                </c:pt>
              </c:strCache>
            </c:strRef>
          </c:tx>
          <c:spPr>
            <a:ln w="19050" cap="rnd">
              <a:solidFill>
                <a:schemeClr val="accent1"/>
              </a:solidFill>
              <a:round/>
            </a:ln>
            <a:effectLst/>
          </c:spPr>
          <c:marker>
            <c:symbol val="none"/>
          </c:marker>
          <c:xVal>
            <c:numRef>
              <c:f>Donnee_Omia_190!$A$2</c:f>
              <c:numCache>
                <c:formatCode>General</c:formatCode>
                <c:ptCount val="1"/>
              </c:numCache>
            </c:numRef>
          </c:xVal>
          <c:yVal>
            <c:numRef>
              <c:f>Donnee_Omia_190!$B$2</c:f>
              <c:numCache>
                <c:formatCode>General</c:formatCode>
                <c:ptCount val="1"/>
              </c:numCache>
            </c:numRef>
          </c:yVal>
          <c:smooth val="0"/>
          <c:extLst>
            <c:ext xmlns:c16="http://schemas.microsoft.com/office/drawing/2014/chart" uri="{C3380CC4-5D6E-409C-BE32-E72D297353CC}">
              <c16:uniqueId val="{00000000-5257-46DB-A56A-CF87843208A3}"/>
            </c:ext>
          </c:extLst>
        </c:ser>
        <c:ser>
          <c:idx val="1"/>
          <c:order val="1"/>
          <c:tx>
            <c:strRef>
              <c:f>Donnee_Omia_190!$C$1</c:f>
              <c:strCache>
                <c:ptCount val="1"/>
                <c:pt idx="0">
                  <c:v>Connecteur 2</c:v>
                </c:pt>
              </c:strCache>
            </c:strRef>
          </c:tx>
          <c:spPr>
            <a:ln w="19050" cap="rnd">
              <a:solidFill>
                <a:schemeClr val="accent2"/>
              </a:solidFill>
              <a:round/>
            </a:ln>
            <a:effectLst/>
          </c:spPr>
          <c:marker>
            <c:symbol val="none"/>
          </c:marker>
          <c:xVal>
            <c:numRef>
              <c:f>Donnee_Omia_190!$A$2</c:f>
              <c:numCache>
                <c:formatCode>General</c:formatCode>
                <c:ptCount val="1"/>
              </c:numCache>
            </c:numRef>
          </c:xVal>
          <c:yVal>
            <c:numRef>
              <c:f>Donnee_Omia_190!$C$2</c:f>
              <c:numCache>
                <c:formatCode>General</c:formatCode>
                <c:ptCount val="1"/>
              </c:numCache>
            </c:numRef>
          </c:yVal>
          <c:smooth val="0"/>
          <c:extLst>
            <c:ext xmlns:c16="http://schemas.microsoft.com/office/drawing/2014/chart" uri="{C3380CC4-5D6E-409C-BE32-E72D297353CC}">
              <c16:uniqueId val="{00000001-5257-46DB-A56A-CF87843208A3}"/>
            </c:ext>
          </c:extLst>
        </c:ser>
        <c:ser>
          <c:idx val="2"/>
          <c:order val="2"/>
          <c:tx>
            <c:strRef>
              <c:f>Donnee_Omia_190!$D$1</c:f>
              <c:strCache>
                <c:ptCount val="1"/>
                <c:pt idx="0">
                  <c:v>Connecteur 3</c:v>
                </c:pt>
              </c:strCache>
            </c:strRef>
          </c:tx>
          <c:spPr>
            <a:ln w="19050" cap="rnd">
              <a:solidFill>
                <a:schemeClr val="accent3"/>
              </a:solidFill>
              <a:round/>
            </a:ln>
            <a:effectLst/>
          </c:spPr>
          <c:marker>
            <c:symbol val="none"/>
          </c:marker>
          <c:xVal>
            <c:numRef>
              <c:f>Donnee_Omia_190!$A$2</c:f>
              <c:numCache>
                <c:formatCode>General</c:formatCode>
                <c:ptCount val="1"/>
              </c:numCache>
            </c:numRef>
          </c:xVal>
          <c:yVal>
            <c:numRef>
              <c:f>Donnee_Omia_190!$D$2</c:f>
              <c:numCache>
                <c:formatCode>General</c:formatCode>
                <c:ptCount val="1"/>
              </c:numCache>
            </c:numRef>
          </c:yVal>
          <c:smooth val="0"/>
          <c:extLst>
            <c:ext xmlns:c16="http://schemas.microsoft.com/office/drawing/2014/chart" uri="{C3380CC4-5D6E-409C-BE32-E72D297353CC}">
              <c16:uniqueId val="{00000002-5257-46DB-A56A-CF87843208A3}"/>
            </c:ext>
          </c:extLst>
        </c:ser>
        <c:ser>
          <c:idx val="3"/>
          <c:order val="3"/>
          <c:tx>
            <c:strRef>
              <c:f>Donnee_Omia_190!$E$1</c:f>
              <c:strCache>
                <c:ptCount val="1"/>
                <c:pt idx="0">
                  <c:v>Connecteur 4</c:v>
                </c:pt>
              </c:strCache>
            </c:strRef>
          </c:tx>
          <c:spPr>
            <a:ln w="19050" cap="rnd">
              <a:solidFill>
                <a:schemeClr val="accent4"/>
              </a:solidFill>
              <a:round/>
            </a:ln>
            <a:effectLst/>
          </c:spPr>
          <c:marker>
            <c:symbol val="none"/>
          </c:marker>
          <c:xVal>
            <c:numRef>
              <c:f>Donnee_Omia_190!$A$2</c:f>
              <c:numCache>
                <c:formatCode>General</c:formatCode>
                <c:ptCount val="1"/>
              </c:numCache>
            </c:numRef>
          </c:xVal>
          <c:yVal>
            <c:numRef>
              <c:f>Donnee_Omia_190!$E$2</c:f>
              <c:numCache>
                <c:formatCode>General</c:formatCode>
                <c:ptCount val="1"/>
              </c:numCache>
            </c:numRef>
          </c:yVal>
          <c:smooth val="0"/>
          <c:extLst>
            <c:ext xmlns:c16="http://schemas.microsoft.com/office/drawing/2014/chart" uri="{C3380CC4-5D6E-409C-BE32-E72D297353CC}">
              <c16:uniqueId val="{00000003-5257-46DB-A56A-CF87843208A3}"/>
            </c:ext>
          </c:extLst>
        </c:ser>
        <c:ser>
          <c:idx val="4"/>
          <c:order val="4"/>
          <c:tx>
            <c:strRef>
              <c:f>Donnee_Omia_190!$F$1</c:f>
              <c:strCache>
                <c:ptCount val="1"/>
                <c:pt idx="0">
                  <c:v>Connecteur 5</c:v>
                </c:pt>
              </c:strCache>
            </c:strRef>
          </c:tx>
          <c:spPr>
            <a:ln w="19050" cap="rnd">
              <a:solidFill>
                <a:schemeClr val="accent5"/>
              </a:solidFill>
              <a:round/>
            </a:ln>
            <a:effectLst/>
          </c:spPr>
          <c:marker>
            <c:symbol val="none"/>
          </c:marker>
          <c:xVal>
            <c:numRef>
              <c:f>Donnee_Omia_190!$A$2</c:f>
              <c:numCache>
                <c:formatCode>General</c:formatCode>
                <c:ptCount val="1"/>
              </c:numCache>
            </c:numRef>
          </c:xVal>
          <c:yVal>
            <c:numRef>
              <c:f>Donnee_Omia_190!$F$2</c:f>
              <c:numCache>
                <c:formatCode>General</c:formatCode>
                <c:ptCount val="1"/>
              </c:numCache>
            </c:numRef>
          </c:yVal>
          <c:smooth val="0"/>
          <c:extLst>
            <c:ext xmlns:c16="http://schemas.microsoft.com/office/drawing/2014/chart" uri="{C3380CC4-5D6E-409C-BE32-E72D297353CC}">
              <c16:uniqueId val="{00000004-5257-46DB-A56A-CF87843208A3}"/>
            </c:ext>
          </c:extLst>
        </c:ser>
        <c:ser>
          <c:idx val="5"/>
          <c:order val="5"/>
          <c:tx>
            <c:strRef>
              <c:f>Donnee_Omia_190!$G$1</c:f>
              <c:strCache>
                <c:ptCount val="1"/>
                <c:pt idx="0">
                  <c:v>Connecteur 6</c:v>
                </c:pt>
              </c:strCache>
            </c:strRef>
          </c:tx>
          <c:spPr>
            <a:ln w="19050" cap="rnd">
              <a:solidFill>
                <a:schemeClr val="accent6"/>
              </a:solidFill>
              <a:round/>
            </a:ln>
            <a:effectLst/>
          </c:spPr>
          <c:marker>
            <c:symbol val="none"/>
          </c:marker>
          <c:xVal>
            <c:numRef>
              <c:f>Donnee_Omia_190!$A$2</c:f>
              <c:numCache>
                <c:formatCode>General</c:formatCode>
                <c:ptCount val="1"/>
              </c:numCache>
            </c:numRef>
          </c:xVal>
          <c:yVal>
            <c:numRef>
              <c:f>Donnee_Omia_190!$G$2</c:f>
              <c:numCache>
                <c:formatCode>General</c:formatCode>
                <c:ptCount val="1"/>
              </c:numCache>
            </c:numRef>
          </c:yVal>
          <c:smooth val="0"/>
          <c:extLst>
            <c:ext xmlns:c16="http://schemas.microsoft.com/office/drawing/2014/chart" uri="{C3380CC4-5D6E-409C-BE32-E72D297353CC}">
              <c16:uniqueId val="{00000005-5257-46DB-A56A-CF87843208A3}"/>
            </c:ext>
          </c:extLst>
        </c:ser>
        <c:ser>
          <c:idx val="6"/>
          <c:order val="6"/>
          <c:tx>
            <c:strRef>
              <c:f>Donnee_Omia_190!$H$1</c:f>
              <c:strCache>
                <c:ptCount val="1"/>
                <c:pt idx="0">
                  <c:v>Connecteur 7</c:v>
                </c:pt>
              </c:strCache>
            </c:strRef>
          </c:tx>
          <c:spPr>
            <a:ln w="19050" cap="rnd">
              <a:solidFill>
                <a:schemeClr val="accent1">
                  <a:lumMod val="60000"/>
                </a:schemeClr>
              </a:solidFill>
              <a:round/>
            </a:ln>
            <a:effectLst/>
          </c:spPr>
          <c:marker>
            <c:symbol val="none"/>
          </c:marker>
          <c:xVal>
            <c:numRef>
              <c:f>Donnee_Omia_190!$A$2</c:f>
              <c:numCache>
                <c:formatCode>General</c:formatCode>
                <c:ptCount val="1"/>
              </c:numCache>
            </c:numRef>
          </c:xVal>
          <c:yVal>
            <c:numRef>
              <c:f>Donnee_Omia_190!$H$2</c:f>
              <c:numCache>
                <c:formatCode>General</c:formatCode>
                <c:ptCount val="1"/>
              </c:numCache>
            </c:numRef>
          </c:yVal>
          <c:smooth val="0"/>
          <c:extLst>
            <c:ext xmlns:c16="http://schemas.microsoft.com/office/drawing/2014/chart" uri="{C3380CC4-5D6E-409C-BE32-E72D297353CC}">
              <c16:uniqueId val="{00000006-5257-46DB-A56A-CF87843208A3}"/>
            </c:ext>
          </c:extLst>
        </c:ser>
        <c:ser>
          <c:idx val="7"/>
          <c:order val="7"/>
          <c:tx>
            <c:strRef>
              <c:f>Donnee_Omia_190!$I$1</c:f>
              <c:strCache>
                <c:ptCount val="1"/>
                <c:pt idx="0">
                  <c:v>Connecteur 8</c:v>
                </c:pt>
              </c:strCache>
            </c:strRef>
          </c:tx>
          <c:spPr>
            <a:ln w="19050" cap="rnd">
              <a:solidFill>
                <a:schemeClr val="accent2">
                  <a:lumMod val="60000"/>
                </a:schemeClr>
              </a:solidFill>
              <a:round/>
            </a:ln>
            <a:effectLst/>
          </c:spPr>
          <c:marker>
            <c:symbol val="none"/>
          </c:marker>
          <c:xVal>
            <c:numRef>
              <c:f>Donnee_Omia_190!$A$2</c:f>
              <c:numCache>
                <c:formatCode>General</c:formatCode>
                <c:ptCount val="1"/>
              </c:numCache>
            </c:numRef>
          </c:xVal>
          <c:yVal>
            <c:numRef>
              <c:f>Donnee_Omia_190!$I$2</c:f>
              <c:numCache>
                <c:formatCode>General</c:formatCode>
                <c:ptCount val="1"/>
              </c:numCache>
            </c:numRef>
          </c:yVal>
          <c:smooth val="0"/>
          <c:extLst>
            <c:ext xmlns:c16="http://schemas.microsoft.com/office/drawing/2014/chart" uri="{C3380CC4-5D6E-409C-BE32-E72D297353CC}">
              <c16:uniqueId val="{00000007-5257-46DB-A56A-CF87843208A3}"/>
            </c:ext>
          </c:extLst>
        </c:ser>
        <c:ser>
          <c:idx val="8"/>
          <c:order val="8"/>
          <c:tx>
            <c:strRef>
              <c:f>Donnee_Omia_190!$J$1</c:f>
              <c:strCache>
                <c:ptCount val="1"/>
                <c:pt idx="0">
                  <c:v>Connecteur 9</c:v>
                </c:pt>
              </c:strCache>
            </c:strRef>
          </c:tx>
          <c:spPr>
            <a:ln w="19050" cap="rnd">
              <a:solidFill>
                <a:schemeClr val="accent3">
                  <a:lumMod val="60000"/>
                </a:schemeClr>
              </a:solidFill>
              <a:round/>
            </a:ln>
            <a:effectLst/>
          </c:spPr>
          <c:marker>
            <c:symbol val="none"/>
          </c:marker>
          <c:xVal>
            <c:numRef>
              <c:f>Donnee_Omia_190!$A$2</c:f>
              <c:numCache>
                <c:formatCode>General</c:formatCode>
                <c:ptCount val="1"/>
              </c:numCache>
            </c:numRef>
          </c:xVal>
          <c:yVal>
            <c:numRef>
              <c:f>Donnee_Omia_190!$J$2</c:f>
              <c:numCache>
                <c:formatCode>General</c:formatCode>
                <c:ptCount val="1"/>
              </c:numCache>
            </c:numRef>
          </c:yVal>
          <c:smooth val="0"/>
          <c:extLst>
            <c:ext xmlns:c16="http://schemas.microsoft.com/office/drawing/2014/chart" uri="{C3380CC4-5D6E-409C-BE32-E72D297353CC}">
              <c16:uniqueId val="{00000008-5257-46DB-A56A-CF87843208A3}"/>
            </c:ext>
          </c:extLst>
        </c:ser>
        <c:ser>
          <c:idx val="9"/>
          <c:order val="9"/>
          <c:tx>
            <c:strRef>
              <c:f>Donnee_Omia_190!$K$1</c:f>
              <c:strCache>
                <c:ptCount val="1"/>
                <c:pt idx="0">
                  <c:v>Connecteur 10</c:v>
                </c:pt>
              </c:strCache>
            </c:strRef>
          </c:tx>
          <c:spPr>
            <a:ln w="19050" cap="rnd">
              <a:solidFill>
                <a:schemeClr val="accent4">
                  <a:lumMod val="60000"/>
                </a:schemeClr>
              </a:solidFill>
              <a:round/>
            </a:ln>
            <a:effectLst/>
          </c:spPr>
          <c:marker>
            <c:symbol val="none"/>
          </c:marker>
          <c:xVal>
            <c:numRef>
              <c:f>Donnee_Omia_190!$A$2</c:f>
              <c:numCache>
                <c:formatCode>General</c:formatCode>
                <c:ptCount val="1"/>
              </c:numCache>
            </c:numRef>
          </c:xVal>
          <c:yVal>
            <c:numRef>
              <c:f>Donnee_Omia_190!$K$2</c:f>
              <c:numCache>
                <c:formatCode>General</c:formatCode>
                <c:ptCount val="1"/>
              </c:numCache>
            </c:numRef>
          </c:yVal>
          <c:smooth val="0"/>
          <c:extLst>
            <c:ext xmlns:c16="http://schemas.microsoft.com/office/drawing/2014/chart" uri="{C3380CC4-5D6E-409C-BE32-E72D297353CC}">
              <c16:uniqueId val="{00000009-5257-46DB-A56A-CF87843208A3}"/>
            </c:ext>
          </c:extLst>
        </c:ser>
        <c:ser>
          <c:idx val="10"/>
          <c:order val="10"/>
          <c:tx>
            <c:strRef>
              <c:f>Donnee_Omia_190!$L$1</c:f>
              <c:strCache>
                <c:ptCount val="1"/>
                <c:pt idx="0">
                  <c:v>Connecteur 11</c:v>
                </c:pt>
              </c:strCache>
            </c:strRef>
          </c:tx>
          <c:spPr>
            <a:ln w="19050" cap="rnd">
              <a:solidFill>
                <a:schemeClr val="accent5">
                  <a:lumMod val="60000"/>
                </a:schemeClr>
              </a:solidFill>
              <a:round/>
            </a:ln>
            <a:effectLst/>
          </c:spPr>
          <c:marker>
            <c:symbol val="none"/>
          </c:marker>
          <c:xVal>
            <c:numRef>
              <c:f>Donnee_Omia_190!$A$2</c:f>
              <c:numCache>
                <c:formatCode>General</c:formatCode>
                <c:ptCount val="1"/>
              </c:numCache>
            </c:numRef>
          </c:xVal>
          <c:yVal>
            <c:numRef>
              <c:f>Donnee_Omia_190!$L$2</c:f>
              <c:numCache>
                <c:formatCode>General</c:formatCode>
                <c:ptCount val="1"/>
              </c:numCache>
            </c:numRef>
          </c:yVal>
          <c:smooth val="0"/>
          <c:extLst>
            <c:ext xmlns:c16="http://schemas.microsoft.com/office/drawing/2014/chart" uri="{C3380CC4-5D6E-409C-BE32-E72D297353CC}">
              <c16:uniqueId val="{0000000A-5257-46DB-A56A-CF87843208A3}"/>
            </c:ext>
          </c:extLst>
        </c:ser>
        <c:ser>
          <c:idx val="11"/>
          <c:order val="11"/>
          <c:tx>
            <c:strRef>
              <c:f>Donnee_Omia_190!$M$1</c:f>
              <c:strCache>
                <c:ptCount val="1"/>
                <c:pt idx="0">
                  <c:v>Connecteur 12</c:v>
                </c:pt>
              </c:strCache>
            </c:strRef>
          </c:tx>
          <c:spPr>
            <a:ln w="19050" cap="rnd">
              <a:solidFill>
                <a:schemeClr val="accent6">
                  <a:lumMod val="60000"/>
                </a:schemeClr>
              </a:solidFill>
              <a:round/>
            </a:ln>
            <a:effectLst/>
          </c:spPr>
          <c:marker>
            <c:symbol val="none"/>
          </c:marker>
          <c:xVal>
            <c:numRef>
              <c:f>Donnee_Omia_190!$A$2</c:f>
              <c:numCache>
                <c:formatCode>General</c:formatCode>
                <c:ptCount val="1"/>
              </c:numCache>
            </c:numRef>
          </c:xVal>
          <c:yVal>
            <c:numRef>
              <c:f>Donnee_Omia_190!$M$2</c:f>
              <c:numCache>
                <c:formatCode>General</c:formatCode>
                <c:ptCount val="1"/>
              </c:numCache>
            </c:numRef>
          </c:yVal>
          <c:smooth val="0"/>
          <c:extLst>
            <c:ext xmlns:c16="http://schemas.microsoft.com/office/drawing/2014/chart" uri="{C3380CC4-5D6E-409C-BE32-E72D297353CC}">
              <c16:uniqueId val="{0000000B-5257-46DB-A56A-CF87843208A3}"/>
            </c:ext>
          </c:extLst>
        </c:ser>
        <c:ser>
          <c:idx val="12"/>
          <c:order val="12"/>
          <c:tx>
            <c:strRef>
              <c:f>Donnee_Omia_190!$N$1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Donnee_Omia_190!$A$2</c:f>
              <c:numCache>
                <c:formatCode>General</c:formatCode>
                <c:ptCount val="1"/>
              </c:numCache>
            </c:numRef>
          </c:xVal>
          <c:yVal>
            <c:numRef>
              <c:f>Donnee_Omia_190!$N$2</c:f>
              <c:numCache>
                <c:formatCode>General</c:formatCode>
                <c:ptCount val="1"/>
              </c:numCache>
            </c:numRef>
          </c:yVal>
          <c:smooth val="0"/>
          <c:extLst>
            <c:ext xmlns:c16="http://schemas.microsoft.com/office/drawing/2014/chart" uri="{C3380CC4-5D6E-409C-BE32-E72D297353CC}">
              <c16:uniqueId val="{0000000C-5257-46DB-A56A-CF87843208A3}"/>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a:t>
            </a:r>
            <a:r>
              <a:rPr lang="fr-FR" baseline="0"/>
              <a:t> l'enregistrement sous 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Donnee_Dover_50!$B$1</c:f>
              <c:strCache>
                <c:ptCount val="1"/>
                <c:pt idx="0">
                  <c:v>Connecteur 1</c:v>
                </c:pt>
              </c:strCache>
            </c:strRef>
          </c:tx>
          <c:spPr>
            <a:ln w="19050" cap="rnd">
              <a:solidFill>
                <a:schemeClr val="accent1"/>
              </a:solidFill>
              <a:round/>
            </a:ln>
            <a:effectLst/>
          </c:spPr>
          <c:marker>
            <c:symbol val="none"/>
          </c:marker>
          <c:xVal>
            <c:numRef>
              <c:f>Donnee_Dover_50!$A$2</c:f>
              <c:numCache>
                <c:formatCode>General</c:formatCode>
                <c:ptCount val="1"/>
              </c:numCache>
            </c:numRef>
          </c:xVal>
          <c:yVal>
            <c:numRef>
              <c:f>Donnee_Dover_50!$B$2</c:f>
              <c:numCache>
                <c:formatCode>General</c:formatCode>
                <c:ptCount val="1"/>
              </c:numCache>
            </c:numRef>
          </c:yVal>
          <c:smooth val="0"/>
          <c:extLst>
            <c:ext xmlns:c16="http://schemas.microsoft.com/office/drawing/2014/chart" uri="{C3380CC4-5D6E-409C-BE32-E72D297353CC}">
              <c16:uniqueId val="{00000000-28C7-4F6F-A250-DF2ECC116AEE}"/>
            </c:ext>
          </c:extLst>
        </c:ser>
        <c:ser>
          <c:idx val="1"/>
          <c:order val="1"/>
          <c:tx>
            <c:strRef>
              <c:f>Donnee_Dover_50!$C$1</c:f>
              <c:strCache>
                <c:ptCount val="1"/>
                <c:pt idx="0">
                  <c:v>Connecteur 2</c:v>
                </c:pt>
              </c:strCache>
            </c:strRef>
          </c:tx>
          <c:spPr>
            <a:ln w="19050" cap="rnd">
              <a:solidFill>
                <a:schemeClr val="accent2"/>
              </a:solidFill>
              <a:round/>
            </a:ln>
            <a:effectLst/>
          </c:spPr>
          <c:marker>
            <c:symbol val="none"/>
          </c:marker>
          <c:xVal>
            <c:numRef>
              <c:f>Donnee_Dover_50!$A$2</c:f>
              <c:numCache>
                <c:formatCode>General</c:formatCode>
                <c:ptCount val="1"/>
              </c:numCache>
            </c:numRef>
          </c:xVal>
          <c:yVal>
            <c:numRef>
              <c:f>Donnee_Dover_50!$C$2</c:f>
              <c:numCache>
                <c:formatCode>General</c:formatCode>
                <c:ptCount val="1"/>
              </c:numCache>
            </c:numRef>
          </c:yVal>
          <c:smooth val="0"/>
          <c:extLst>
            <c:ext xmlns:c16="http://schemas.microsoft.com/office/drawing/2014/chart" uri="{C3380CC4-5D6E-409C-BE32-E72D297353CC}">
              <c16:uniqueId val="{00000001-28C7-4F6F-A250-DF2ECC116AEE}"/>
            </c:ext>
          </c:extLst>
        </c:ser>
        <c:ser>
          <c:idx val="2"/>
          <c:order val="2"/>
          <c:tx>
            <c:strRef>
              <c:f>Donnee_Dover_50!$D$1</c:f>
              <c:strCache>
                <c:ptCount val="1"/>
                <c:pt idx="0">
                  <c:v>Connecteur 3</c:v>
                </c:pt>
              </c:strCache>
            </c:strRef>
          </c:tx>
          <c:spPr>
            <a:ln w="19050" cap="rnd">
              <a:solidFill>
                <a:schemeClr val="accent3"/>
              </a:solidFill>
              <a:round/>
            </a:ln>
            <a:effectLst/>
          </c:spPr>
          <c:marker>
            <c:symbol val="none"/>
          </c:marker>
          <c:xVal>
            <c:numRef>
              <c:f>Donnee_Dover_50!$A$2</c:f>
              <c:numCache>
                <c:formatCode>General</c:formatCode>
                <c:ptCount val="1"/>
              </c:numCache>
            </c:numRef>
          </c:xVal>
          <c:yVal>
            <c:numRef>
              <c:f>Donnee_Dover_50!$D$2</c:f>
              <c:numCache>
                <c:formatCode>General</c:formatCode>
                <c:ptCount val="1"/>
              </c:numCache>
            </c:numRef>
          </c:yVal>
          <c:smooth val="0"/>
          <c:extLst>
            <c:ext xmlns:c16="http://schemas.microsoft.com/office/drawing/2014/chart" uri="{C3380CC4-5D6E-409C-BE32-E72D297353CC}">
              <c16:uniqueId val="{00000002-28C7-4F6F-A250-DF2ECC116AEE}"/>
            </c:ext>
          </c:extLst>
        </c:ser>
        <c:ser>
          <c:idx val="3"/>
          <c:order val="3"/>
          <c:tx>
            <c:strRef>
              <c:f>Donnee_Dover_50!$E$1</c:f>
              <c:strCache>
                <c:ptCount val="1"/>
                <c:pt idx="0">
                  <c:v>Connecteur 4</c:v>
                </c:pt>
              </c:strCache>
            </c:strRef>
          </c:tx>
          <c:spPr>
            <a:ln w="19050" cap="rnd">
              <a:solidFill>
                <a:schemeClr val="accent4"/>
              </a:solidFill>
              <a:round/>
            </a:ln>
            <a:effectLst/>
          </c:spPr>
          <c:marker>
            <c:symbol val="none"/>
          </c:marker>
          <c:xVal>
            <c:numRef>
              <c:f>Donnee_Dover_50!$A$2</c:f>
              <c:numCache>
                <c:formatCode>General</c:formatCode>
                <c:ptCount val="1"/>
              </c:numCache>
            </c:numRef>
          </c:xVal>
          <c:yVal>
            <c:numRef>
              <c:f>Donnee_Dover_50!$E$2</c:f>
              <c:numCache>
                <c:formatCode>General</c:formatCode>
                <c:ptCount val="1"/>
              </c:numCache>
            </c:numRef>
          </c:yVal>
          <c:smooth val="0"/>
          <c:extLst>
            <c:ext xmlns:c16="http://schemas.microsoft.com/office/drawing/2014/chart" uri="{C3380CC4-5D6E-409C-BE32-E72D297353CC}">
              <c16:uniqueId val="{00000003-28C7-4F6F-A250-DF2ECC116AEE}"/>
            </c:ext>
          </c:extLst>
        </c:ser>
        <c:ser>
          <c:idx val="4"/>
          <c:order val="4"/>
          <c:tx>
            <c:strRef>
              <c:f>Donnee_Dover_50!$F$1</c:f>
              <c:strCache>
                <c:ptCount val="1"/>
                <c:pt idx="0">
                  <c:v>Connecteur 5</c:v>
                </c:pt>
              </c:strCache>
            </c:strRef>
          </c:tx>
          <c:spPr>
            <a:ln w="19050" cap="rnd">
              <a:solidFill>
                <a:schemeClr val="accent5"/>
              </a:solidFill>
              <a:round/>
            </a:ln>
            <a:effectLst/>
          </c:spPr>
          <c:marker>
            <c:symbol val="none"/>
          </c:marker>
          <c:xVal>
            <c:numRef>
              <c:f>Donnee_Dover_50!$A$2</c:f>
              <c:numCache>
                <c:formatCode>General</c:formatCode>
                <c:ptCount val="1"/>
              </c:numCache>
            </c:numRef>
          </c:xVal>
          <c:yVal>
            <c:numRef>
              <c:f>Donnee_Dover_50!$F$2</c:f>
              <c:numCache>
                <c:formatCode>General</c:formatCode>
                <c:ptCount val="1"/>
              </c:numCache>
            </c:numRef>
          </c:yVal>
          <c:smooth val="0"/>
          <c:extLst>
            <c:ext xmlns:c16="http://schemas.microsoft.com/office/drawing/2014/chart" uri="{C3380CC4-5D6E-409C-BE32-E72D297353CC}">
              <c16:uniqueId val="{00000004-28C7-4F6F-A250-DF2ECC116AEE}"/>
            </c:ext>
          </c:extLst>
        </c:ser>
        <c:ser>
          <c:idx val="5"/>
          <c:order val="5"/>
          <c:tx>
            <c:strRef>
              <c:f>Donnee_Dover_50!$G$1</c:f>
              <c:strCache>
                <c:ptCount val="1"/>
                <c:pt idx="0">
                  <c:v>Connecteur 6</c:v>
                </c:pt>
              </c:strCache>
            </c:strRef>
          </c:tx>
          <c:spPr>
            <a:ln w="19050" cap="rnd">
              <a:solidFill>
                <a:schemeClr val="accent6"/>
              </a:solidFill>
              <a:round/>
            </a:ln>
            <a:effectLst/>
          </c:spPr>
          <c:marker>
            <c:symbol val="none"/>
          </c:marker>
          <c:xVal>
            <c:numRef>
              <c:f>Donnee_Dover_50!$A$2</c:f>
              <c:numCache>
                <c:formatCode>General</c:formatCode>
                <c:ptCount val="1"/>
              </c:numCache>
            </c:numRef>
          </c:xVal>
          <c:yVal>
            <c:numRef>
              <c:f>Donnee_Dover_50!$G$2</c:f>
              <c:numCache>
                <c:formatCode>General</c:formatCode>
                <c:ptCount val="1"/>
              </c:numCache>
            </c:numRef>
          </c:yVal>
          <c:smooth val="0"/>
          <c:extLst>
            <c:ext xmlns:c16="http://schemas.microsoft.com/office/drawing/2014/chart" uri="{C3380CC4-5D6E-409C-BE32-E72D297353CC}">
              <c16:uniqueId val="{00000005-28C7-4F6F-A250-DF2ECC116AEE}"/>
            </c:ext>
          </c:extLst>
        </c:ser>
        <c:ser>
          <c:idx val="6"/>
          <c:order val="6"/>
          <c:tx>
            <c:strRef>
              <c:f>Donnee_Dover_50!$H$1</c:f>
              <c:strCache>
                <c:ptCount val="1"/>
                <c:pt idx="0">
                  <c:v>Connecteur 7</c:v>
                </c:pt>
              </c:strCache>
            </c:strRef>
          </c:tx>
          <c:spPr>
            <a:ln w="19050" cap="rnd">
              <a:solidFill>
                <a:schemeClr val="accent1">
                  <a:lumMod val="60000"/>
                </a:schemeClr>
              </a:solidFill>
              <a:round/>
            </a:ln>
            <a:effectLst/>
          </c:spPr>
          <c:marker>
            <c:symbol val="none"/>
          </c:marker>
          <c:xVal>
            <c:numRef>
              <c:f>Donnee_Dover_50!$A$2</c:f>
              <c:numCache>
                <c:formatCode>General</c:formatCode>
                <c:ptCount val="1"/>
              </c:numCache>
            </c:numRef>
          </c:xVal>
          <c:yVal>
            <c:numRef>
              <c:f>Donnee_Dover_50!$H$2</c:f>
              <c:numCache>
                <c:formatCode>General</c:formatCode>
                <c:ptCount val="1"/>
              </c:numCache>
            </c:numRef>
          </c:yVal>
          <c:smooth val="0"/>
          <c:extLst>
            <c:ext xmlns:c16="http://schemas.microsoft.com/office/drawing/2014/chart" uri="{C3380CC4-5D6E-409C-BE32-E72D297353CC}">
              <c16:uniqueId val="{00000006-28C7-4F6F-A250-DF2ECC116AEE}"/>
            </c:ext>
          </c:extLst>
        </c:ser>
        <c:ser>
          <c:idx val="7"/>
          <c:order val="7"/>
          <c:tx>
            <c:strRef>
              <c:f>Donnee_Dover_50!$I$1</c:f>
              <c:strCache>
                <c:ptCount val="1"/>
                <c:pt idx="0">
                  <c:v>Connecteur 8</c:v>
                </c:pt>
              </c:strCache>
            </c:strRef>
          </c:tx>
          <c:spPr>
            <a:ln w="19050" cap="rnd">
              <a:solidFill>
                <a:schemeClr val="accent2">
                  <a:lumMod val="60000"/>
                </a:schemeClr>
              </a:solidFill>
              <a:round/>
            </a:ln>
            <a:effectLst/>
          </c:spPr>
          <c:marker>
            <c:symbol val="none"/>
          </c:marker>
          <c:xVal>
            <c:numRef>
              <c:f>Donnee_Dover_50!$A$2</c:f>
              <c:numCache>
                <c:formatCode>General</c:formatCode>
                <c:ptCount val="1"/>
              </c:numCache>
            </c:numRef>
          </c:xVal>
          <c:yVal>
            <c:numRef>
              <c:f>Donnee_Dover_50!$I$2</c:f>
              <c:numCache>
                <c:formatCode>General</c:formatCode>
                <c:ptCount val="1"/>
              </c:numCache>
            </c:numRef>
          </c:yVal>
          <c:smooth val="0"/>
          <c:extLst>
            <c:ext xmlns:c16="http://schemas.microsoft.com/office/drawing/2014/chart" uri="{C3380CC4-5D6E-409C-BE32-E72D297353CC}">
              <c16:uniqueId val="{00000007-28C7-4F6F-A250-DF2ECC116AEE}"/>
            </c:ext>
          </c:extLst>
        </c:ser>
        <c:ser>
          <c:idx val="8"/>
          <c:order val="8"/>
          <c:tx>
            <c:strRef>
              <c:f>Donnee_Dover_50!$J$1</c:f>
              <c:strCache>
                <c:ptCount val="1"/>
                <c:pt idx="0">
                  <c:v>Connecteur 9</c:v>
                </c:pt>
              </c:strCache>
            </c:strRef>
          </c:tx>
          <c:spPr>
            <a:ln w="19050" cap="rnd">
              <a:solidFill>
                <a:schemeClr val="accent3">
                  <a:lumMod val="60000"/>
                </a:schemeClr>
              </a:solidFill>
              <a:round/>
            </a:ln>
            <a:effectLst/>
          </c:spPr>
          <c:marker>
            <c:symbol val="none"/>
          </c:marker>
          <c:xVal>
            <c:numRef>
              <c:f>Donnee_Dover_50!$A$2</c:f>
              <c:numCache>
                <c:formatCode>General</c:formatCode>
                <c:ptCount val="1"/>
              </c:numCache>
            </c:numRef>
          </c:xVal>
          <c:yVal>
            <c:numRef>
              <c:f>Donnee_Dover_50!$J$2</c:f>
              <c:numCache>
                <c:formatCode>General</c:formatCode>
                <c:ptCount val="1"/>
              </c:numCache>
            </c:numRef>
          </c:yVal>
          <c:smooth val="0"/>
          <c:extLst>
            <c:ext xmlns:c16="http://schemas.microsoft.com/office/drawing/2014/chart" uri="{C3380CC4-5D6E-409C-BE32-E72D297353CC}">
              <c16:uniqueId val="{00000008-28C7-4F6F-A250-DF2ECC116AEE}"/>
            </c:ext>
          </c:extLst>
        </c:ser>
        <c:dLbls>
          <c:showLegendKey val="0"/>
          <c:showVal val="0"/>
          <c:showCatName val="0"/>
          <c:showSerName val="0"/>
          <c:showPercent val="0"/>
          <c:showBubbleSize val="0"/>
        </c:dLbls>
        <c:axId val="953973528"/>
        <c:axId val="953973888"/>
      </c:scatterChart>
      <c:valAx>
        <c:axId val="953973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888"/>
        <c:crosses val="autoZero"/>
        <c:crossBetween val="midCat"/>
      </c:valAx>
      <c:valAx>
        <c:axId val="95397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sous 100°C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Donnee_Dover_100!$B$1</c:f>
              <c:strCache>
                <c:ptCount val="1"/>
                <c:pt idx="0">
                  <c:v>Connecteur 1</c:v>
                </c:pt>
              </c:strCache>
            </c:strRef>
          </c:tx>
          <c:spPr>
            <a:ln w="19050" cap="rnd">
              <a:solidFill>
                <a:schemeClr val="accent1"/>
              </a:solidFill>
              <a:round/>
            </a:ln>
            <a:effectLst/>
          </c:spPr>
          <c:marker>
            <c:symbol val="none"/>
          </c:marker>
          <c:xVal>
            <c:numRef>
              <c:f>Donnee_Dover_100!$A$2</c:f>
              <c:numCache>
                <c:formatCode>General</c:formatCode>
                <c:ptCount val="1"/>
              </c:numCache>
            </c:numRef>
          </c:xVal>
          <c:yVal>
            <c:numRef>
              <c:f>Donnee_Dover_100!$B$2</c:f>
              <c:numCache>
                <c:formatCode>General</c:formatCode>
                <c:ptCount val="1"/>
              </c:numCache>
            </c:numRef>
          </c:yVal>
          <c:smooth val="0"/>
          <c:extLst>
            <c:ext xmlns:c16="http://schemas.microsoft.com/office/drawing/2014/chart" uri="{C3380CC4-5D6E-409C-BE32-E72D297353CC}">
              <c16:uniqueId val="{00000000-8D8B-4E3C-8FF9-2642285E3771}"/>
            </c:ext>
          </c:extLst>
        </c:ser>
        <c:ser>
          <c:idx val="1"/>
          <c:order val="1"/>
          <c:tx>
            <c:strRef>
              <c:f>Donnee_Dover_100!$C$1</c:f>
              <c:strCache>
                <c:ptCount val="1"/>
                <c:pt idx="0">
                  <c:v>Connecteur 2</c:v>
                </c:pt>
              </c:strCache>
            </c:strRef>
          </c:tx>
          <c:spPr>
            <a:ln w="19050" cap="rnd">
              <a:solidFill>
                <a:schemeClr val="accent2"/>
              </a:solidFill>
              <a:round/>
            </a:ln>
            <a:effectLst/>
          </c:spPr>
          <c:marker>
            <c:symbol val="none"/>
          </c:marker>
          <c:xVal>
            <c:numRef>
              <c:f>Donnee_Dover_100!$A$2</c:f>
              <c:numCache>
                <c:formatCode>General</c:formatCode>
                <c:ptCount val="1"/>
              </c:numCache>
            </c:numRef>
          </c:xVal>
          <c:yVal>
            <c:numRef>
              <c:f>Donnee_Dover_100!$C$2</c:f>
              <c:numCache>
                <c:formatCode>General</c:formatCode>
                <c:ptCount val="1"/>
              </c:numCache>
            </c:numRef>
          </c:yVal>
          <c:smooth val="0"/>
          <c:extLst>
            <c:ext xmlns:c16="http://schemas.microsoft.com/office/drawing/2014/chart" uri="{C3380CC4-5D6E-409C-BE32-E72D297353CC}">
              <c16:uniqueId val="{00000001-8D8B-4E3C-8FF9-2642285E3771}"/>
            </c:ext>
          </c:extLst>
        </c:ser>
        <c:ser>
          <c:idx val="2"/>
          <c:order val="2"/>
          <c:tx>
            <c:strRef>
              <c:f>Donnee_Dover_100!$D$1</c:f>
              <c:strCache>
                <c:ptCount val="1"/>
                <c:pt idx="0">
                  <c:v>Connecteur 3</c:v>
                </c:pt>
              </c:strCache>
            </c:strRef>
          </c:tx>
          <c:spPr>
            <a:ln w="19050" cap="rnd">
              <a:solidFill>
                <a:schemeClr val="accent3"/>
              </a:solidFill>
              <a:round/>
            </a:ln>
            <a:effectLst/>
          </c:spPr>
          <c:marker>
            <c:symbol val="none"/>
          </c:marker>
          <c:xVal>
            <c:numRef>
              <c:f>Donnee_Dover_100!$A$2</c:f>
              <c:numCache>
                <c:formatCode>General</c:formatCode>
                <c:ptCount val="1"/>
              </c:numCache>
            </c:numRef>
          </c:xVal>
          <c:yVal>
            <c:numRef>
              <c:f>Donnee_Dover_100!$D$2</c:f>
              <c:numCache>
                <c:formatCode>General</c:formatCode>
                <c:ptCount val="1"/>
              </c:numCache>
            </c:numRef>
          </c:yVal>
          <c:smooth val="0"/>
          <c:extLst>
            <c:ext xmlns:c16="http://schemas.microsoft.com/office/drawing/2014/chart" uri="{C3380CC4-5D6E-409C-BE32-E72D297353CC}">
              <c16:uniqueId val="{00000002-8D8B-4E3C-8FF9-2642285E3771}"/>
            </c:ext>
          </c:extLst>
        </c:ser>
        <c:ser>
          <c:idx val="3"/>
          <c:order val="3"/>
          <c:tx>
            <c:strRef>
              <c:f>Donnee_Dover_100!$E$1</c:f>
              <c:strCache>
                <c:ptCount val="1"/>
                <c:pt idx="0">
                  <c:v>Connecteur 4</c:v>
                </c:pt>
              </c:strCache>
            </c:strRef>
          </c:tx>
          <c:spPr>
            <a:ln w="19050" cap="rnd">
              <a:solidFill>
                <a:schemeClr val="accent4"/>
              </a:solidFill>
              <a:round/>
            </a:ln>
            <a:effectLst/>
          </c:spPr>
          <c:marker>
            <c:symbol val="none"/>
          </c:marker>
          <c:xVal>
            <c:numRef>
              <c:f>Donnee_Dover_100!$A$2</c:f>
              <c:numCache>
                <c:formatCode>General</c:formatCode>
                <c:ptCount val="1"/>
              </c:numCache>
            </c:numRef>
          </c:xVal>
          <c:yVal>
            <c:numRef>
              <c:f>Donnee_Dover_100!$E$2</c:f>
              <c:numCache>
                <c:formatCode>General</c:formatCode>
                <c:ptCount val="1"/>
              </c:numCache>
            </c:numRef>
          </c:yVal>
          <c:smooth val="0"/>
          <c:extLst>
            <c:ext xmlns:c16="http://schemas.microsoft.com/office/drawing/2014/chart" uri="{C3380CC4-5D6E-409C-BE32-E72D297353CC}">
              <c16:uniqueId val="{00000003-8D8B-4E3C-8FF9-2642285E3771}"/>
            </c:ext>
          </c:extLst>
        </c:ser>
        <c:ser>
          <c:idx val="4"/>
          <c:order val="4"/>
          <c:tx>
            <c:strRef>
              <c:f>Donnee_Dover_100!$F$1</c:f>
              <c:strCache>
                <c:ptCount val="1"/>
                <c:pt idx="0">
                  <c:v>Connecteur 5</c:v>
                </c:pt>
              </c:strCache>
            </c:strRef>
          </c:tx>
          <c:spPr>
            <a:ln w="19050" cap="rnd">
              <a:solidFill>
                <a:schemeClr val="accent5"/>
              </a:solidFill>
              <a:round/>
            </a:ln>
            <a:effectLst/>
          </c:spPr>
          <c:marker>
            <c:symbol val="none"/>
          </c:marker>
          <c:xVal>
            <c:numRef>
              <c:f>Donnee_Dover_100!$A$2</c:f>
              <c:numCache>
                <c:formatCode>General</c:formatCode>
                <c:ptCount val="1"/>
              </c:numCache>
            </c:numRef>
          </c:xVal>
          <c:yVal>
            <c:numRef>
              <c:f>Donnee_Dover_100!$F$2</c:f>
              <c:numCache>
                <c:formatCode>General</c:formatCode>
                <c:ptCount val="1"/>
              </c:numCache>
            </c:numRef>
          </c:yVal>
          <c:smooth val="0"/>
          <c:extLst>
            <c:ext xmlns:c16="http://schemas.microsoft.com/office/drawing/2014/chart" uri="{C3380CC4-5D6E-409C-BE32-E72D297353CC}">
              <c16:uniqueId val="{00000004-8D8B-4E3C-8FF9-2642285E3771}"/>
            </c:ext>
          </c:extLst>
        </c:ser>
        <c:ser>
          <c:idx val="5"/>
          <c:order val="5"/>
          <c:tx>
            <c:strRef>
              <c:f>Donnee_Dover_100!$G$1</c:f>
              <c:strCache>
                <c:ptCount val="1"/>
                <c:pt idx="0">
                  <c:v>Connecteur 6</c:v>
                </c:pt>
              </c:strCache>
            </c:strRef>
          </c:tx>
          <c:spPr>
            <a:ln w="19050" cap="rnd">
              <a:solidFill>
                <a:schemeClr val="accent6"/>
              </a:solidFill>
              <a:round/>
            </a:ln>
            <a:effectLst/>
          </c:spPr>
          <c:marker>
            <c:symbol val="none"/>
          </c:marker>
          <c:xVal>
            <c:numRef>
              <c:f>Donnee_Dover_100!$A$2</c:f>
              <c:numCache>
                <c:formatCode>General</c:formatCode>
                <c:ptCount val="1"/>
              </c:numCache>
            </c:numRef>
          </c:xVal>
          <c:yVal>
            <c:numRef>
              <c:f>Donnee_Dover_100!$G$2</c:f>
              <c:numCache>
                <c:formatCode>General</c:formatCode>
                <c:ptCount val="1"/>
              </c:numCache>
            </c:numRef>
          </c:yVal>
          <c:smooth val="0"/>
          <c:extLst>
            <c:ext xmlns:c16="http://schemas.microsoft.com/office/drawing/2014/chart" uri="{C3380CC4-5D6E-409C-BE32-E72D297353CC}">
              <c16:uniqueId val="{00000005-8D8B-4E3C-8FF9-2642285E3771}"/>
            </c:ext>
          </c:extLst>
        </c:ser>
        <c:ser>
          <c:idx val="6"/>
          <c:order val="6"/>
          <c:tx>
            <c:strRef>
              <c:f>Donnee_Dover_100!$H$1</c:f>
              <c:strCache>
                <c:ptCount val="1"/>
                <c:pt idx="0">
                  <c:v>Connecteur 7</c:v>
                </c:pt>
              </c:strCache>
            </c:strRef>
          </c:tx>
          <c:spPr>
            <a:ln w="19050" cap="rnd">
              <a:solidFill>
                <a:schemeClr val="accent1">
                  <a:lumMod val="60000"/>
                </a:schemeClr>
              </a:solidFill>
              <a:round/>
            </a:ln>
            <a:effectLst/>
          </c:spPr>
          <c:marker>
            <c:symbol val="none"/>
          </c:marker>
          <c:xVal>
            <c:numRef>
              <c:f>Donnee_Dover_100!$A$2</c:f>
              <c:numCache>
                <c:formatCode>General</c:formatCode>
                <c:ptCount val="1"/>
              </c:numCache>
            </c:numRef>
          </c:xVal>
          <c:yVal>
            <c:numRef>
              <c:f>Donnee_Dover_100!$H$2</c:f>
              <c:numCache>
                <c:formatCode>General</c:formatCode>
                <c:ptCount val="1"/>
              </c:numCache>
            </c:numRef>
          </c:yVal>
          <c:smooth val="0"/>
          <c:extLst>
            <c:ext xmlns:c16="http://schemas.microsoft.com/office/drawing/2014/chart" uri="{C3380CC4-5D6E-409C-BE32-E72D297353CC}">
              <c16:uniqueId val="{00000006-8D8B-4E3C-8FF9-2642285E3771}"/>
            </c:ext>
          </c:extLst>
        </c:ser>
        <c:ser>
          <c:idx val="7"/>
          <c:order val="7"/>
          <c:tx>
            <c:strRef>
              <c:f>Donnee_Dover_100!$I$1</c:f>
              <c:strCache>
                <c:ptCount val="1"/>
                <c:pt idx="0">
                  <c:v>Connecteur 8</c:v>
                </c:pt>
              </c:strCache>
            </c:strRef>
          </c:tx>
          <c:spPr>
            <a:ln w="19050" cap="rnd">
              <a:solidFill>
                <a:schemeClr val="accent2">
                  <a:lumMod val="60000"/>
                </a:schemeClr>
              </a:solidFill>
              <a:round/>
            </a:ln>
            <a:effectLst/>
          </c:spPr>
          <c:marker>
            <c:symbol val="none"/>
          </c:marker>
          <c:xVal>
            <c:numRef>
              <c:f>Donnee_Dover_100!$A$2</c:f>
              <c:numCache>
                <c:formatCode>General</c:formatCode>
                <c:ptCount val="1"/>
              </c:numCache>
            </c:numRef>
          </c:xVal>
          <c:yVal>
            <c:numRef>
              <c:f>Donnee_Dover_100!$I$2</c:f>
              <c:numCache>
                <c:formatCode>General</c:formatCode>
                <c:ptCount val="1"/>
              </c:numCache>
            </c:numRef>
          </c:yVal>
          <c:smooth val="0"/>
          <c:extLst>
            <c:ext xmlns:c16="http://schemas.microsoft.com/office/drawing/2014/chart" uri="{C3380CC4-5D6E-409C-BE32-E72D297353CC}">
              <c16:uniqueId val="{00000007-8D8B-4E3C-8FF9-2642285E3771}"/>
            </c:ext>
          </c:extLst>
        </c:ser>
        <c:ser>
          <c:idx val="8"/>
          <c:order val="8"/>
          <c:tx>
            <c:strRef>
              <c:f>Donnee_Dover_100!$J$1</c:f>
              <c:strCache>
                <c:ptCount val="1"/>
                <c:pt idx="0">
                  <c:v>Connecteur 9</c:v>
                </c:pt>
              </c:strCache>
            </c:strRef>
          </c:tx>
          <c:spPr>
            <a:ln w="19050" cap="rnd">
              <a:solidFill>
                <a:schemeClr val="accent3">
                  <a:lumMod val="60000"/>
                </a:schemeClr>
              </a:solidFill>
              <a:round/>
            </a:ln>
            <a:effectLst/>
          </c:spPr>
          <c:marker>
            <c:symbol val="none"/>
          </c:marker>
          <c:xVal>
            <c:numRef>
              <c:f>Donnee_Dover_100!$A$2</c:f>
              <c:numCache>
                <c:formatCode>General</c:formatCode>
                <c:ptCount val="1"/>
              </c:numCache>
            </c:numRef>
          </c:xVal>
          <c:yVal>
            <c:numRef>
              <c:f>Donnee_Dover_100!$J$2</c:f>
              <c:numCache>
                <c:formatCode>General</c:formatCode>
                <c:ptCount val="1"/>
              </c:numCache>
            </c:numRef>
          </c:yVal>
          <c:smooth val="0"/>
          <c:extLst>
            <c:ext xmlns:c16="http://schemas.microsoft.com/office/drawing/2014/chart" uri="{C3380CC4-5D6E-409C-BE32-E72D297353CC}">
              <c16:uniqueId val="{00000008-8D8B-4E3C-8FF9-2642285E3771}"/>
            </c:ext>
          </c:extLst>
        </c:ser>
        <c:dLbls>
          <c:showLegendKey val="0"/>
          <c:showVal val="0"/>
          <c:showCatName val="0"/>
          <c:showSerName val="0"/>
          <c:showPercent val="0"/>
          <c:showBubbleSize val="0"/>
        </c:dLbls>
        <c:axId val="954004488"/>
        <c:axId val="954012768"/>
      </c:scatterChart>
      <c:valAx>
        <c:axId val="954004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12768"/>
        <c:crosses val="autoZero"/>
        <c:crossBetween val="midCat"/>
      </c:valAx>
      <c:valAx>
        <c:axId val="95401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04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sous 150°C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Donnee_Dover_150!$B$1</c:f>
              <c:strCache>
                <c:ptCount val="1"/>
                <c:pt idx="0">
                  <c:v>Connecteur 1</c:v>
                </c:pt>
              </c:strCache>
            </c:strRef>
          </c:tx>
          <c:spPr>
            <a:ln w="19050" cap="rnd">
              <a:solidFill>
                <a:schemeClr val="accent1"/>
              </a:solidFill>
              <a:round/>
            </a:ln>
            <a:effectLst/>
          </c:spPr>
          <c:marker>
            <c:symbol val="none"/>
          </c:marker>
          <c:xVal>
            <c:numRef>
              <c:f>Donnee_Dover_150!$A$2</c:f>
              <c:numCache>
                <c:formatCode>General</c:formatCode>
                <c:ptCount val="1"/>
              </c:numCache>
            </c:numRef>
          </c:xVal>
          <c:yVal>
            <c:numRef>
              <c:f>Donnee_Dover_150!$B$2</c:f>
              <c:numCache>
                <c:formatCode>General</c:formatCode>
                <c:ptCount val="1"/>
              </c:numCache>
            </c:numRef>
          </c:yVal>
          <c:smooth val="0"/>
          <c:extLst>
            <c:ext xmlns:c16="http://schemas.microsoft.com/office/drawing/2014/chart" uri="{C3380CC4-5D6E-409C-BE32-E72D297353CC}">
              <c16:uniqueId val="{00000000-4711-4F22-9DDA-B4A37B77F37F}"/>
            </c:ext>
          </c:extLst>
        </c:ser>
        <c:ser>
          <c:idx val="1"/>
          <c:order val="1"/>
          <c:tx>
            <c:strRef>
              <c:f>Donnee_Dover_150!$C$1</c:f>
              <c:strCache>
                <c:ptCount val="1"/>
                <c:pt idx="0">
                  <c:v>Connecteur 2</c:v>
                </c:pt>
              </c:strCache>
            </c:strRef>
          </c:tx>
          <c:spPr>
            <a:ln w="19050" cap="rnd">
              <a:solidFill>
                <a:schemeClr val="accent2"/>
              </a:solidFill>
              <a:round/>
            </a:ln>
            <a:effectLst/>
          </c:spPr>
          <c:marker>
            <c:symbol val="none"/>
          </c:marker>
          <c:xVal>
            <c:numRef>
              <c:f>Donnee_Dover_150!$A$2</c:f>
              <c:numCache>
                <c:formatCode>General</c:formatCode>
                <c:ptCount val="1"/>
              </c:numCache>
            </c:numRef>
          </c:xVal>
          <c:yVal>
            <c:numRef>
              <c:f>Donnee_Dover_150!$C$2</c:f>
              <c:numCache>
                <c:formatCode>General</c:formatCode>
                <c:ptCount val="1"/>
              </c:numCache>
            </c:numRef>
          </c:yVal>
          <c:smooth val="0"/>
          <c:extLst>
            <c:ext xmlns:c16="http://schemas.microsoft.com/office/drawing/2014/chart" uri="{C3380CC4-5D6E-409C-BE32-E72D297353CC}">
              <c16:uniqueId val="{00000001-4711-4F22-9DDA-B4A37B77F37F}"/>
            </c:ext>
          </c:extLst>
        </c:ser>
        <c:ser>
          <c:idx val="2"/>
          <c:order val="2"/>
          <c:tx>
            <c:strRef>
              <c:f>Donnee_Dover_150!$D$1</c:f>
              <c:strCache>
                <c:ptCount val="1"/>
                <c:pt idx="0">
                  <c:v>Connecteur 3</c:v>
                </c:pt>
              </c:strCache>
            </c:strRef>
          </c:tx>
          <c:spPr>
            <a:ln w="19050" cap="rnd">
              <a:solidFill>
                <a:schemeClr val="accent3"/>
              </a:solidFill>
              <a:round/>
            </a:ln>
            <a:effectLst/>
          </c:spPr>
          <c:marker>
            <c:symbol val="none"/>
          </c:marker>
          <c:xVal>
            <c:numRef>
              <c:f>Donnee_Dover_150!$A$2</c:f>
              <c:numCache>
                <c:formatCode>General</c:formatCode>
                <c:ptCount val="1"/>
              </c:numCache>
            </c:numRef>
          </c:xVal>
          <c:yVal>
            <c:numRef>
              <c:f>Donnee_Dover_150!$D$2</c:f>
              <c:numCache>
                <c:formatCode>General</c:formatCode>
                <c:ptCount val="1"/>
              </c:numCache>
            </c:numRef>
          </c:yVal>
          <c:smooth val="0"/>
          <c:extLst>
            <c:ext xmlns:c16="http://schemas.microsoft.com/office/drawing/2014/chart" uri="{C3380CC4-5D6E-409C-BE32-E72D297353CC}">
              <c16:uniqueId val="{00000002-4711-4F22-9DDA-B4A37B77F37F}"/>
            </c:ext>
          </c:extLst>
        </c:ser>
        <c:ser>
          <c:idx val="3"/>
          <c:order val="3"/>
          <c:tx>
            <c:strRef>
              <c:f>Donnee_Dover_150!$E$1</c:f>
              <c:strCache>
                <c:ptCount val="1"/>
                <c:pt idx="0">
                  <c:v>Connecteur 4</c:v>
                </c:pt>
              </c:strCache>
            </c:strRef>
          </c:tx>
          <c:spPr>
            <a:ln w="19050" cap="rnd">
              <a:solidFill>
                <a:schemeClr val="accent4"/>
              </a:solidFill>
              <a:round/>
            </a:ln>
            <a:effectLst/>
          </c:spPr>
          <c:marker>
            <c:symbol val="none"/>
          </c:marker>
          <c:xVal>
            <c:numRef>
              <c:f>Donnee_Dover_150!$A$2</c:f>
              <c:numCache>
                <c:formatCode>General</c:formatCode>
                <c:ptCount val="1"/>
              </c:numCache>
            </c:numRef>
          </c:xVal>
          <c:yVal>
            <c:numRef>
              <c:f>Donnee_Dover_150!$E$2</c:f>
              <c:numCache>
                <c:formatCode>General</c:formatCode>
                <c:ptCount val="1"/>
              </c:numCache>
            </c:numRef>
          </c:yVal>
          <c:smooth val="0"/>
          <c:extLst>
            <c:ext xmlns:c16="http://schemas.microsoft.com/office/drawing/2014/chart" uri="{C3380CC4-5D6E-409C-BE32-E72D297353CC}">
              <c16:uniqueId val="{00000003-4711-4F22-9DDA-B4A37B77F37F}"/>
            </c:ext>
          </c:extLst>
        </c:ser>
        <c:ser>
          <c:idx val="4"/>
          <c:order val="4"/>
          <c:tx>
            <c:strRef>
              <c:f>Donnee_Dover_150!$F$1</c:f>
              <c:strCache>
                <c:ptCount val="1"/>
                <c:pt idx="0">
                  <c:v>Connecteur 5</c:v>
                </c:pt>
              </c:strCache>
            </c:strRef>
          </c:tx>
          <c:spPr>
            <a:ln w="19050" cap="rnd">
              <a:solidFill>
                <a:schemeClr val="accent5"/>
              </a:solidFill>
              <a:round/>
            </a:ln>
            <a:effectLst/>
          </c:spPr>
          <c:marker>
            <c:symbol val="none"/>
          </c:marker>
          <c:xVal>
            <c:numRef>
              <c:f>Donnee_Dover_150!$A$2</c:f>
              <c:numCache>
                <c:formatCode>General</c:formatCode>
                <c:ptCount val="1"/>
              </c:numCache>
            </c:numRef>
          </c:xVal>
          <c:yVal>
            <c:numRef>
              <c:f>Donnee_Dover_150!$F$2</c:f>
              <c:numCache>
                <c:formatCode>General</c:formatCode>
                <c:ptCount val="1"/>
              </c:numCache>
            </c:numRef>
          </c:yVal>
          <c:smooth val="0"/>
          <c:extLst>
            <c:ext xmlns:c16="http://schemas.microsoft.com/office/drawing/2014/chart" uri="{C3380CC4-5D6E-409C-BE32-E72D297353CC}">
              <c16:uniqueId val="{00000004-4711-4F22-9DDA-B4A37B77F37F}"/>
            </c:ext>
          </c:extLst>
        </c:ser>
        <c:ser>
          <c:idx val="5"/>
          <c:order val="5"/>
          <c:tx>
            <c:strRef>
              <c:f>Donnee_Dover_150!$G$1</c:f>
              <c:strCache>
                <c:ptCount val="1"/>
                <c:pt idx="0">
                  <c:v>Connecteur 6</c:v>
                </c:pt>
              </c:strCache>
            </c:strRef>
          </c:tx>
          <c:spPr>
            <a:ln w="19050" cap="rnd">
              <a:solidFill>
                <a:schemeClr val="accent6"/>
              </a:solidFill>
              <a:round/>
            </a:ln>
            <a:effectLst/>
          </c:spPr>
          <c:marker>
            <c:symbol val="none"/>
          </c:marker>
          <c:xVal>
            <c:numRef>
              <c:f>Donnee_Dover_150!$A$2</c:f>
              <c:numCache>
                <c:formatCode>General</c:formatCode>
                <c:ptCount val="1"/>
              </c:numCache>
            </c:numRef>
          </c:xVal>
          <c:yVal>
            <c:numRef>
              <c:f>Donnee_Dover_150!$G$2</c:f>
              <c:numCache>
                <c:formatCode>General</c:formatCode>
                <c:ptCount val="1"/>
              </c:numCache>
            </c:numRef>
          </c:yVal>
          <c:smooth val="0"/>
          <c:extLst>
            <c:ext xmlns:c16="http://schemas.microsoft.com/office/drawing/2014/chart" uri="{C3380CC4-5D6E-409C-BE32-E72D297353CC}">
              <c16:uniqueId val="{00000005-4711-4F22-9DDA-B4A37B77F37F}"/>
            </c:ext>
          </c:extLst>
        </c:ser>
        <c:ser>
          <c:idx val="6"/>
          <c:order val="6"/>
          <c:tx>
            <c:strRef>
              <c:f>Donnee_Dover_150!$H$1</c:f>
              <c:strCache>
                <c:ptCount val="1"/>
                <c:pt idx="0">
                  <c:v>Connecteur 7</c:v>
                </c:pt>
              </c:strCache>
            </c:strRef>
          </c:tx>
          <c:spPr>
            <a:ln w="19050" cap="rnd">
              <a:solidFill>
                <a:schemeClr val="accent1">
                  <a:lumMod val="60000"/>
                </a:schemeClr>
              </a:solidFill>
              <a:round/>
            </a:ln>
            <a:effectLst/>
          </c:spPr>
          <c:marker>
            <c:symbol val="none"/>
          </c:marker>
          <c:xVal>
            <c:numRef>
              <c:f>Donnee_Dover_150!$A$2</c:f>
              <c:numCache>
                <c:formatCode>General</c:formatCode>
                <c:ptCount val="1"/>
              </c:numCache>
            </c:numRef>
          </c:xVal>
          <c:yVal>
            <c:numRef>
              <c:f>Donnee_Dover_150!$H$2</c:f>
              <c:numCache>
                <c:formatCode>General</c:formatCode>
                <c:ptCount val="1"/>
              </c:numCache>
            </c:numRef>
          </c:yVal>
          <c:smooth val="0"/>
          <c:extLst>
            <c:ext xmlns:c16="http://schemas.microsoft.com/office/drawing/2014/chart" uri="{C3380CC4-5D6E-409C-BE32-E72D297353CC}">
              <c16:uniqueId val="{00000006-4711-4F22-9DDA-B4A37B77F37F}"/>
            </c:ext>
          </c:extLst>
        </c:ser>
        <c:ser>
          <c:idx val="7"/>
          <c:order val="7"/>
          <c:tx>
            <c:strRef>
              <c:f>Donnee_Dover_150!$I$1</c:f>
              <c:strCache>
                <c:ptCount val="1"/>
                <c:pt idx="0">
                  <c:v>Connecteur 8</c:v>
                </c:pt>
              </c:strCache>
            </c:strRef>
          </c:tx>
          <c:spPr>
            <a:ln w="19050" cap="rnd">
              <a:solidFill>
                <a:schemeClr val="accent2">
                  <a:lumMod val="60000"/>
                </a:schemeClr>
              </a:solidFill>
              <a:round/>
            </a:ln>
            <a:effectLst/>
          </c:spPr>
          <c:marker>
            <c:symbol val="none"/>
          </c:marker>
          <c:xVal>
            <c:numRef>
              <c:f>Donnee_Dover_150!$A$2</c:f>
              <c:numCache>
                <c:formatCode>General</c:formatCode>
                <c:ptCount val="1"/>
              </c:numCache>
            </c:numRef>
          </c:xVal>
          <c:yVal>
            <c:numRef>
              <c:f>Donnee_Dover_150!$I$2</c:f>
              <c:numCache>
                <c:formatCode>General</c:formatCode>
                <c:ptCount val="1"/>
              </c:numCache>
            </c:numRef>
          </c:yVal>
          <c:smooth val="0"/>
          <c:extLst>
            <c:ext xmlns:c16="http://schemas.microsoft.com/office/drawing/2014/chart" uri="{C3380CC4-5D6E-409C-BE32-E72D297353CC}">
              <c16:uniqueId val="{00000007-4711-4F22-9DDA-B4A37B77F37F}"/>
            </c:ext>
          </c:extLst>
        </c:ser>
        <c:ser>
          <c:idx val="8"/>
          <c:order val="8"/>
          <c:tx>
            <c:strRef>
              <c:f>Donnee_Dover_150!$J$1</c:f>
              <c:strCache>
                <c:ptCount val="1"/>
                <c:pt idx="0">
                  <c:v>Connecteur 9</c:v>
                </c:pt>
              </c:strCache>
            </c:strRef>
          </c:tx>
          <c:spPr>
            <a:ln w="19050" cap="rnd">
              <a:solidFill>
                <a:schemeClr val="accent3">
                  <a:lumMod val="60000"/>
                </a:schemeClr>
              </a:solidFill>
              <a:round/>
            </a:ln>
            <a:effectLst/>
          </c:spPr>
          <c:marker>
            <c:symbol val="none"/>
          </c:marker>
          <c:xVal>
            <c:numRef>
              <c:f>Donnee_Dover_150!$A$2</c:f>
              <c:numCache>
                <c:formatCode>General</c:formatCode>
                <c:ptCount val="1"/>
              </c:numCache>
            </c:numRef>
          </c:xVal>
          <c:yVal>
            <c:numRef>
              <c:f>Donnee_Dover_150!$J$2</c:f>
              <c:numCache>
                <c:formatCode>General</c:formatCode>
                <c:ptCount val="1"/>
              </c:numCache>
            </c:numRef>
          </c:yVal>
          <c:smooth val="0"/>
          <c:extLst>
            <c:ext xmlns:c16="http://schemas.microsoft.com/office/drawing/2014/chart" uri="{C3380CC4-5D6E-409C-BE32-E72D297353CC}">
              <c16:uniqueId val="{00000008-4711-4F22-9DDA-B4A37B77F37F}"/>
            </c:ext>
          </c:extLst>
        </c:ser>
        <c:dLbls>
          <c:showLegendKey val="0"/>
          <c:showVal val="0"/>
          <c:showCatName val="0"/>
          <c:showSerName val="0"/>
          <c:showPercent val="0"/>
          <c:showBubbleSize val="0"/>
        </c:dLbls>
        <c:axId val="754557288"/>
        <c:axId val="754557648"/>
      </c:scatterChart>
      <c:valAx>
        <c:axId val="754557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648"/>
        <c:crosses val="autoZero"/>
        <c:crossBetween val="midCat"/>
      </c:valAx>
      <c:valAx>
        <c:axId val="7545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2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a:t>
            </a:r>
            <a:r>
              <a:rPr lang="fr-FR" baseline="0"/>
              <a:t> l'enregistrement sous 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Donnee_Dover_50!$B$1</c:f>
              <c:strCache>
                <c:ptCount val="1"/>
                <c:pt idx="0">
                  <c:v>Connecteur 1</c:v>
                </c:pt>
              </c:strCache>
            </c:strRef>
          </c:tx>
          <c:spPr>
            <a:ln w="19050" cap="rnd">
              <a:solidFill>
                <a:schemeClr val="accent1"/>
              </a:solidFill>
              <a:round/>
            </a:ln>
            <a:effectLst/>
          </c:spPr>
          <c:marker>
            <c:symbol val="none"/>
          </c:marker>
          <c:xVal>
            <c:numRef>
              <c:f>Donnee_Dover_50!$A$2</c:f>
              <c:numCache>
                <c:formatCode>General</c:formatCode>
                <c:ptCount val="1"/>
              </c:numCache>
            </c:numRef>
          </c:xVal>
          <c:yVal>
            <c:numRef>
              <c:f>Donnee_Dover_50!$B$2</c:f>
              <c:numCache>
                <c:formatCode>General</c:formatCode>
                <c:ptCount val="1"/>
              </c:numCache>
            </c:numRef>
          </c:yVal>
          <c:smooth val="0"/>
          <c:extLst>
            <c:ext xmlns:c16="http://schemas.microsoft.com/office/drawing/2014/chart" uri="{C3380CC4-5D6E-409C-BE32-E72D297353CC}">
              <c16:uniqueId val="{00000000-90F9-4C9B-A523-AD7A9D69ACD8}"/>
            </c:ext>
          </c:extLst>
        </c:ser>
        <c:ser>
          <c:idx val="1"/>
          <c:order val="1"/>
          <c:tx>
            <c:strRef>
              <c:f>Donnee_Dover_50!$C$1</c:f>
              <c:strCache>
                <c:ptCount val="1"/>
                <c:pt idx="0">
                  <c:v>Connecteur 2</c:v>
                </c:pt>
              </c:strCache>
            </c:strRef>
          </c:tx>
          <c:spPr>
            <a:ln w="19050" cap="rnd">
              <a:solidFill>
                <a:schemeClr val="accent2"/>
              </a:solidFill>
              <a:round/>
            </a:ln>
            <a:effectLst/>
          </c:spPr>
          <c:marker>
            <c:symbol val="none"/>
          </c:marker>
          <c:xVal>
            <c:numRef>
              <c:f>Donnee_Dover_50!$A$2</c:f>
              <c:numCache>
                <c:formatCode>General</c:formatCode>
                <c:ptCount val="1"/>
              </c:numCache>
            </c:numRef>
          </c:xVal>
          <c:yVal>
            <c:numRef>
              <c:f>Donnee_Dover_50!$C$2</c:f>
              <c:numCache>
                <c:formatCode>General</c:formatCode>
                <c:ptCount val="1"/>
              </c:numCache>
            </c:numRef>
          </c:yVal>
          <c:smooth val="0"/>
          <c:extLst>
            <c:ext xmlns:c16="http://schemas.microsoft.com/office/drawing/2014/chart" uri="{C3380CC4-5D6E-409C-BE32-E72D297353CC}">
              <c16:uniqueId val="{00000001-90F9-4C9B-A523-AD7A9D69ACD8}"/>
            </c:ext>
          </c:extLst>
        </c:ser>
        <c:ser>
          <c:idx val="2"/>
          <c:order val="2"/>
          <c:tx>
            <c:strRef>
              <c:f>Donnee_Dover_50!$D$1</c:f>
              <c:strCache>
                <c:ptCount val="1"/>
                <c:pt idx="0">
                  <c:v>Connecteur 3</c:v>
                </c:pt>
              </c:strCache>
            </c:strRef>
          </c:tx>
          <c:spPr>
            <a:ln w="19050" cap="rnd">
              <a:solidFill>
                <a:schemeClr val="accent3"/>
              </a:solidFill>
              <a:round/>
            </a:ln>
            <a:effectLst/>
          </c:spPr>
          <c:marker>
            <c:symbol val="none"/>
          </c:marker>
          <c:xVal>
            <c:numRef>
              <c:f>Donnee_Dover_50!$A$2</c:f>
              <c:numCache>
                <c:formatCode>General</c:formatCode>
                <c:ptCount val="1"/>
              </c:numCache>
            </c:numRef>
          </c:xVal>
          <c:yVal>
            <c:numRef>
              <c:f>Donnee_Dover_50!$D$2</c:f>
              <c:numCache>
                <c:formatCode>General</c:formatCode>
                <c:ptCount val="1"/>
              </c:numCache>
            </c:numRef>
          </c:yVal>
          <c:smooth val="0"/>
          <c:extLst>
            <c:ext xmlns:c16="http://schemas.microsoft.com/office/drawing/2014/chart" uri="{C3380CC4-5D6E-409C-BE32-E72D297353CC}">
              <c16:uniqueId val="{00000002-90F9-4C9B-A523-AD7A9D69ACD8}"/>
            </c:ext>
          </c:extLst>
        </c:ser>
        <c:ser>
          <c:idx val="3"/>
          <c:order val="3"/>
          <c:tx>
            <c:strRef>
              <c:f>Donnee_Dover_50!$E$1</c:f>
              <c:strCache>
                <c:ptCount val="1"/>
                <c:pt idx="0">
                  <c:v>Connecteur 4</c:v>
                </c:pt>
              </c:strCache>
            </c:strRef>
          </c:tx>
          <c:spPr>
            <a:ln w="19050" cap="rnd">
              <a:solidFill>
                <a:schemeClr val="accent4"/>
              </a:solidFill>
              <a:round/>
            </a:ln>
            <a:effectLst/>
          </c:spPr>
          <c:marker>
            <c:symbol val="none"/>
          </c:marker>
          <c:xVal>
            <c:numRef>
              <c:f>Donnee_Dover_50!$A$2</c:f>
              <c:numCache>
                <c:formatCode>General</c:formatCode>
                <c:ptCount val="1"/>
              </c:numCache>
            </c:numRef>
          </c:xVal>
          <c:yVal>
            <c:numRef>
              <c:f>Donnee_Dover_50!$E$2</c:f>
              <c:numCache>
                <c:formatCode>General</c:formatCode>
                <c:ptCount val="1"/>
              </c:numCache>
            </c:numRef>
          </c:yVal>
          <c:smooth val="0"/>
          <c:extLst>
            <c:ext xmlns:c16="http://schemas.microsoft.com/office/drawing/2014/chart" uri="{C3380CC4-5D6E-409C-BE32-E72D297353CC}">
              <c16:uniqueId val="{00000003-90F9-4C9B-A523-AD7A9D69ACD8}"/>
            </c:ext>
          </c:extLst>
        </c:ser>
        <c:ser>
          <c:idx val="4"/>
          <c:order val="4"/>
          <c:tx>
            <c:strRef>
              <c:f>Donnee_Dover_50!$F$1</c:f>
              <c:strCache>
                <c:ptCount val="1"/>
                <c:pt idx="0">
                  <c:v>Connecteur 5</c:v>
                </c:pt>
              </c:strCache>
            </c:strRef>
          </c:tx>
          <c:spPr>
            <a:ln w="19050" cap="rnd">
              <a:solidFill>
                <a:schemeClr val="accent5"/>
              </a:solidFill>
              <a:round/>
            </a:ln>
            <a:effectLst/>
          </c:spPr>
          <c:marker>
            <c:symbol val="none"/>
          </c:marker>
          <c:xVal>
            <c:numRef>
              <c:f>Donnee_Dover_50!$A$2</c:f>
              <c:numCache>
                <c:formatCode>General</c:formatCode>
                <c:ptCount val="1"/>
              </c:numCache>
            </c:numRef>
          </c:xVal>
          <c:yVal>
            <c:numRef>
              <c:f>Donnee_Dover_50!$F$2</c:f>
              <c:numCache>
                <c:formatCode>General</c:formatCode>
                <c:ptCount val="1"/>
              </c:numCache>
            </c:numRef>
          </c:yVal>
          <c:smooth val="0"/>
          <c:extLst>
            <c:ext xmlns:c16="http://schemas.microsoft.com/office/drawing/2014/chart" uri="{C3380CC4-5D6E-409C-BE32-E72D297353CC}">
              <c16:uniqueId val="{00000004-90F9-4C9B-A523-AD7A9D69ACD8}"/>
            </c:ext>
          </c:extLst>
        </c:ser>
        <c:ser>
          <c:idx val="5"/>
          <c:order val="5"/>
          <c:tx>
            <c:strRef>
              <c:f>Donnee_Dover_50!$G$1</c:f>
              <c:strCache>
                <c:ptCount val="1"/>
                <c:pt idx="0">
                  <c:v>Connecteur 6</c:v>
                </c:pt>
              </c:strCache>
            </c:strRef>
          </c:tx>
          <c:spPr>
            <a:ln w="19050" cap="rnd">
              <a:solidFill>
                <a:schemeClr val="accent6"/>
              </a:solidFill>
              <a:round/>
            </a:ln>
            <a:effectLst/>
          </c:spPr>
          <c:marker>
            <c:symbol val="none"/>
          </c:marker>
          <c:xVal>
            <c:numRef>
              <c:f>Donnee_Dover_50!$A$2</c:f>
              <c:numCache>
                <c:formatCode>General</c:formatCode>
                <c:ptCount val="1"/>
              </c:numCache>
            </c:numRef>
          </c:xVal>
          <c:yVal>
            <c:numRef>
              <c:f>Donnee_Dover_50!$G$2</c:f>
              <c:numCache>
                <c:formatCode>General</c:formatCode>
                <c:ptCount val="1"/>
              </c:numCache>
            </c:numRef>
          </c:yVal>
          <c:smooth val="0"/>
          <c:extLst>
            <c:ext xmlns:c16="http://schemas.microsoft.com/office/drawing/2014/chart" uri="{C3380CC4-5D6E-409C-BE32-E72D297353CC}">
              <c16:uniqueId val="{00000005-90F9-4C9B-A523-AD7A9D69ACD8}"/>
            </c:ext>
          </c:extLst>
        </c:ser>
        <c:ser>
          <c:idx val="6"/>
          <c:order val="6"/>
          <c:tx>
            <c:strRef>
              <c:f>Donnee_Dover_50!$H$1</c:f>
              <c:strCache>
                <c:ptCount val="1"/>
                <c:pt idx="0">
                  <c:v>Connecteur 7</c:v>
                </c:pt>
              </c:strCache>
            </c:strRef>
          </c:tx>
          <c:spPr>
            <a:ln w="19050" cap="rnd">
              <a:solidFill>
                <a:schemeClr val="accent1">
                  <a:lumMod val="60000"/>
                </a:schemeClr>
              </a:solidFill>
              <a:round/>
            </a:ln>
            <a:effectLst/>
          </c:spPr>
          <c:marker>
            <c:symbol val="none"/>
          </c:marker>
          <c:xVal>
            <c:numRef>
              <c:f>Donnee_Dover_50!$A$2</c:f>
              <c:numCache>
                <c:formatCode>General</c:formatCode>
                <c:ptCount val="1"/>
              </c:numCache>
            </c:numRef>
          </c:xVal>
          <c:yVal>
            <c:numRef>
              <c:f>Donnee_Dover_50!$H$2</c:f>
              <c:numCache>
                <c:formatCode>General</c:formatCode>
                <c:ptCount val="1"/>
              </c:numCache>
            </c:numRef>
          </c:yVal>
          <c:smooth val="0"/>
          <c:extLst>
            <c:ext xmlns:c16="http://schemas.microsoft.com/office/drawing/2014/chart" uri="{C3380CC4-5D6E-409C-BE32-E72D297353CC}">
              <c16:uniqueId val="{00000006-90F9-4C9B-A523-AD7A9D69ACD8}"/>
            </c:ext>
          </c:extLst>
        </c:ser>
        <c:ser>
          <c:idx val="7"/>
          <c:order val="7"/>
          <c:tx>
            <c:strRef>
              <c:f>Donnee_Dover_50!$I$1</c:f>
              <c:strCache>
                <c:ptCount val="1"/>
                <c:pt idx="0">
                  <c:v>Connecteur 8</c:v>
                </c:pt>
              </c:strCache>
            </c:strRef>
          </c:tx>
          <c:spPr>
            <a:ln w="19050" cap="rnd">
              <a:solidFill>
                <a:schemeClr val="accent2">
                  <a:lumMod val="60000"/>
                </a:schemeClr>
              </a:solidFill>
              <a:round/>
            </a:ln>
            <a:effectLst/>
          </c:spPr>
          <c:marker>
            <c:symbol val="none"/>
          </c:marker>
          <c:xVal>
            <c:numRef>
              <c:f>Donnee_Dover_50!$A$2</c:f>
              <c:numCache>
                <c:formatCode>General</c:formatCode>
                <c:ptCount val="1"/>
              </c:numCache>
            </c:numRef>
          </c:xVal>
          <c:yVal>
            <c:numRef>
              <c:f>Donnee_Dover_50!$I$2</c:f>
              <c:numCache>
                <c:formatCode>General</c:formatCode>
                <c:ptCount val="1"/>
              </c:numCache>
            </c:numRef>
          </c:yVal>
          <c:smooth val="0"/>
          <c:extLst>
            <c:ext xmlns:c16="http://schemas.microsoft.com/office/drawing/2014/chart" uri="{C3380CC4-5D6E-409C-BE32-E72D297353CC}">
              <c16:uniqueId val="{00000007-90F9-4C9B-A523-AD7A9D69ACD8}"/>
            </c:ext>
          </c:extLst>
        </c:ser>
        <c:ser>
          <c:idx val="8"/>
          <c:order val="8"/>
          <c:tx>
            <c:strRef>
              <c:f>Donnee_Dover_50!$J$1</c:f>
              <c:strCache>
                <c:ptCount val="1"/>
                <c:pt idx="0">
                  <c:v>Connecteur 9</c:v>
                </c:pt>
              </c:strCache>
            </c:strRef>
          </c:tx>
          <c:spPr>
            <a:ln w="19050" cap="rnd">
              <a:solidFill>
                <a:schemeClr val="accent3">
                  <a:lumMod val="60000"/>
                </a:schemeClr>
              </a:solidFill>
              <a:round/>
            </a:ln>
            <a:effectLst/>
          </c:spPr>
          <c:marker>
            <c:symbol val="none"/>
          </c:marker>
          <c:xVal>
            <c:numRef>
              <c:f>Donnee_Dover_50!$A$2</c:f>
              <c:numCache>
                <c:formatCode>General</c:formatCode>
                <c:ptCount val="1"/>
              </c:numCache>
            </c:numRef>
          </c:xVal>
          <c:yVal>
            <c:numRef>
              <c:f>Donnee_Dover_50!$J$2</c:f>
              <c:numCache>
                <c:formatCode>General</c:formatCode>
                <c:ptCount val="1"/>
              </c:numCache>
            </c:numRef>
          </c:yVal>
          <c:smooth val="0"/>
          <c:extLst>
            <c:ext xmlns:c16="http://schemas.microsoft.com/office/drawing/2014/chart" uri="{C3380CC4-5D6E-409C-BE32-E72D297353CC}">
              <c16:uniqueId val="{00000008-90F9-4C9B-A523-AD7A9D69ACD8}"/>
            </c:ext>
          </c:extLst>
        </c:ser>
        <c:dLbls>
          <c:showLegendKey val="0"/>
          <c:showVal val="0"/>
          <c:showCatName val="0"/>
          <c:showSerName val="0"/>
          <c:showPercent val="0"/>
          <c:showBubbleSize val="0"/>
        </c:dLbls>
        <c:axId val="953973528"/>
        <c:axId val="953973888"/>
      </c:scatterChart>
      <c:valAx>
        <c:axId val="953973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888"/>
        <c:crosses val="autoZero"/>
        <c:crossBetween val="midCat"/>
      </c:valAx>
      <c:valAx>
        <c:axId val="95397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sous 100°C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Donnee_Dover_100!$B$1</c:f>
              <c:strCache>
                <c:ptCount val="1"/>
                <c:pt idx="0">
                  <c:v>Connecteur 1</c:v>
                </c:pt>
              </c:strCache>
            </c:strRef>
          </c:tx>
          <c:spPr>
            <a:ln w="19050" cap="rnd">
              <a:solidFill>
                <a:schemeClr val="accent1"/>
              </a:solidFill>
              <a:round/>
            </a:ln>
            <a:effectLst/>
          </c:spPr>
          <c:marker>
            <c:symbol val="none"/>
          </c:marker>
          <c:xVal>
            <c:numRef>
              <c:f>Donnee_Dover_100!$A$2</c:f>
              <c:numCache>
                <c:formatCode>General</c:formatCode>
                <c:ptCount val="1"/>
              </c:numCache>
            </c:numRef>
          </c:xVal>
          <c:yVal>
            <c:numRef>
              <c:f>Donnee_Dover_100!$B$2</c:f>
              <c:numCache>
                <c:formatCode>General</c:formatCode>
                <c:ptCount val="1"/>
              </c:numCache>
            </c:numRef>
          </c:yVal>
          <c:smooth val="0"/>
          <c:extLst>
            <c:ext xmlns:c16="http://schemas.microsoft.com/office/drawing/2014/chart" uri="{C3380CC4-5D6E-409C-BE32-E72D297353CC}">
              <c16:uniqueId val="{00000000-4C34-4F93-A871-72D90FB8A19B}"/>
            </c:ext>
          </c:extLst>
        </c:ser>
        <c:ser>
          <c:idx val="1"/>
          <c:order val="1"/>
          <c:tx>
            <c:strRef>
              <c:f>Donnee_Dover_100!$C$1</c:f>
              <c:strCache>
                <c:ptCount val="1"/>
                <c:pt idx="0">
                  <c:v>Connecteur 2</c:v>
                </c:pt>
              </c:strCache>
            </c:strRef>
          </c:tx>
          <c:spPr>
            <a:ln w="19050" cap="rnd">
              <a:solidFill>
                <a:schemeClr val="accent2"/>
              </a:solidFill>
              <a:round/>
            </a:ln>
            <a:effectLst/>
          </c:spPr>
          <c:marker>
            <c:symbol val="none"/>
          </c:marker>
          <c:xVal>
            <c:numRef>
              <c:f>Donnee_Dover_100!$A$2</c:f>
              <c:numCache>
                <c:formatCode>General</c:formatCode>
                <c:ptCount val="1"/>
              </c:numCache>
            </c:numRef>
          </c:xVal>
          <c:yVal>
            <c:numRef>
              <c:f>Donnee_Dover_100!$C$2</c:f>
              <c:numCache>
                <c:formatCode>General</c:formatCode>
                <c:ptCount val="1"/>
              </c:numCache>
            </c:numRef>
          </c:yVal>
          <c:smooth val="0"/>
          <c:extLst>
            <c:ext xmlns:c16="http://schemas.microsoft.com/office/drawing/2014/chart" uri="{C3380CC4-5D6E-409C-BE32-E72D297353CC}">
              <c16:uniqueId val="{00000001-4C34-4F93-A871-72D90FB8A19B}"/>
            </c:ext>
          </c:extLst>
        </c:ser>
        <c:ser>
          <c:idx val="2"/>
          <c:order val="2"/>
          <c:tx>
            <c:strRef>
              <c:f>Donnee_Dover_100!$D$1</c:f>
              <c:strCache>
                <c:ptCount val="1"/>
                <c:pt idx="0">
                  <c:v>Connecteur 3</c:v>
                </c:pt>
              </c:strCache>
            </c:strRef>
          </c:tx>
          <c:spPr>
            <a:ln w="19050" cap="rnd">
              <a:solidFill>
                <a:schemeClr val="accent3"/>
              </a:solidFill>
              <a:round/>
            </a:ln>
            <a:effectLst/>
          </c:spPr>
          <c:marker>
            <c:symbol val="none"/>
          </c:marker>
          <c:xVal>
            <c:numRef>
              <c:f>Donnee_Dover_100!$A$2</c:f>
              <c:numCache>
                <c:formatCode>General</c:formatCode>
                <c:ptCount val="1"/>
              </c:numCache>
            </c:numRef>
          </c:xVal>
          <c:yVal>
            <c:numRef>
              <c:f>Donnee_Dover_100!$D$2</c:f>
              <c:numCache>
                <c:formatCode>General</c:formatCode>
                <c:ptCount val="1"/>
              </c:numCache>
            </c:numRef>
          </c:yVal>
          <c:smooth val="0"/>
          <c:extLst>
            <c:ext xmlns:c16="http://schemas.microsoft.com/office/drawing/2014/chart" uri="{C3380CC4-5D6E-409C-BE32-E72D297353CC}">
              <c16:uniqueId val="{00000002-4C34-4F93-A871-72D90FB8A19B}"/>
            </c:ext>
          </c:extLst>
        </c:ser>
        <c:ser>
          <c:idx val="3"/>
          <c:order val="3"/>
          <c:tx>
            <c:strRef>
              <c:f>Donnee_Dover_100!$E$1</c:f>
              <c:strCache>
                <c:ptCount val="1"/>
                <c:pt idx="0">
                  <c:v>Connecteur 4</c:v>
                </c:pt>
              </c:strCache>
            </c:strRef>
          </c:tx>
          <c:spPr>
            <a:ln w="19050" cap="rnd">
              <a:solidFill>
                <a:schemeClr val="accent4"/>
              </a:solidFill>
              <a:round/>
            </a:ln>
            <a:effectLst/>
          </c:spPr>
          <c:marker>
            <c:symbol val="none"/>
          </c:marker>
          <c:xVal>
            <c:numRef>
              <c:f>Donnee_Dover_100!$A$2</c:f>
              <c:numCache>
                <c:formatCode>General</c:formatCode>
                <c:ptCount val="1"/>
              </c:numCache>
            </c:numRef>
          </c:xVal>
          <c:yVal>
            <c:numRef>
              <c:f>Donnee_Dover_100!$E$2</c:f>
              <c:numCache>
                <c:formatCode>General</c:formatCode>
                <c:ptCount val="1"/>
              </c:numCache>
            </c:numRef>
          </c:yVal>
          <c:smooth val="0"/>
          <c:extLst>
            <c:ext xmlns:c16="http://schemas.microsoft.com/office/drawing/2014/chart" uri="{C3380CC4-5D6E-409C-BE32-E72D297353CC}">
              <c16:uniqueId val="{00000003-4C34-4F93-A871-72D90FB8A19B}"/>
            </c:ext>
          </c:extLst>
        </c:ser>
        <c:ser>
          <c:idx val="4"/>
          <c:order val="4"/>
          <c:tx>
            <c:strRef>
              <c:f>Donnee_Dover_100!$F$1</c:f>
              <c:strCache>
                <c:ptCount val="1"/>
                <c:pt idx="0">
                  <c:v>Connecteur 5</c:v>
                </c:pt>
              </c:strCache>
            </c:strRef>
          </c:tx>
          <c:spPr>
            <a:ln w="19050" cap="rnd">
              <a:solidFill>
                <a:schemeClr val="accent5"/>
              </a:solidFill>
              <a:round/>
            </a:ln>
            <a:effectLst/>
          </c:spPr>
          <c:marker>
            <c:symbol val="none"/>
          </c:marker>
          <c:xVal>
            <c:numRef>
              <c:f>Donnee_Dover_100!$A$2</c:f>
              <c:numCache>
                <c:formatCode>General</c:formatCode>
                <c:ptCount val="1"/>
              </c:numCache>
            </c:numRef>
          </c:xVal>
          <c:yVal>
            <c:numRef>
              <c:f>Donnee_Dover_100!$F$2</c:f>
              <c:numCache>
                <c:formatCode>General</c:formatCode>
                <c:ptCount val="1"/>
              </c:numCache>
            </c:numRef>
          </c:yVal>
          <c:smooth val="0"/>
          <c:extLst>
            <c:ext xmlns:c16="http://schemas.microsoft.com/office/drawing/2014/chart" uri="{C3380CC4-5D6E-409C-BE32-E72D297353CC}">
              <c16:uniqueId val="{00000004-4C34-4F93-A871-72D90FB8A19B}"/>
            </c:ext>
          </c:extLst>
        </c:ser>
        <c:ser>
          <c:idx val="5"/>
          <c:order val="5"/>
          <c:tx>
            <c:strRef>
              <c:f>Donnee_Dover_100!$G$1</c:f>
              <c:strCache>
                <c:ptCount val="1"/>
                <c:pt idx="0">
                  <c:v>Connecteur 6</c:v>
                </c:pt>
              </c:strCache>
            </c:strRef>
          </c:tx>
          <c:spPr>
            <a:ln w="19050" cap="rnd">
              <a:solidFill>
                <a:schemeClr val="accent6"/>
              </a:solidFill>
              <a:round/>
            </a:ln>
            <a:effectLst/>
          </c:spPr>
          <c:marker>
            <c:symbol val="none"/>
          </c:marker>
          <c:xVal>
            <c:numRef>
              <c:f>Donnee_Dover_100!$A$2</c:f>
              <c:numCache>
                <c:formatCode>General</c:formatCode>
                <c:ptCount val="1"/>
              </c:numCache>
            </c:numRef>
          </c:xVal>
          <c:yVal>
            <c:numRef>
              <c:f>Donnee_Dover_100!$G$2</c:f>
              <c:numCache>
                <c:formatCode>General</c:formatCode>
                <c:ptCount val="1"/>
              </c:numCache>
            </c:numRef>
          </c:yVal>
          <c:smooth val="0"/>
          <c:extLst>
            <c:ext xmlns:c16="http://schemas.microsoft.com/office/drawing/2014/chart" uri="{C3380CC4-5D6E-409C-BE32-E72D297353CC}">
              <c16:uniqueId val="{00000005-4C34-4F93-A871-72D90FB8A19B}"/>
            </c:ext>
          </c:extLst>
        </c:ser>
        <c:ser>
          <c:idx val="6"/>
          <c:order val="6"/>
          <c:tx>
            <c:strRef>
              <c:f>Donnee_Dover_100!$H$1</c:f>
              <c:strCache>
                <c:ptCount val="1"/>
                <c:pt idx="0">
                  <c:v>Connecteur 7</c:v>
                </c:pt>
              </c:strCache>
            </c:strRef>
          </c:tx>
          <c:spPr>
            <a:ln w="19050" cap="rnd">
              <a:solidFill>
                <a:schemeClr val="accent1">
                  <a:lumMod val="60000"/>
                </a:schemeClr>
              </a:solidFill>
              <a:round/>
            </a:ln>
            <a:effectLst/>
          </c:spPr>
          <c:marker>
            <c:symbol val="none"/>
          </c:marker>
          <c:xVal>
            <c:numRef>
              <c:f>Donnee_Dover_100!$A$2</c:f>
              <c:numCache>
                <c:formatCode>General</c:formatCode>
                <c:ptCount val="1"/>
              </c:numCache>
            </c:numRef>
          </c:xVal>
          <c:yVal>
            <c:numRef>
              <c:f>Donnee_Dover_100!$H$2</c:f>
              <c:numCache>
                <c:formatCode>General</c:formatCode>
                <c:ptCount val="1"/>
              </c:numCache>
            </c:numRef>
          </c:yVal>
          <c:smooth val="0"/>
          <c:extLst>
            <c:ext xmlns:c16="http://schemas.microsoft.com/office/drawing/2014/chart" uri="{C3380CC4-5D6E-409C-BE32-E72D297353CC}">
              <c16:uniqueId val="{00000006-4C34-4F93-A871-72D90FB8A19B}"/>
            </c:ext>
          </c:extLst>
        </c:ser>
        <c:ser>
          <c:idx val="7"/>
          <c:order val="7"/>
          <c:tx>
            <c:strRef>
              <c:f>Donnee_Dover_100!$I$1</c:f>
              <c:strCache>
                <c:ptCount val="1"/>
                <c:pt idx="0">
                  <c:v>Connecteur 8</c:v>
                </c:pt>
              </c:strCache>
            </c:strRef>
          </c:tx>
          <c:spPr>
            <a:ln w="19050" cap="rnd">
              <a:solidFill>
                <a:schemeClr val="accent2">
                  <a:lumMod val="60000"/>
                </a:schemeClr>
              </a:solidFill>
              <a:round/>
            </a:ln>
            <a:effectLst/>
          </c:spPr>
          <c:marker>
            <c:symbol val="none"/>
          </c:marker>
          <c:xVal>
            <c:numRef>
              <c:f>Donnee_Dover_100!$A$2</c:f>
              <c:numCache>
                <c:formatCode>General</c:formatCode>
                <c:ptCount val="1"/>
              </c:numCache>
            </c:numRef>
          </c:xVal>
          <c:yVal>
            <c:numRef>
              <c:f>Donnee_Dover_100!$I$2</c:f>
              <c:numCache>
                <c:formatCode>General</c:formatCode>
                <c:ptCount val="1"/>
              </c:numCache>
            </c:numRef>
          </c:yVal>
          <c:smooth val="0"/>
          <c:extLst>
            <c:ext xmlns:c16="http://schemas.microsoft.com/office/drawing/2014/chart" uri="{C3380CC4-5D6E-409C-BE32-E72D297353CC}">
              <c16:uniqueId val="{00000007-4C34-4F93-A871-72D90FB8A19B}"/>
            </c:ext>
          </c:extLst>
        </c:ser>
        <c:ser>
          <c:idx val="8"/>
          <c:order val="8"/>
          <c:tx>
            <c:strRef>
              <c:f>Donnee_Dover_100!$J$1</c:f>
              <c:strCache>
                <c:ptCount val="1"/>
                <c:pt idx="0">
                  <c:v>Connecteur 9</c:v>
                </c:pt>
              </c:strCache>
            </c:strRef>
          </c:tx>
          <c:spPr>
            <a:ln w="19050" cap="rnd">
              <a:solidFill>
                <a:schemeClr val="accent3">
                  <a:lumMod val="60000"/>
                </a:schemeClr>
              </a:solidFill>
              <a:round/>
            </a:ln>
            <a:effectLst/>
          </c:spPr>
          <c:marker>
            <c:symbol val="none"/>
          </c:marker>
          <c:xVal>
            <c:numRef>
              <c:f>Donnee_Dover_100!$A$2</c:f>
              <c:numCache>
                <c:formatCode>General</c:formatCode>
                <c:ptCount val="1"/>
              </c:numCache>
            </c:numRef>
          </c:xVal>
          <c:yVal>
            <c:numRef>
              <c:f>Donnee_Dover_100!$J$2</c:f>
              <c:numCache>
                <c:formatCode>General</c:formatCode>
                <c:ptCount val="1"/>
              </c:numCache>
            </c:numRef>
          </c:yVal>
          <c:smooth val="0"/>
          <c:extLst>
            <c:ext xmlns:c16="http://schemas.microsoft.com/office/drawing/2014/chart" uri="{C3380CC4-5D6E-409C-BE32-E72D297353CC}">
              <c16:uniqueId val="{00000008-4C34-4F93-A871-72D90FB8A19B}"/>
            </c:ext>
          </c:extLst>
        </c:ser>
        <c:dLbls>
          <c:showLegendKey val="0"/>
          <c:showVal val="0"/>
          <c:showCatName val="0"/>
          <c:showSerName val="0"/>
          <c:showPercent val="0"/>
          <c:showBubbleSize val="0"/>
        </c:dLbls>
        <c:axId val="954004488"/>
        <c:axId val="954012768"/>
      </c:scatterChart>
      <c:valAx>
        <c:axId val="954004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12768"/>
        <c:crosses val="autoZero"/>
        <c:crossBetween val="midCat"/>
      </c:valAx>
      <c:valAx>
        <c:axId val="95401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04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sous 150°C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Donnee_Dover_150!$B$1</c:f>
              <c:strCache>
                <c:ptCount val="1"/>
                <c:pt idx="0">
                  <c:v>Connecteur 1</c:v>
                </c:pt>
              </c:strCache>
            </c:strRef>
          </c:tx>
          <c:spPr>
            <a:ln w="19050" cap="rnd">
              <a:solidFill>
                <a:schemeClr val="accent1"/>
              </a:solidFill>
              <a:round/>
            </a:ln>
            <a:effectLst/>
          </c:spPr>
          <c:marker>
            <c:symbol val="none"/>
          </c:marker>
          <c:xVal>
            <c:numRef>
              <c:f>Donnee_Dover_150!$A$2</c:f>
              <c:numCache>
                <c:formatCode>General</c:formatCode>
                <c:ptCount val="1"/>
              </c:numCache>
            </c:numRef>
          </c:xVal>
          <c:yVal>
            <c:numRef>
              <c:f>Donnee_Dover_150!$B$2</c:f>
              <c:numCache>
                <c:formatCode>General</c:formatCode>
                <c:ptCount val="1"/>
              </c:numCache>
            </c:numRef>
          </c:yVal>
          <c:smooth val="0"/>
          <c:extLst>
            <c:ext xmlns:c16="http://schemas.microsoft.com/office/drawing/2014/chart" uri="{C3380CC4-5D6E-409C-BE32-E72D297353CC}">
              <c16:uniqueId val="{00000000-EEFD-41A8-881C-AAD135C6C3DF}"/>
            </c:ext>
          </c:extLst>
        </c:ser>
        <c:ser>
          <c:idx val="1"/>
          <c:order val="1"/>
          <c:tx>
            <c:strRef>
              <c:f>Donnee_Dover_150!$C$1</c:f>
              <c:strCache>
                <c:ptCount val="1"/>
                <c:pt idx="0">
                  <c:v>Connecteur 2</c:v>
                </c:pt>
              </c:strCache>
            </c:strRef>
          </c:tx>
          <c:spPr>
            <a:ln w="19050" cap="rnd">
              <a:solidFill>
                <a:schemeClr val="accent2"/>
              </a:solidFill>
              <a:round/>
            </a:ln>
            <a:effectLst/>
          </c:spPr>
          <c:marker>
            <c:symbol val="none"/>
          </c:marker>
          <c:xVal>
            <c:numRef>
              <c:f>Donnee_Dover_150!$A$2</c:f>
              <c:numCache>
                <c:formatCode>General</c:formatCode>
                <c:ptCount val="1"/>
              </c:numCache>
            </c:numRef>
          </c:xVal>
          <c:yVal>
            <c:numRef>
              <c:f>Donnee_Dover_150!$C$2</c:f>
              <c:numCache>
                <c:formatCode>General</c:formatCode>
                <c:ptCount val="1"/>
              </c:numCache>
            </c:numRef>
          </c:yVal>
          <c:smooth val="0"/>
          <c:extLst>
            <c:ext xmlns:c16="http://schemas.microsoft.com/office/drawing/2014/chart" uri="{C3380CC4-5D6E-409C-BE32-E72D297353CC}">
              <c16:uniqueId val="{00000001-EEFD-41A8-881C-AAD135C6C3DF}"/>
            </c:ext>
          </c:extLst>
        </c:ser>
        <c:ser>
          <c:idx val="2"/>
          <c:order val="2"/>
          <c:tx>
            <c:strRef>
              <c:f>Donnee_Dover_150!$D$1</c:f>
              <c:strCache>
                <c:ptCount val="1"/>
                <c:pt idx="0">
                  <c:v>Connecteur 3</c:v>
                </c:pt>
              </c:strCache>
            </c:strRef>
          </c:tx>
          <c:spPr>
            <a:ln w="19050" cap="rnd">
              <a:solidFill>
                <a:schemeClr val="accent3"/>
              </a:solidFill>
              <a:round/>
            </a:ln>
            <a:effectLst/>
          </c:spPr>
          <c:marker>
            <c:symbol val="none"/>
          </c:marker>
          <c:xVal>
            <c:numRef>
              <c:f>Donnee_Dover_150!$A$2</c:f>
              <c:numCache>
                <c:formatCode>General</c:formatCode>
                <c:ptCount val="1"/>
              </c:numCache>
            </c:numRef>
          </c:xVal>
          <c:yVal>
            <c:numRef>
              <c:f>Donnee_Dover_150!$D$2</c:f>
              <c:numCache>
                <c:formatCode>General</c:formatCode>
                <c:ptCount val="1"/>
              </c:numCache>
            </c:numRef>
          </c:yVal>
          <c:smooth val="0"/>
          <c:extLst>
            <c:ext xmlns:c16="http://schemas.microsoft.com/office/drawing/2014/chart" uri="{C3380CC4-5D6E-409C-BE32-E72D297353CC}">
              <c16:uniqueId val="{00000002-EEFD-41A8-881C-AAD135C6C3DF}"/>
            </c:ext>
          </c:extLst>
        </c:ser>
        <c:ser>
          <c:idx val="3"/>
          <c:order val="3"/>
          <c:tx>
            <c:strRef>
              <c:f>Donnee_Dover_150!$E$1</c:f>
              <c:strCache>
                <c:ptCount val="1"/>
                <c:pt idx="0">
                  <c:v>Connecteur 4</c:v>
                </c:pt>
              </c:strCache>
            </c:strRef>
          </c:tx>
          <c:spPr>
            <a:ln w="19050" cap="rnd">
              <a:solidFill>
                <a:schemeClr val="accent4"/>
              </a:solidFill>
              <a:round/>
            </a:ln>
            <a:effectLst/>
          </c:spPr>
          <c:marker>
            <c:symbol val="none"/>
          </c:marker>
          <c:xVal>
            <c:numRef>
              <c:f>Donnee_Dover_150!$A$2</c:f>
              <c:numCache>
                <c:formatCode>General</c:formatCode>
                <c:ptCount val="1"/>
              </c:numCache>
            </c:numRef>
          </c:xVal>
          <c:yVal>
            <c:numRef>
              <c:f>Donnee_Dover_150!$E$2</c:f>
              <c:numCache>
                <c:formatCode>General</c:formatCode>
                <c:ptCount val="1"/>
              </c:numCache>
            </c:numRef>
          </c:yVal>
          <c:smooth val="0"/>
          <c:extLst>
            <c:ext xmlns:c16="http://schemas.microsoft.com/office/drawing/2014/chart" uri="{C3380CC4-5D6E-409C-BE32-E72D297353CC}">
              <c16:uniqueId val="{00000003-EEFD-41A8-881C-AAD135C6C3DF}"/>
            </c:ext>
          </c:extLst>
        </c:ser>
        <c:ser>
          <c:idx val="4"/>
          <c:order val="4"/>
          <c:tx>
            <c:strRef>
              <c:f>Donnee_Dover_150!$F$1</c:f>
              <c:strCache>
                <c:ptCount val="1"/>
                <c:pt idx="0">
                  <c:v>Connecteur 5</c:v>
                </c:pt>
              </c:strCache>
            </c:strRef>
          </c:tx>
          <c:spPr>
            <a:ln w="19050" cap="rnd">
              <a:solidFill>
                <a:schemeClr val="accent5"/>
              </a:solidFill>
              <a:round/>
            </a:ln>
            <a:effectLst/>
          </c:spPr>
          <c:marker>
            <c:symbol val="none"/>
          </c:marker>
          <c:xVal>
            <c:numRef>
              <c:f>Donnee_Dover_150!$A$2</c:f>
              <c:numCache>
                <c:formatCode>General</c:formatCode>
                <c:ptCount val="1"/>
              </c:numCache>
            </c:numRef>
          </c:xVal>
          <c:yVal>
            <c:numRef>
              <c:f>Donnee_Dover_150!$F$2</c:f>
              <c:numCache>
                <c:formatCode>General</c:formatCode>
                <c:ptCount val="1"/>
              </c:numCache>
            </c:numRef>
          </c:yVal>
          <c:smooth val="0"/>
          <c:extLst>
            <c:ext xmlns:c16="http://schemas.microsoft.com/office/drawing/2014/chart" uri="{C3380CC4-5D6E-409C-BE32-E72D297353CC}">
              <c16:uniqueId val="{00000004-EEFD-41A8-881C-AAD135C6C3DF}"/>
            </c:ext>
          </c:extLst>
        </c:ser>
        <c:ser>
          <c:idx val="5"/>
          <c:order val="5"/>
          <c:tx>
            <c:strRef>
              <c:f>Donnee_Dover_150!$G$1</c:f>
              <c:strCache>
                <c:ptCount val="1"/>
                <c:pt idx="0">
                  <c:v>Connecteur 6</c:v>
                </c:pt>
              </c:strCache>
            </c:strRef>
          </c:tx>
          <c:spPr>
            <a:ln w="19050" cap="rnd">
              <a:solidFill>
                <a:schemeClr val="accent6"/>
              </a:solidFill>
              <a:round/>
            </a:ln>
            <a:effectLst/>
          </c:spPr>
          <c:marker>
            <c:symbol val="none"/>
          </c:marker>
          <c:xVal>
            <c:numRef>
              <c:f>Donnee_Dover_150!$A$2</c:f>
              <c:numCache>
                <c:formatCode>General</c:formatCode>
                <c:ptCount val="1"/>
              </c:numCache>
            </c:numRef>
          </c:xVal>
          <c:yVal>
            <c:numRef>
              <c:f>Donnee_Dover_150!$G$2</c:f>
              <c:numCache>
                <c:formatCode>General</c:formatCode>
                <c:ptCount val="1"/>
              </c:numCache>
            </c:numRef>
          </c:yVal>
          <c:smooth val="0"/>
          <c:extLst>
            <c:ext xmlns:c16="http://schemas.microsoft.com/office/drawing/2014/chart" uri="{C3380CC4-5D6E-409C-BE32-E72D297353CC}">
              <c16:uniqueId val="{00000005-EEFD-41A8-881C-AAD135C6C3DF}"/>
            </c:ext>
          </c:extLst>
        </c:ser>
        <c:ser>
          <c:idx val="6"/>
          <c:order val="6"/>
          <c:tx>
            <c:strRef>
              <c:f>Donnee_Dover_150!$H$1</c:f>
              <c:strCache>
                <c:ptCount val="1"/>
                <c:pt idx="0">
                  <c:v>Connecteur 7</c:v>
                </c:pt>
              </c:strCache>
            </c:strRef>
          </c:tx>
          <c:spPr>
            <a:ln w="19050" cap="rnd">
              <a:solidFill>
                <a:schemeClr val="accent1">
                  <a:lumMod val="60000"/>
                </a:schemeClr>
              </a:solidFill>
              <a:round/>
            </a:ln>
            <a:effectLst/>
          </c:spPr>
          <c:marker>
            <c:symbol val="none"/>
          </c:marker>
          <c:xVal>
            <c:numRef>
              <c:f>Donnee_Dover_150!$A$2</c:f>
              <c:numCache>
                <c:formatCode>General</c:formatCode>
                <c:ptCount val="1"/>
              </c:numCache>
            </c:numRef>
          </c:xVal>
          <c:yVal>
            <c:numRef>
              <c:f>Donnee_Dover_150!$H$2</c:f>
              <c:numCache>
                <c:formatCode>General</c:formatCode>
                <c:ptCount val="1"/>
              </c:numCache>
            </c:numRef>
          </c:yVal>
          <c:smooth val="0"/>
          <c:extLst>
            <c:ext xmlns:c16="http://schemas.microsoft.com/office/drawing/2014/chart" uri="{C3380CC4-5D6E-409C-BE32-E72D297353CC}">
              <c16:uniqueId val="{00000006-EEFD-41A8-881C-AAD135C6C3DF}"/>
            </c:ext>
          </c:extLst>
        </c:ser>
        <c:ser>
          <c:idx val="7"/>
          <c:order val="7"/>
          <c:tx>
            <c:strRef>
              <c:f>Donnee_Dover_150!$I$1</c:f>
              <c:strCache>
                <c:ptCount val="1"/>
                <c:pt idx="0">
                  <c:v>Connecteur 8</c:v>
                </c:pt>
              </c:strCache>
            </c:strRef>
          </c:tx>
          <c:spPr>
            <a:ln w="19050" cap="rnd">
              <a:solidFill>
                <a:schemeClr val="accent2">
                  <a:lumMod val="60000"/>
                </a:schemeClr>
              </a:solidFill>
              <a:round/>
            </a:ln>
            <a:effectLst/>
          </c:spPr>
          <c:marker>
            <c:symbol val="none"/>
          </c:marker>
          <c:xVal>
            <c:numRef>
              <c:f>Donnee_Dover_150!$A$2</c:f>
              <c:numCache>
                <c:formatCode>General</c:formatCode>
                <c:ptCount val="1"/>
              </c:numCache>
            </c:numRef>
          </c:xVal>
          <c:yVal>
            <c:numRef>
              <c:f>Donnee_Dover_150!$I$2</c:f>
              <c:numCache>
                <c:formatCode>General</c:formatCode>
                <c:ptCount val="1"/>
              </c:numCache>
            </c:numRef>
          </c:yVal>
          <c:smooth val="0"/>
          <c:extLst>
            <c:ext xmlns:c16="http://schemas.microsoft.com/office/drawing/2014/chart" uri="{C3380CC4-5D6E-409C-BE32-E72D297353CC}">
              <c16:uniqueId val="{00000007-EEFD-41A8-881C-AAD135C6C3DF}"/>
            </c:ext>
          </c:extLst>
        </c:ser>
        <c:ser>
          <c:idx val="8"/>
          <c:order val="8"/>
          <c:tx>
            <c:strRef>
              <c:f>Donnee_Dover_150!$J$1</c:f>
              <c:strCache>
                <c:ptCount val="1"/>
                <c:pt idx="0">
                  <c:v>Connecteur 9</c:v>
                </c:pt>
              </c:strCache>
            </c:strRef>
          </c:tx>
          <c:spPr>
            <a:ln w="19050" cap="rnd">
              <a:solidFill>
                <a:schemeClr val="accent3">
                  <a:lumMod val="60000"/>
                </a:schemeClr>
              </a:solidFill>
              <a:round/>
            </a:ln>
            <a:effectLst/>
          </c:spPr>
          <c:marker>
            <c:symbol val="none"/>
          </c:marker>
          <c:xVal>
            <c:numRef>
              <c:f>Donnee_Dover_150!$A$2</c:f>
              <c:numCache>
                <c:formatCode>General</c:formatCode>
                <c:ptCount val="1"/>
              </c:numCache>
            </c:numRef>
          </c:xVal>
          <c:yVal>
            <c:numRef>
              <c:f>Donnee_Dover_150!$J$2</c:f>
              <c:numCache>
                <c:formatCode>General</c:formatCode>
                <c:ptCount val="1"/>
              </c:numCache>
            </c:numRef>
          </c:yVal>
          <c:smooth val="0"/>
          <c:extLst>
            <c:ext xmlns:c16="http://schemas.microsoft.com/office/drawing/2014/chart" uri="{C3380CC4-5D6E-409C-BE32-E72D297353CC}">
              <c16:uniqueId val="{00000008-EEFD-41A8-881C-AAD135C6C3DF}"/>
            </c:ext>
          </c:extLst>
        </c:ser>
        <c:dLbls>
          <c:showLegendKey val="0"/>
          <c:showVal val="0"/>
          <c:showCatName val="0"/>
          <c:showSerName val="0"/>
          <c:showPercent val="0"/>
          <c:showBubbleSize val="0"/>
        </c:dLbls>
        <c:axId val="754557288"/>
        <c:axId val="754557648"/>
      </c:scatterChart>
      <c:valAx>
        <c:axId val="754557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648"/>
        <c:crosses val="autoZero"/>
        <c:crossBetween val="midCat"/>
      </c:valAx>
      <c:valAx>
        <c:axId val="7545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2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jpg"/><Relationship Id="rId1" Type="http://schemas.openxmlformats.org/officeDocument/2006/relationships/image" Target="../media/image3.jpeg"/><Relationship Id="rId5" Type="http://schemas.openxmlformats.org/officeDocument/2006/relationships/chart" Target="../charts/chart2.xml"/><Relationship Id="rId4" Type="http://schemas.microsoft.com/office/2007/relationships/hdphoto" Target="../media/hdphoto1.wdp"/></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jpg"/><Relationship Id="rId1" Type="http://schemas.openxmlformats.org/officeDocument/2006/relationships/image" Target="../media/image3.jpeg"/><Relationship Id="rId5" Type="http://schemas.openxmlformats.org/officeDocument/2006/relationships/chart" Target="../charts/chart3.xml"/><Relationship Id="rId4" Type="http://schemas.microsoft.com/office/2007/relationships/hdphoto" Target="../media/hdphoto1.wdp"/></Relationships>
</file>

<file path=xl/drawings/_rels/drawing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4.jpg"/><Relationship Id="rId1" Type="http://schemas.openxmlformats.org/officeDocument/2006/relationships/image" Target="../media/image3.jpeg"/><Relationship Id="rId5" Type="http://schemas.openxmlformats.org/officeDocument/2006/relationships/chart" Target="../charts/chart9.xml"/><Relationship Id="rId4"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jpg"/><Relationship Id="rId1" Type="http://schemas.openxmlformats.org/officeDocument/2006/relationships/image" Target="../media/image3.jpeg"/><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561975</xdr:colOff>
          <xdr:row>4</xdr:row>
          <xdr:rowOff>152400</xdr:rowOff>
        </xdr:from>
        <xdr:to>
          <xdr:col>15</xdr:col>
          <xdr:colOff>457200</xdr:colOff>
          <xdr:row>11</xdr:row>
          <xdr:rowOff>114300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560</xdr:colOff>
      <xdr:row>34</xdr:row>
      <xdr:rowOff>33618</xdr:rowOff>
    </xdr:to>
    <xdr:grpSp>
      <xdr:nvGrpSpPr>
        <xdr:cNvPr id="3112" name="Groupe 3111">
          <a:extLst>
            <a:ext uri="{FF2B5EF4-FFF2-40B4-BE49-F238E27FC236}">
              <a16:creationId xmlns:a16="http://schemas.microsoft.com/office/drawing/2014/main" id="{00000000-0008-0000-0300-0000280C0000}"/>
            </a:ext>
          </a:extLst>
        </xdr:cNvPr>
        <xdr:cNvGrpSpPr/>
      </xdr:nvGrpSpPr>
      <xdr:grpSpPr>
        <a:xfrm>
          <a:off x="6088379" y="3562350"/>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03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03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03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03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3142" name="Ellipse 3141">
                  <a:extLst>
                    <a:ext uri="{FF2B5EF4-FFF2-40B4-BE49-F238E27FC236}">
                      <a16:creationId xmlns:a16="http://schemas.microsoft.com/office/drawing/2014/main" id="{00000000-0008-0000-03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3143" name="Ellipse 3142">
                  <a:extLst>
                    <a:ext uri="{FF2B5EF4-FFF2-40B4-BE49-F238E27FC236}">
                      <a16:creationId xmlns:a16="http://schemas.microsoft.com/office/drawing/2014/main" id="{00000000-0008-0000-03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3125" name="Ellipse 3124">
                <a:extLst>
                  <a:ext uri="{FF2B5EF4-FFF2-40B4-BE49-F238E27FC236}">
                    <a16:creationId xmlns:a16="http://schemas.microsoft.com/office/drawing/2014/main" id="{00000000-0008-0000-03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26" name="Ellipse 3125">
                <a:extLst>
                  <a:ext uri="{FF2B5EF4-FFF2-40B4-BE49-F238E27FC236}">
                    <a16:creationId xmlns:a16="http://schemas.microsoft.com/office/drawing/2014/main" id="{00000000-0008-0000-03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7" name="Ellipse 3126">
                <a:extLst>
                  <a:ext uri="{FF2B5EF4-FFF2-40B4-BE49-F238E27FC236}">
                    <a16:creationId xmlns:a16="http://schemas.microsoft.com/office/drawing/2014/main" id="{00000000-0008-0000-03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3128" name="Ellipse 3127">
                <a:extLst>
                  <a:ext uri="{FF2B5EF4-FFF2-40B4-BE49-F238E27FC236}">
                    <a16:creationId xmlns:a16="http://schemas.microsoft.com/office/drawing/2014/main" id="{00000000-0008-0000-03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9" name="Ellipse 3128">
                <a:extLst>
                  <a:ext uri="{FF2B5EF4-FFF2-40B4-BE49-F238E27FC236}">
                    <a16:creationId xmlns:a16="http://schemas.microsoft.com/office/drawing/2014/main" id="{00000000-0008-0000-03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0" name="Ellipse 3129">
                <a:extLst>
                  <a:ext uri="{FF2B5EF4-FFF2-40B4-BE49-F238E27FC236}">
                    <a16:creationId xmlns:a16="http://schemas.microsoft.com/office/drawing/2014/main" id="{00000000-0008-0000-03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31" name="Ellipse 3130">
                <a:extLst>
                  <a:ext uri="{FF2B5EF4-FFF2-40B4-BE49-F238E27FC236}">
                    <a16:creationId xmlns:a16="http://schemas.microsoft.com/office/drawing/2014/main" id="{00000000-0008-0000-03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2" name="Ellipse 3131">
                <a:extLst>
                  <a:ext uri="{FF2B5EF4-FFF2-40B4-BE49-F238E27FC236}">
                    <a16:creationId xmlns:a16="http://schemas.microsoft.com/office/drawing/2014/main" id="{00000000-0008-0000-03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3" name="Ellipse 3132">
                <a:extLst>
                  <a:ext uri="{FF2B5EF4-FFF2-40B4-BE49-F238E27FC236}">
                    <a16:creationId xmlns:a16="http://schemas.microsoft.com/office/drawing/2014/main" id="{00000000-0008-0000-03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3134" name="Ellipse 3133">
                <a:extLst>
                  <a:ext uri="{FF2B5EF4-FFF2-40B4-BE49-F238E27FC236}">
                    <a16:creationId xmlns:a16="http://schemas.microsoft.com/office/drawing/2014/main" id="{00000000-0008-0000-03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5" name="Ellipse 3134">
                <a:extLst>
                  <a:ext uri="{FF2B5EF4-FFF2-40B4-BE49-F238E27FC236}">
                    <a16:creationId xmlns:a16="http://schemas.microsoft.com/office/drawing/2014/main" id="{00000000-0008-0000-03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6" name="Ellipse 3135">
                <a:extLst>
                  <a:ext uri="{FF2B5EF4-FFF2-40B4-BE49-F238E27FC236}">
                    <a16:creationId xmlns:a16="http://schemas.microsoft.com/office/drawing/2014/main" id="{00000000-0008-0000-03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7" name="Ellipse 3136">
                <a:extLst>
                  <a:ext uri="{FF2B5EF4-FFF2-40B4-BE49-F238E27FC236}">
                    <a16:creationId xmlns:a16="http://schemas.microsoft.com/office/drawing/2014/main" id="{00000000-0008-0000-03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38" name="Ellipse 3137">
                <a:extLst>
                  <a:ext uri="{FF2B5EF4-FFF2-40B4-BE49-F238E27FC236}">
                    <a16:creationId xmlns:a16="http://schemas.microsoft.com/office/drawing/2014/main" id="{00000000-0008-0000-03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9" name="Ellipse 3138">
                <a:extLst>
                  <a:ext uri="{FF2B5EF4-FFF2-40B4-BE49-F238E27FC236}">
                    <a16:creationId xmlns:a16="http://schemas.microsoft.com/office/drawing/2014/main" id="{00000000-0008-0000-03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3140" name="Ellipse 3139">
                <a:extLst>
                  <a:ext uri="{FF2B5EF4-FFF2-40B4-BE49-F238E27FC236}">
                    <a16:creationId xmlns:a16="http://schemas.microsoft.com/office/drawing/2014/main" id="{00000000-0008-0000-03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03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03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03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3114" name="Ellipse 3113">
            <a:extLst>
              <a:ext uri="{FF2B5EF4-FFF2-40B4-BE49-F238E27FC236}">
                <a16:creationId xmlns:a16="http://schemas.microsoft.com/office/drawing/2014/main" id="{00000000-0008-0000-03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5" name="Ellipse 3114">
            <a:extLst>
              <a:ext uri="{FF2B5EF4-FFF2-40B4-BE49-F238E27FC236}">
                <a16:creationId xmlns:a16="http://schemas.microsoft.com/office/drawing/2014/main" id="{00000000-0008-0000-0300-00002B0C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16" name="Ellipse 3115">
            <a:extLst>
              <a:ext uri="{FF2B5EF4-FFF2-40B4-BE49-F238E27FC236}">
                <a16:creationId xmlns:a16="http://schemas.microsoft.com/office/drawing/2014/main" id="{00000000-0008-0000-03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7" name="Ellipse 3116">
            <a:extLst>
              <a:ext uri="{FF2B5EF4-FFF2-40B4-BE49-F238E27FC236}">
                <a16:creationId xmlns:a16="http://schemas.microsoft.com/office/drawing/2014/main" id="{00000000-0008-0000-03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8" name="Ellipse 3117">
            <a:extLst>
              <a:ext uri="{FF2B5EF4-FFF2-40B4-BE49-F238E27FC236}">
                <a16:creationId xmlns:a16="http://schemas.microsoft.com/office/drawing/2014/main" id="{00000000-0008-0000-03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19" name="Ellipse 3118">
            <a:extLst>
              <a:ext uri="{FF2B5EF4-FFF2-40B4-BE49-F238E27FC236}">
                <a16:creationId xmlns:a16="http://schemas.microsoft.com/office/drawing/2014/main" id="{00000000-0008-0000-03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428625</xdr:colOff>
          <xdr:row>5</xdr:row>
          <xdr:rowOff>95250</xdr:rowOff>
        </xdr:from>
        <xdr:to>
          <xdr:col>12</xdr:col>
          <xdr:colOff>904875</xdr:colOff>
          <xdr:row>12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190500</xdr:colOff>
      <xdr:row>24</xdr:row>
      <xdr:rowOff>66675</xdr:rowOff>
    </xdr:from>
    <xdr:to>
      <xdr:col>12</xdr:col>
      <xdr:colOff>542925</xdr:colOff>
      <xdr:row>45</xdr:row>
      <xdr:rowOff>142875</xdr:rowOff>
    </xdr:to>
    <xdr:graphicFrame macro="">
      <xdr:nvGraphicFramePr>
        <xdr:cNvPr id="3" name="Graphique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06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0600-00002D000000}"/>
            </a:ext>
          </a:extLst>
        </xdr:cNvPr>
        <xdr:cNvGrpSpPr/>
      </xdr:nvGrpSpPr>
      <xdr:grpSpPr>
        <a:xfrm>
          <a:off x="7497534" y="36616821"/>
          <a:ext cx="6789965" cy="4299857"/>
          <a:chOff x="6545579" y="1943100"/>
          <a:chExt cx="6151245" cy="4078885"/>
        </a:xfrm>
      </xdr:grpSpPr>
      <xdr:grpSp>
        <xdr:nvGrpSpPr>
          <xdr:cNvPr id="46" name="Groupe 45">
            <a:extLst>
              <a:ext uri="{FF2B5EF4-FFF2-40B4-BE49-F238E27FC236}">
                <a16:creationId xmlns:a16="http://schemas.microsoft.com/office/drawing/2014/main" id="{00000000-0008-0000-06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06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06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06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75" name="Ellipse 74">
                  <a:extLst>
                    <a:ext uri="{FF2B5EF4-FFF2-40B4-BE49-F238E27FC236}">
                      <a16:creationId xmlns:a16="http://schemas.microsoft.com/office/drawing/2014/main" id="{00000000-0008-0000-06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76" name="Ellipse 75">
                  <a:extLst>
                    <a:ext uri="{FF2B5EF4-FFF2-40B4-BE49-F238E27FC236}">
                      <a16:creationId xmlns:a16="http://schemas.microsoft.com/office/drawing/2014/main" id="{00000000-0008-0000-06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58" name="Ellipse 57">
                <a:extLst>
                  <a:ext uri="{FF2B5EF4-FFF2-40B4-BE49-F238E27FC236}">
                    <a16:creationId xmlns:a16="http://schemas.microsoft.com/office/drawing/2014/main" id="{00000000-0008-0000-06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59" name="Ellipse 58">
                <a:extLst>
                  <a:ext uri="{FF2B5EF4-FFF2-40B4-BE49-F238E27FC236}">
                    <a16:creationId xmlns:a16="http://schemas.microsoft.com/office/drawing/2014/main" id="{00000000-0008-0000-06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60" name="Ellipse 59">
                <a:extLst>
                  <a:ext uri="{FF2B5EF4-FFF2-40B4-BE49-F238E27FC236}">
                    <a16:creationId xmlns:a16="http://schemas.microsoft.com/office/drawing/2014/main" id="{00000000-0008-0000-06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61" name="Ellipse 60">
                <a:extLst>
                  <a:ext uri="{FF2B5EF4-FFF2-40B4-BE49-F238E27FC236}">
                    <a16:creationId xmlns:a16="http://schemas.microsoft.com/office/drawing/2014/main" id="{00000000-0008-0000-06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62" name="Ellipse 61">
                <a:extLst>
                  <a:ext uri="{FF2B5EF4-FFF2-40B4-BE49-F238E27FC236}">
                    <a16:creationId xmlns:a16="http://schemas.microsoft.com/office/drawing/2014/main" id="{00000000-0008-0000-06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63" name="Ellipse 62">
                <a:extLst>
                  <a:ext uri="{FF2B5EF4-FFF2-40B4-BE49-F238E27FC236}">
                    <a16:creationId xmlns:a16="http://schemas.microsoft.com/office/drawing/2014/main" id="{00000000-0008-0000-06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64" name="Ellipse 63">
                <a:extLst>
                  <a:ext uri="{FF2B5EF4-FFF2-40B4-BE49-F238E27FC236}">
                    <a16:creationId xmlns:a16="http://schemas.microsoft.com/office/drawing/2014/main" id="{00000000-0008-0000-06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65" name="Ellipse 64">
                <a:extLst>
                  <a:ext uri="{FF2B5EF4-FFF2-40B4-BE49-F238E27FC236}">
                    <a16:creationId xmlns:a16="http://schemas.microsoft.com/office/drawing/2014/main" id="{00000000-0008-0000-06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66" name="Ellipse 65">
                <a:extLst>
                  <a:ext uri="{FF2B5EF4-FFF2-40B4-BE49-F238E27FC236}">
                    <a16:creationId xmlns:a16="http://schemas.microsoft.com/office/drawing/2014/main" id="{00000000-0008-0000-06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67" name="Ellipse 66">
                <a:extLst>
                  <a:ext uri="{FF2B5EF4-FFF2-40B4-BE49-F238E27FC236}">
                    <a16:creationId xmlns:a16="http://schemas.microsoft.com/office/drawing/2014/main" id="{00000000-0008-0000-06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68" name="Ellipse 67">
                <a:extLst>
                  <a:ext uri="{FF2B5EF4-FFF2-40B4-BE49-F238E27FC236}">
                    <a16:creationId xmlns:a16="http://schemas.microsoft.com/office/drawing/2014/main" id="{00000000-0008-0000-06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69" name="Ellipse 68">
                <a:extLst>
                  <a:ext uri="{FF2B5EF4-FFF2-40B4-BE49-F238E27FC236}">
                    <a16:creationId xmlns:a16="http://schemas.microsoft.com/office/drawing/2014/main" id="{00000000-0008-0000-06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70" name="Ellipse 69">
                <a:extLst>
                  <a:ext uri="{FF2B5EF4-FFF2-40B4-BE49-F238E27FC236}">
                    <a16:creationId xmlns:a16="http://schemas.microsoft.com/office/drawing/2014/main" id="{00000000-0008-0000-06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71" name="Ellipse 70">
                <a:extLst>
                  <a:ext uri="{FF2B5EF4-FFF2-40B4-BE49-F238E27FC236}">
                    <a16:creationId xmlns:a16="http://schemas.microsoft.com/office/drawing/2014/main" id="{00000000-0008-0000-06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72" name="Ellipse 71">
                <a:extLst>
                  <a:ext uri="{FF2B5EF4-FFF2-40B4-BE49-F238E27FC236}">
                    <a16:creationId xmlns:a16="http://schemas.microsoft.com/office/drawing/2014/main" id="{00000000-0008-0000-06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73" name="Ellipse 72">
                <a:extLst>
                  <a:ext uri="{FF2B5EF4-FFF2-40B4-BE49-F238E27FC236}">
                    <a16:creationId xmlns:a16="http://schemas.microsoft.com/office/drawing/2014/main" id="{00000000-0008-0000-06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06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06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06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47" name="Ellipse 46">
            <a:extLst>
              <a:ext uri="{FF2B5EF4-FFF2-40B4-BE49-F238E27FC236}">
                <a16:creationId xmlns:a16="http://schemas.microsoft.com/office/drawing/2014/main" id="{00000000-0008-0000-06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48" name="Ellipse 47">
            <a:extLst>
              <a:ext uri="{FF2B5EF4-FFF2-40B4-BE49-F238E27FC236}">
                <a16:creationId xmlns:a16="http://schemas.microsoft.com/office/drawing/2014/main" id="{00000000-0008-0000-06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49" name="Ellipse 48">
            <a:extLst>
              <a:ext uri="{FF2B5EF4-FFF2-40B4-BE49-F238E27FC236}">
                <a16:creationId xmlns:a16="http://schemas.microsoft.com/office/drawing/2014/main" id="{00000000-0008-0000-06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50" name="Ellipse 49">
            <a:extLst>
              <a:ext uri="{FF2B5EF4-FFF2-40B4-BE49-F238E27FC236}">
                <a16:creationId xmlns:a16="http://schemas.microsoft.com/office/drawing/2014/main" id="{00000000-0008-0000-06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51" name="Ellipse 50">
            <a:extLst>
              <a:ext uri="{FF2B5EF4-FFF2-40B4-BE49-F238E27FC236}">
                <a16:creationId xmlns:a16="http://schemas.microsoft.com/office/drawing/2014/main" id="{00000000-0008-0000-06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52" name="Ellipse 51">
            <a:extLst>
              <a:ext uri="{FF2B5EF4-FFF2-40B4-BE49-F238E27FC236}">
                <a16:creationId xmlns:a16="http://schemas.microsoft.com/office/drawing/2014/main" id="{00000000-0008-0000-06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49528</xdr:colOff>
      <xdr:row>15</xdr:row>
      <xdr:rowOff>171449</xdr:rowOff>
    </xdr:from>
    <xdr:to>
      <xdr:col>12</xdr:col>
      <xdr:colOff>733425</xdr:colOff>
      <xdr:row>34</xdr:row>
      <xdr:rowOff>171450</xdr:rowOff>
    </xdr:to>
    <xdr:grpSp>
      <xdr:nvGrpSpPr>
        <xdr:cNvPr id="2" name="Groupe 1">
          <a:extLst>
            <a:ext uri="{FF2B5EF4-FFF2-40B4-BE49-F238E27FC236}">
              <a16:creationId xmlns:a16="http://schemas.microsoft.com/office/drawing/2014/main" id="{25A9616D-184C-40AE-A22C-307E8C2F1DA9}"/>
            </a:ext>
          </a:extLst>
        </xdr:cNvPr>
        <xdr:cNvGrpSpPr/>
      </xdr:nvGrpSpPr>
      <xdr:grpSpPr>
        <a:xfrm>
          <a:off x="5888353" y="3562349"/>
          <a:ext cx="6246497" cy="3638551"/>
          <a:chOff x="6545579" y="1943100"/>
          <a:chExt cx="6151245" cy="4078885"/>
        </a:xfrm>
      </xdr:grpSpPr>
      <xdr:grpSp>
        <xdr:nvGrpSpPr>
          <xdr:cNvPr id="3" name="Groupe 2">
            <a:extLst>
              <a:ext uri="{FF2B5EF4-FFF2-40B4-BE49-F238E27FC236}">
                <a16:creationId xmlns:a16="http://schemas.microsoft.com/office/drawing/2014/main" id="{72420C43-46BA-FF0E-345A-5E3B34B4F2FB}"/>
              </a:ext>
            </a:extLst>
          </xdr:cNvPr>
          <xdr:cNvGrpSpPr/>
        </xdr:nvGrpSpPr>
        <xdr:grpSpPr>
          <a:xfrm>
            <a:off x="6545579" y="1943100"/>
            <a:ext cx="6151245" cy="4078885"/>
            <a:chOff x="6497954" y="1828800"/>
            <a:chExt cx="6151245" cy="4078885"/>
          </a:xfrm>
        </xdr:grpSpPr>
        <xdr:grpSp>
          <xdr:nvGrpSpPr>
            <xdr:cNvPr id="10" name="Groupe 9">
              <a:extLst>
                <a:ext uri="{FF2B5EF4-FFF2-40B4-BE49-F238E27FC236}">
                  <a16:creationId xmlns:a16="http://schemas.microsoft.com/office/drawing/2014/main" id="{9E87421D-78FB-415E-3FC3-43C08FA76B35}"/>
                </a:ext>
              </a:extLst>
            </xdr:cNvPr>
            <xdr:cNvGrpSpPr/>
          </xdr:nvGrpSpPr>
          <xdr:grpSpPr>
            <a:xfrm>
              <a:off x="6497954" y="1828800"/>
              <a:ext cx="6151245" cy="4078885"/>
              <a:chOff x="6097904" y="1828800"/>
              <a:chExt cx="6151245" cy="4078885"/>
            </a:xfrm>
          </xdr:grpSpPr>
          <xdr:grpSp>
            <xdr:nvGrpSpPr>
              <xdr:cNvPr id="14" name="Groupe 13">
                <a:extLst>
                  <a:ext uri="{FF2B5EF4-FFF2-40B4-BE49-F238E27FC236}">
                    <a16:creationId xmlns:a16="http://schemas.microsoft.com/office/drawing/2014/main" id="{4DB747DA-3656-2328-AC6D-5A3092217E55}"/>
                  </a:ext>
                </a:extLst>
              </xdr:cNvPr>
              <xdr:cNvGrpSpPr/>
            </xdr:nvGrpSpPr>
            <xdr:grpSpPr>
              <a:xfrm>
                <a:off x="6097904" y="2282190"/>
                <a:ext cx="6151245" cy="3625495"/>
                <a:chOff x="6097904" y="2282190"/>
                <a:chExt cx="6151245" cy="3625495"/>
              </a:xfrm>
            </xdr:grpSpPr>
            <xdr:pic>
              <xdr:nvPicPr>
                <xdr:cNvPr id="31" name="Image 30">
                  <a:extLst>
                    <a:ext uri="{FF2B5EF4-FFF2-40B4-BE49-F238E27FC236}">
                      <a16:creationId xmlns:a16="http://schemas.microsoft.com/office/drawing/2014/main" id="{2D748359-611D-6DDF-0AE5-1A3F2BA6A21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32" name="Ellipse 31">
                  <a:extLst>
                    <a:ext uri="{FF2B5EF4-FFF2-40B4-BE49-F238E27FC236}">
                      <a16:creationId xmlns:a16="http://schemas.microsoft.com/office/drawing/2014/main" id="{A6F58A6D-6CEB-F268-476D-BD4C7895E0B4}"/>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33" name="Ellipse 32">
                  <a:extLst>
                    <a:ext uri="{FF2B5EF4-FFF2-40B4-BE49-F238E27FC236}">
                      <a16:creationId xmlns:a16="http://schemas.microsoft.com/office/drawing/2014/main" id="{011F96FF-1C49-23AD-CA4C-EB991CB810D2}"/>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15" name="Ellipse 14">
                <a:extLst>
                  <a:ext uri="{FF2B5EF4-FFF2-40B4-BE49-F238E27FC236}">
                    <a16:creationId xmlns:a16="http://schemas.microsoft.com/office/drawing/2014/main" id="{CB21FC54-0215-2F5C-2CC5-DF474CEBA4A3}"/>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16" name="Ellipse 15">
                <a:extLst>
                  <a:ext uri="{FF2B5EF4-FFF2-40B4-BE49-F238E27FC236}">
                    <a16:creationId xmlns:a16="http://schemas.microsoft.com/office/drawing/2014/main" id="{20B0E5C8-BCC4-72E4-EB1C-C4A12EA0061F}"/>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17" name="Ellipse 16">
                <a:extLst>
                  <a:ext uri="{FF2B5EF4-FFF2-40B4-BE49-F238E27FC236}">
                    <a16:creationId xmlns:a16="http://schemas.microsoft.com/office/drawing/2014/main" id="{694DA0C6-3A4C-B769-495C-829E8DD184A4}"/>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18" name="Ellipse 17">
                <a:extLst>
                  <a:ext uri="{FF2B5EF4-FFF2-40B4-BE49-F238E27FC236}">
                    <a16:creationId xmlns:a16="http://schemas.microsoft.com/office/drawing/2014/main" id="{1B4C716C-F508-DB34-4D5B-36F3B0993114}"/>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9" name="Ellipse 18">
                <a:extLst>
                  <a:ext uri="{FF2B5EF4-FFF2-40B4-BE49-F238E27FC236}">
                    <a16:creationId xmlns:a16="http://schemas.microsoft.com/office/drawing/2014/main" id="{9C04083F-8D43-0D39-5B6B-A513C3B79D6F}"/>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20" name="Ellipse 19">
                <a:extLst>
                  <a:ext uri="{FF2B5EF4-FFF2-40B4-BE49-F238E27FC236}">
                    <a16:creationId xmlns:a16="http://schemas.microsoft.com/office/drawing/2014/main" id="{39A71467-9A17-3C63-BE0F-AA7F36CD9FDE}"/>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21" name="Ellipse 20">
                <a:extLst>
                  <a:ext uri="{FF2B5EF4-FFF2-40B4-BE49-F238E27FC236}">
                    <a16:creationId xmlns:a16="http://schemas.microsoft.com/office/drawing/2014/main" id="{5847771C-4283-3AC6-021E-E60649FE7CBB}"/>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22" name="Ellipse 21">
                <a:extLst>
                  <a:ext uri="{FF2B5EF4-FFF2-40B4-BE49-F238E27FC236}">
                    <a16:creationId xmlns:a16="http://schemas.microsoft.com/office/drawing/2014/main" id="{9C58F31D-6123-0868-FF50-977757187598}"/>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23" name="Ellipse 22">
                <a:extLst>
                  <a:ext uri="{FF2B5EF4-FFF2-40B4-BE49-F238E27FC236}">
                    <a16:creationId xmlns:a16="http://schemas.microsoft.com/office/drawing/2014/main" id="{D2CBB1BC-858F-EAD3-979F-A517BE3523D4}"/>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24" name="Ellipse 23">
                <a:extLst>
                  <a:ext uri="{FF2B5EF4-FFF2-40B4-BE49-F238E27FC236}">
                    <a16:creationId xmlns:a16="http://schemas.microsoft.com/office/drawing/2014/main" id="{8DF219B2-2AE9-2183-F828-1AA94468AB7D}"/>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25" name="Ellipse 24">
                <a:extLst>
                  <a:ext uri="{FF2B5EF4-FFF2-40B4-BE49-F238E27FC236}">
                    <a16:creationId xmlns:a16="http://schemas.microsoft.com/office/drawing/2014/main" id="{91E782C0-4140-536E-80F3-3446778C6316}"/>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26" name="Ellipse 25">
                <a:extLst>
                  <a:ext uri="{FF2B5EF4-FFF2-40B4-BE49-F238E27FC236}">
                    <a16:creationId xmlns:a16="http://schemas.microsoft.com/office/drawing/2014/main" id="{0A170E4B-0744-FC63-99CC-B8DD9EAA50A5}"/>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27" name="Ellipse 26">
                <a:extLst>
                  <a:ext uri="{FF2B5EF4-FFF2-40B4-BE49-F238E27FC236}">
                    <a16:creationId xmlns:a16="http://schemas.microsoft.com/office/drawing/2014/main" id="{3FABCD58-0846-545C-2039-40ED20D6FBD9}"/>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28" name="Ellipse 27">
                <a:extLst>
                  <a:ext uri="{FF2B5EF4-FFF2-40B4-BE49-F238E27FC236}">
                    <a16:creationId xmlns:a16="http://schemas.microsoft.com/office/drawing/2014/main" id="{27E04969-CACB-1EF7-C18F-2054E9BCEBA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29" name="Ellipse 28">
                <a:extLst>
                  <a:ext uri="{FF2B5EF4-FFF2-40B4-BE49-F238E27FC236}">
                    <a16:creationId xmlns:a16="http://schemas.microsoft.com/office/drawing/2014/main" id="{C9A08677-7790-D73A-C34E-0C81DD371AE3}"/>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30" name="Ellipse 29">
                <a:extLst>
                  <a:ext uri="{FF2B5EF4-FFF2-40B4-BE49-F238E27FC236}">
                    <a16:creationId xmlns:a16="http://schemas.microsoft.com/office/drawing/2014/main" id="{BC53C243-7C66-C9DD-2849-42BE3905007D}"/>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11" name="ZoneTexte 10">
              <a:extLst>
                <a:ext uri="{FF2B5EF4-FFF2-40B4-BE49-F238E27FC236}">
                  <a16:creationId xmlns:a16="http://schemas.microsoft.com/office/drawing/2014/main" id="{000329FC-7B76-26D4-3B89-EE6A3510249E}"/>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12" name="ZoneTexte 11">
              <a:extLst>
                <a:ext uri="{FF2B5EF4-FFF2-40B4-BE49-F238E27FC236}">
                  <a16:creationId xmlns:a16="http://schemas.microsoft.com/office/drawing/2014/main" id="{B347C866-27E3-A4F6-FC15-FADFA00B5A3A}"/>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13" name="ZoneTexte 12">
              <a:extLst>
                <a:ext uri="{FF2B5EF4-FFF2-40B4-BE49-F238E27FC236}">
                  <a16:creationId xmlns:a16="http://schemas.microsoft.com/office/drawing/2014/main" id="{0A8966E2-DC46-86EF-952B-98E04E0C786F}"/>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REF!">
        <xdr:nvSpPr>
          <xdr:cNvPr id="4" name="Ellipse 3">
            <a:extLst>
              <a:ext uri="{FF2B5EF4-FFF2-40B4-BE49-F238E27FC236}">
                <a16:creationId xmlns:a16="http://schemas.microsoft.com/office/drawing/2014/main" id="{F038239B-60D2-84DC-2E78-3E45830EDDF3}"/>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REF!">
        <xdr:nvSpPr>
          <xdr:cNvPr id="5" name="Ellipse 4">
            <a:extLst>
              <a:ext uri="{FF2B5EF4-FFF2-40B4-BE49-F238E27FC236}">
                <a16:creationId xmlns:a16="http://schemas.microsoft.com/office/drawing/2014/main" id="{6409F106-0544-55C5-E149-882900F5FBD2}"/>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REF!">
        <xdr:nvSpPr>
          <xdr:cNvPr id="6" name="Ellipse 5">
            <a:extLst>
              <a:ext uri="{FF2B5EF4-FFF2-40B4-BE49-F238E27FC236}">
                <a16:creationId xmlns:a16="http://schemas.microsoft.com/office/drawing/2014/main" id="{83DF1614-F33E-77F6-8D89-0EE2E98FE5E3}"/>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REF!">
        <xdr:nvSpPr>
          <xdr:cNvPr id="7" name="Ellipse 6">
            <a:extLst>
              <a:ext uri="{FF2B5EF4-FFF2-40B4-BE49-F238E27FC236}">
                <a16:creationId xmlns:a16="http://schemas.microsoft.com/office/drawing/2014/main" id="{84D748EC-C366-776D-0725-D4AF94C93C74}"/>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REF!">
        <xdr:nvSpPr>
          <xdr:cNvPr id="8" name="Ellipse 7">
            <a:extLst>
              <a:ext uri="{FF2B5EF4-FFF2-40B4-BE49-F238E27FC236}">
                <a16:creationId xmlns:a16="http://schemas.microsoft.com/office/drawing/2014/main" id="{4E65CB31-1651-97C2-E2B7-59FF83F7753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REF!">
        <xdr:nvSpPr>
          <xdr:cNvPr id="9" name="Ellipse 8">
            <a:extLst>
              <a:ext uri="{FF2B5EF4-FFF2-40B4-BE49-F238E27FC236}">
                <a16:creationId xmlns:a16="http://schemas.microsoft.com/office/drawing/2014/main" id="{2247D110-283A-2663-C761-98CE3361AD34}"/>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419100</xdr:colOff>
          <xdr:row>6</xdr:row>
          <xdr:rowOff>123825</xdr:rowOff>
        </xdr:from>
        <xdr:to>
          <xdr:col>12</xdr:col>
          <xdr:colOff>895350</xdr:colOff>
          <xdr:row>13</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0800-00000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7018C63C-1E41-4A09-8E85-26EAF78B3E2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1D36722B-821A-4611-B335-6B6ADCA803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FA1F1EBB-0C7B-4A3D-8C75-F169490C61B5}"/>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1A0F2917-E0C5-441A-83FC-9AE230AE4058}"/>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6316B5A3-C8F6-4132-BA2B-B642C29A2F1D}"/>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D9A6655A-FB84-4B07-B246-AEB71E4960DC}"/>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855C8FA9-A999-4354-88B6-982DE2DCDB4E}"/>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2C9546F1-EAE8-49D0-A404-4116C3167C9B}"/>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A3EFAE9E-9EFA-407F-B2FC-E84621B6B392}"/>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CC85FA67-95B4-46E2-A3E3-FABC3426CC3B}"/>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12" name="Groupe 11">
          <a:extLst>
            <a:ext uri="{FF2B5EF4-FFF2-40B4-BE49-F238E27FC236}">
              <a16:creationId xmlns:a16="http://schemas.microsoft.com/office/drawing/2014/main" id="{2756E2D3-16EC-4A64-8695-9F9DFFF0B6E0}"/>
            </a:ext>
          </a:extLst>
        </xdr:cNvPr>
        <xdr:cNvGrpSpPr/>
      </xdr:nvGrpSpPr>
      <xdr:grpSpPr>
        <a:xfrm>
          <a:off x="7497534" y="36616821"/>
          <a:ext cx="6789965" cy="4299857"/>
          <a:chOff x="6545579" y="1943100"/>
          <a:chExt cx="6151245" cy="4078885"/>
        </a:xfrm>
      </xdr:grpSpPr>
      <xdr:grpSp>
        <xdr:nvGrpSpPr>
          <xdr:cNvPr id="13" name="Groupe 12">
            <a:extLst>
              <a:ext uri="{FF2B5EF4-FFF2-40B4-BE49-F238E27FC236}">
                <a16:creationId xmlns:a16="http://schemas.microsoft.com/office/drawing/2014/main" id="{5160E710-8294-C335-24E9-564E3A22FBF3}"/>
              </a:ext>
            </a:extLst>
          </xdr:cNvPr>
          <xdr:cNvGrpSpPr/>
        </xdr:nvGrpSpPr>
        <xdr:grpSpPr>
          <a:xfrm>
            <a:off x="6545579" y="1943100"/>
            <a:ext cx="6151245" cy="4078885"/>
            <a:chOff x="6497954" y="1828800"/>
            <a:chExt cx="6151245" cy="4078885"/>
          </a:xfrm>
        </xdr:grpSpPr>
        <xdr:grpSp>
          <xdr:nvGrpSpPr>
            <xdr:cNvPr id="20" name="Groupe 19">
              <a:extLst>
                <a:ext uri="{FF2B5EF4-FFF2-40B4-BE49-F238E27FC236}">
                  <a16:creationId xmlns:a16="http://schemas.microsoft.com/office/drawing/2014/main" id="{066925B7-914C-C0BF-7BBE-709B835502DD}"/>
                </a:ext>
              </a:extLst>
            </xdr:cNvPr>
            <xdr:cNvGrpSpPr/>
          </xdr:nvGrpSpPr>
          <xdr:grpSpPr>
            <a:xfrm>
              <a:off x="6497954" y="1828800"/>
              <a:ext cx="6151245" cy="4078885"/>
              <a:chOff x="6097904" y="1828800"/>
              <a:chExt cx="6151245" cy="4078885"/>
            </a:xfrm>
          </xdr:grpSpPr>
          <xdr:grpSp>
            <xdr:nvGrpSpPr>
              <xdr:cNvPr id="24" name="Groupe 23">
                <a:extLst>
                  <a:ext uri="{FF2B5EF4-FFF2-40B4-BE49-F238E27FC236}">
                    <a16:creationId xmlns:a16="http://schemas.microsoft.com/office/drawing/2014/main" id="{80E4583F-1078-CF59-24EA-99BA8D20F3A1}"/>
                  </a:ext>
                </a:extLst>
              </xdr:cNvPr>
              <xdr:cNvGrpSpPr/>
            </xdr:nvGrpSpPr>
            <xdr:grpSpPr>
              <a:xfrm>
                <a:off x="6097904" y="2282190"/>
                <a:ext cx="6151245" cy="3625495"/>
                <a:chOff x="6097904" y="2282190"/>
                <a:chExt cx="6151245" cy="3625495"/>
              </a:xfrm>
            </xdr:grpSpPr>
            <xdr:pic>
              <xdr:nvPicPr>
                <xdr:cNvPr id="41" name="Image 40">
                  <a:extLst>
                    <a:ext uri="{FF2B5EF4-FFF2-40B4-BE49-F238E27FC236}">
                      <a16:creationId xmlns:a16="http://schemas.microsoft.com/office/drawing/2014/main" id="{F5183BB5-576F-7EE6-38AE-26695E38CC57}"/>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42" name="Ellipse 41">
                  <a:extLst>
                    <a:ext uri="{FF2B5EF4-FFF2-40B4-BE49-F238E27FC236}">
                      <a16:creationId xmlns:a16="http://schemas.microsoft.com/office/drawing/2014/main" id="{C3154E4D-4BAD-4A9E-C7B6-119353B7922B}"/>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43" name="Ellipse 42">
                  <a:extLst>
                    <a:ext uri="{FF2B5EF4-FFF2-40B4-BE49-F238E27FC236}">
                      <a16:creationId xmlns:a16="http://schemas.microsoft.com/office/drawing/2014/main" id="{1387DDB3-34DD-EEB5-4A96-142541081694}"/>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25" name="Ellipse 24">
                <a:extLst>
                  <a:ext uri="{FF2B5EF4-FFF2-40B4-BE49-F238E27FC236}">
                    <a16:creationId xmlns:a16="http://schemas.microsoft.com/office/drawing/2014/main" id="{0AFE35FA-5885-28C6-125D-E5363440B7C3}"/>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26" name="Ellipse 25">
                <a:extLst>
                  <a:ext uri="{FF2B5EF4-FFF2-40B4-BE49-F238E27FC236}">
                    <a16:creationId xmlns:a16="http://schemas.microsoft.com/office/drawing/2014/main" id="{764C0BDE-4999-BA3C-C73F-7A58D7AD4AE8}"/>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27" name="Ellipse 26">
                <a:extLst>
                  <a:ext uri="{FF2B5EF4-FFF2-40B4-BE49-F238E27FC236}">
                    <a16:creationId xmlns:a16="http://schemas.microsoft.com/office/drawing/2014/main" id="{BDC1B6B9-C604-EC2F-D7F7-737F78CA3D49}"/>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28" name="Ellipse 27">
                <a:extLst>
                  <a:ext uri="{FF2B5EF4-FFF2-40B4-BE49-F238E27FC236}">
                    <a16:creationId xmlns:a16="http://schemas.microsoft.com/office/drawing/2014/main" id="{F970894D-2B29-4ADB-E87D-36D93B99293A}"/>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29" name="Ellipse 28">
                <a:extLst>
                  <a:ext uri="{FF2B5EF4-FFF2-40B4-BE49-F238E27FC236}">
                    <a16:creationId xmlns:a16="http://schemas.microsoft.com/office/drawing/2014/main" id="{5B2DED99-1442-7554-F476-1BE7F73771F7}"/>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0" name="Ellipse 29">
                <a:extLst>
                  <a:ext uri="{FF2B5EF4-FFF2-40B4-BE49-F238E27FC236}">
                    <a16:creationId xmlns:a16="http://schemas.microsoft.com/office/drawing/2014/main" id="{C434F691-E08D-42EC-3536-E9A7C7D0D6E5}"/>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 name="Ellipse 30">
                <a:extLst>
                  <a:ext uri="{FF2B5EF4-FFF2-40B4-BE49-F238E27FC236}">
                    <a16:creationId xmlns:a16="http://schemas.microsoft.com/office/drawing/2014/main" id="{00E3D6F4-BA46-3C43-7D71-4049A5D9BE7D}"/>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2" name="Ellipse 31">
                <a:extLst>
                  <a:ext uri="{FF2B5EF4-FFF2-40B4-BE49-F238E27FC236}">
                    <a16:creationId xmlns:a16="http://schemas.microsoft.com/office/drawing/2014/main" id="{DE3E2189-AA7A-A54F-7F64-7D04FF61FB6F}"/>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3" name="Ellipse 32">
                <a:extLst>
                  <a:ext uri="{FF2B5EF4-FFF2-40B4-BE49-F238E27FC236}">
                    <a16:creationId xmlns:a16="http://schemas.microsoft.com/office/drawing/2014/main" id="{D6ABCD08-BF5D-12EC-3C8F-56AB40B3162B}"/>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34" name="Ellipse 33">
                <a:extLst>
                  <a:ext uri="{FF2B5EF4-FFF2-40B4-BE49-F238E27FC236}">
                    <a16:creationId xmlns:a16="http://schemas.microsoft.com/office/drawing/2014/main" id="{F77C7355-C6C2-3669-F0D9-EE1EA364F208}"/>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5" name="Ellipse 34">
                <a:extLst>
                  <a:ext uri="{FF2B5EF4-FFF2-40B4-BE49-F238E27FC236}">
                    <a16:creationId xmlns:a16="http://schemas.microsoft.com/office/drawing/2014/main" id="{67CA9F50-B968-B712-BB78-EE2E3ACF0501}"/>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6" name="Ellipse 35">
                <a:extLst>
                  <a:ext uri="{FF2B5EF4-FFF2-40B4-BE49-F238E27FC236}">
                    <a16:creationId xmlns:a16="http://schemas.microsoft.com/office/drawing/2014/main" id="{B3E78AA1-7C5D-14CD-10EE-C3FF7AB26AF5}"/>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7" name="Ellipse 36">
                <a:extLst>
                  <a:ext uri="{FF2B5EF4-FFF2-40B4-BE49-F238E27FC236}">
                    <a16:creationId xmlns:a16="http://schemas.microsoft.com/office/drawing/2014/main" id="{6D5D2D39-4872-D539-73D0-2E6C09FB8FDE}"/>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8" name="Ellipse 37">
                <a:extLst>
                  <a:ext uri="{FF2B5EF4-FFF2-40B4-BE49-F238E27FC236}">
                    <a16:creationId xmlns:a16="http://schemas.microsoft.com/office/drawing/2014/main" id="{785D2713-D22D-12E1-561E-7DD7F951D73C}"/>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9" name="Ellipse 38">
                <a:extLst>
                  <a:ext uri="{FF2B5EF4-FFF2-40B4-BE49-F238E27FC236}">
                    <a16:creationId xmlns:a16="http://schemas.microsoft.com/office/drawing/2014/main" id="{736C92CC-D512-15F3-ACDC-17369B56521D}"/>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40" name="Ellipse 39">
                <a:extLst>
                  <a:ext uri="{FF2B5EF4-FFF2-40B4-BE49-F238E27FC236}">
                    <a16:creationId xmlns:a16="http://schemas.microsoft.com/office/drawing/2014/main" id="{4A4EFDA8-B051-65CE-ACA5-744FBA0B9B0B}"/>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21" name="ZoneTexte 20">
              <a:extLst>
                <a:ext uri="{FF2B5EF4-FFF2-40B4-BE49-F238E27FC236}">
                  <a16:creationId xmlns:a16="http://schemas.microsoft.com/office/drawing/2014/main" id="{4B584756-B08B-D6BB-3380-2DB4BC8F9352}"/>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22" name="ZoneTexte 21">
              <a:extLst>
                <a:ext uri="{FF2B5EF4-FFF2-40B4-BE49-F238E27FC236}">
                  <a16:creationId xmlns:a16="http://schemas.microsoft.com/office/drawing/2014/main" id="{651285D0-9043-94E5-E877-A72DE655DFA1}"/>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23" name="ZoneTexte 22">
              <a:extLst>
                <a:ext uri="{FF2B5EF4-FFF2-40B4-BE49-F238E27FC236}">
                  <a16:creationId xmlns:a16="http://schemas.microsoft.com/office/drawing/2014/main" id="{70233393-9A26-7170-D4BE-E3203ED29F87}"/>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14" name="Ellipse 13">
            <a:extLst>
              <a:ext uri="{FF2B5EF4-FFF2-40B4-BE49-F238E27FC236}">
                <a16:creationId xmlns:a16="http://schemas.microsoft.com/office/drawing/2014/main" id="{454ACF2A-62A7-6FC3-DB94-73A36DAA0ED8}"/>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15" name="Ellipse 14">
            <a:extLst>
              <a:ext uri="{FF2B5EF4-FFF2-40B4-BE49-F238E27FC236}">
                <a16:creationId xmlns:a16="http://schemas.microsoft.com/office/drawing/2014/main" id="{A2B727FC-7DE3-8D1F-6C63-903FA4874905}"/>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16" name="Ellipse 15">
            <a:extLst>
              <a:ext uri="{FF2B5EF4-FFF2-40B4-BE49-F238E27FC236}">
                <a16:creationId xmlns:a16="http://schemas.microsoft.com/office/drawing/2014/main" id="{B3E372EE-D291-C053-3700-4233883DA63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17" name="Ellipse 16">
            <a:extLst>
              <a:ext uri="{FF2B5EF4-FFF2-40B4-BE49-F238E27FC236}">
                <a16:creationId xmlns:a16="http://schemas.microsoft.com/office/drawing/2014/main" id="{7E8AA31D-6429-66DF-F334-B5E580551EF3}"/>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18" name="Ellipse 17">
            <a:extLst>
              <a:ext uri="{FF2B5EF4-FFF2-40B4-BE49-F238E27FC236}">
                <a16:creationId xmlns:a16="http://schemas.microsoft.com/office/drawing/2014/main" id="{238CEA66-C1CA-2FC8-64DA-2E05A9EDF28C}"/>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19" name="Ellipse 18">
            <a:extLst>
              <a:ext uri="{FF2B5EF4-FFF2-40B4-BE49-F238E27FC236}">
                <a16:creationId xmlns:a16="http://schemas.microsoft.com/office/drawing/2014/main" id="{59E8AEF2-B172-2A41-29AE-3C8B0E289A42}"/>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44" name="Graphique 43">
          <a:extLst>
            <a:ext uri="{FF2B5EF4-FFF2-40B4-BE49-F238E27FC236}">
              <a16:creationId xmlns:a16="http://schemas.microsoft.com/office/drawing/2014/main" id="{B41801DA-A639-4F9E-B4EF-369273AB9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xdr:col>
      <xdr:colOff>695325</xdr:colOff>
      <xdr:row>8</xdr:row>
      <xdr:rowOff>95250</xdr:rowOff>
    </xdr:from>
    <xdr:to>
      <xdr:col>17</xdr:col>
      <xdr:colOff>438125</xdr:colOff>
      <xdr:row>35</xdr:row>
      <xdr:rowOff>44687</xdr:rowOff>
    </xdr:to>
    <xdr:grpSp>
      <xdr:nvGrpSpPr>
        <xdr:cNvPr id="2" name="Groupe 1">
          <a:extLst>
            <a:ext uri="{FF2B5EF4-FFF2-40B4-BE49-F238E27FC236}">
              <a16:creationId xmlns:a16="http://schemas.microsoft.com/office/drawing/2014/main" id="{00000000-0008-0000-0800-000002000000}"/>
            </a:ext>
          </a:extLst>
        </xdr:cNvPr>
        <xdr:cNvGrpSpPr/>
      </xdr:nvGrpSpPr>
      <xdr:grpSpPr>
        <a:xfrm>
          <a:off x="10182225" y="2152650"/>
          <a:ext cx="8562950" cy="5492987"/>
          <a:chOff x="11934267" y="3104028"/>
          <a:chExt cx="8562950" cy="5492987"/>
        </a:xfrm>
      </xdr:grpSpPr>
      <xdr:grpSp>
        <xdr:nvGrpSpPr>
          <xdr:cNvPr id="3" name="Groupe 2">
            <a:extLst>
              <a:ext uri="{FF2B5EF4-FFF2-40B4-BE49-F238E27FC236}">
                <a16:creationId xmlns:a16="http://schemas.microsoft.com/office/drawing/2014/main" id="{00000000-0008-0000-08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08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0800-00001F000000}"/>
                  </a:ext>
                </a:extLst>
              </xdr:cNvPr>
              <xdr:cNvGrpSpPr/>
            </xdr:nvGrpSpPr>
            <xdr:grpSpPr>
              <a:xfrm>
                <a:off x="11889443" y="3126440"/>
                <a:ext cx="8562950" cy="5492987"/>
                <a:chOff x="11889443" y="3126440"/>
                <a:chExt cx="8562950" cy="5492987"/>
              </a:xfrm>
            </xdr:grpSpPr>
            <xdr:sp macro="" textlink="$A$23">
              <xdr:nvSpPr>
                <xdr:cNvPr id="34" name="Organigramme : Connecteur 33">
                  <a:extLst>
                    <a:ext uri="{FF2B5EF4-FFF2-40B4-BE49-F238E27FC236}">
                      <a16:creationId xmlns:a16="http://schemas.microsoft.com/office/drawing/2014/main" id="{00000000-0008-0000-08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08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08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08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08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08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08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08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08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08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08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08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08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08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08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08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08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08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08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08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08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08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08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08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08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08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08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08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08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08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08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08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08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08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08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08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08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08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08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08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08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08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08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08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08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08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08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08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37" name="Organigramme : Connecteur 36">
                    <a:extLst>
                      <a:ext uri="{FF2B5EF4-FFF2-40B4-BE49-F238E27FC236}">
                        <a16:creationId xmlns:a16="http://schemas.microsoft.com/office/drawing/2014/main" id="{00000000-0008-0000-08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5">
                <xdr:nvSpPr>
                  <xdr:cNvPr id="38" name="Organigramme : Connecteur 37">
                    <a:extLst>
                      <a:ext uri="{FF2B5EF4-FFF2-40B4-BE49-F238E27FC236}">
                        <a16:creationId xmlns:a16="http://schemas.microsoft.com/office/drawing/2014/main" id="{00000000-0008-0000-08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3">
                <xdr:nvSpPr>
                  <xdr:cNvPr id="39" name="Organigramme : Connecteur 38">
                    <a:extLst>
                      <a:ext uri="{FF2B5EF4-FFF2-40B4-BE49-F238E27FC236}">
                        <a16:creationId xmlns:a16="http://schemas.microsoft.com/office/drawing/2014/main" id="{00000000-0008-0000-08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2">
                <xdr:nvSpPr>
                  <xdr:cNvPr id="40" name="Organigramme : Connecteur 39">
                    <a:extLst>
                      <a:ext uri="{FF2B5EF4-FFF2-40B4-BE49-F238E27FC236}">
                        <a16:creationId xmlns:a16="http://schemas.microsoft.com/office/drawing/2014/main" id="{00000000-0008-0000-08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0">
                <xdr:nvSpPr>
                  <xdr:cNvPr id="41" name="Organigramme : Connecteur 40">
                    <a:extLst>
                      <a:ext uri="{FF2B5EF4-FFF2-40B4-BE49-F238E27FC236}">
                        <a16:creationId xmlns:a16="http://schemas.microsoft.com/office/drawing/2014/main" id="{00000000-0008-0000-08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1">
                <xdr:nvSpPr>
                  <xdr:cNvPr id="42" name="Organigramme : Connecteur 41">
                    <a:extLst>
                      <a:ext uri="{FF2B5EF4-FFF2-40B4-BE49-F238E27FC236}">
                        <a16:creationId xmlns:a16="http://schemas.microsoft.com/office/drawing/2014/main" id="{00000000-0008-0000-08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29">
                <xdr:nvSpPr>
                  <xdr:cNvPr id="43" name="Organigramme : Connecteur 42">
                    <a:extLst>
                      <a:ext uri="{FF2B5EF4-FFF2-40B4-BE49-F238E27FC236}">
                        <a16:creationId xmlns:a16="http://schemas.microsoft.com/office/drawing/2014/main" id="{00000000-0008-0000-08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8">
                <xdr:nvSpPr>
                  <xdr:cNvPr id="44" name="Organigramme : Connecteur 43">
                    <a:extLst>
                      <a:ext uri="{FF2B5EF4-FFF2-40B4-BE49-F238E27FC236}">
                        <a16:creationId xmlns:a16="http://schemas.microsoft.com/office/drawing/2014/main" id="{00000000-0008-0000-08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5">
                <xdr:nvSpPr>
                  <xdr:cNvPr id="45" name="Organigramme : Connecteur 44">
                    <a:extLst>
                      <a:ext uri="{FF2B5EF4-FFF2-40B4-BE49-F238E27FC236}">
                        <a16:creationId xmlns:a16="http://schemas.microsoft.com/office/drawing/2014/main" id="{00000000-0008-0000-08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6">
                <xdr:nvSpPr>
                  <xdr:cNvPr id="46" name="Organigramme : Connecteur 45">
                    <a:extLst>
                      <a:ext uri="{FF2B5EF4-FFF2-40B4-BE49-F238E27FC236}">
                        <a16:creationId xmlns:a16="http://schemas.microsoft.com/office/drawing/2014/main" id="{00000000-0008-0000-08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7">
                <xdr:nvSpPr>
                  <xdr:cNvPr id="47" name="Organigramme : Connecteur 46">
                    <a:extLst>
                      <a:ext uri="{FF2B5EF4-FFF2-40B4-BE49-F238E27FC236}">
                        <a16:creationId xmlns:a16="http://schemas.microsoft.com/office/drawing/2014/main" id="{00000000-0008-0000-08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08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33" name="Organigramme : Connecteur 32">
                <a:extLst>
                  <a:ext uri="{FF2B5EF4-FFF2-40B4-BE49-F238E27FC236}">
                    <a16:creationId xmlns:a16="http://schemas.microsoft.com/office/drawing/2014/main" id="{00000000-0008-0000-08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3">
          <xdr:nvSpPr>
            <xdr:cNvPr id="18" name="Organigramme : Connecteur 17">
              <a:extLst>
                <a:ext uri="{FF2B5EF4-FFF2-40B4-BE49-F238E27FC236}">
                  <a16:creationId xmlns:a16="http://schemas.microsoft.com/office/drawing/2014/main" id="{00000000-0008-0000-08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19" name="Organigramme : Connecteur 18">
              <a:extLst>
                <a:ext uri="{FF2B5EF4-FFF2-40B4-BE49-F238E27FC236}">
                  <a16:creationId xmlns:a16="http://schemas.microsoft.com/office/drawing/2014/main" id="{00000000-0008-0000-08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20" name="Organigramme : Connecteur 19">
              <a:extLst>
                <a:ext uri="{FF2B5EF4-FFF2-40B4-BE49-F238E27FC236}">
                  <a16:creationId xmlns:a16="http://schemas.microsoft.com/office/drawing/2014/main" id="{00000000-0008-0000-08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21" name="Organigramme : Connecteur 20">
              <a:extLst>
                <a:ext uri="{FF2B5EF4-FFF2-40B4-BE49-F238E27FC236}">
                  <a16:creationId xmlns:a16="http://schemas.microsoft.com/office/drawing/2014/main" id="{00000000-0008-0000-08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22" name="Organigramme : Connecteur 21">
              <a:extLst>
                <a:ext uri="{FF2B5EF4-FFF2-40B4-BE49-F238E27FC236}">
                  <a16:creationId xmlns:a16="http://schemas.microsoft.com/office/drawing/2014/main" id="{00000000-0008-0000-08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23" name="Organigramme : Connecteur 22">
              <a:extLst>
                <a:ext uri="{FF2B5EF4-FFF2-40B4-BE49-F238E27FC236}">
                  <a16:creationId xmlns:a16="http://schemas.microsoft.com/office/drawing/2014/main" id="{00000000-0008-0000-08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24" name="Organigramme : Connecteur 23">
              <a:extLst>
                <a:ext uri="{FF2B5EF4-FFF2-40B4-BE49-F238E27FC236}">
                  <a16:creationId xmlns:a16="http://schemas.microsoft.com/office/drawing/2014/main" id="{00000000-0008-0000-08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25" name="Organigramme : Connecteur 24">
              <a:extLst>
                <a:ext uri="{FF2B5EF4-FFF2-40B4-BE49-F238E27FC236}">
                  <a16:creationId xmlns:a16="http://schemas.microsoft.com/office/drawing/2014/main" id="{00000000-0008-0000-08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26" name="Organigramme : Connecteur 25">
              <a:extLst>
                <a:ext uri="{FF2B5EF4-FFF2-40B4-BE49-F238E27FC236}">
                  <a16:creationId xmlns:a16="http://schemas.microsoft.com/office/drawing/2014/main" id="{00000000-0008-0000-08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27" name="Organigramme : Connecteur 26">
              <a:extLst>
                <a:ext uri="{FF2B5EF4-FFF2-40B4-BE49-F238E27FC236}">
                  <a16:creationId xmlns:a16="http://schemas.microsoft.com/office/drawing/2014/main" id="{00000000-0008-0000-08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28" name="Organigramme : Connecteur 27">
              <a:extLst>
                <a:ext uri="{FF2B5EF4-FFF2-40B4-BE49-F238E27FC236}">
                  <a16:creationId xmlns:a16="http://schemas.microsoft.com/office/drawing/2014/main" id="{00000000-0008-0000-08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9" name="Organigramme : Connecteur 28">
              <a:extLst>
                <a:ext uri="{FF2B5EF4-FFF2-40B4-BE49-F238E27FC236}">
                  <a16:creationId xmlns:a16="http://schemas.microsoft.com/office/drawing/2014/main" id="{00000000-0008-0000-08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30" name="Organigramme : Connecteur 29">
              <a:extLst>
                <a:ext uri="{FF2B5EF4-FFF2-40B4-BE49-F238E27FC236}">
                  <a16:creationId xmlns:a16="http://schemas.microsoft.com/office/drawing/2014/main" id="{00000000-0008-0000-08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4" name="Organigramme : Connecteur 3">
            <a:extLst>
              <a:ext uri="{FF2B5EF4-FFF2-40B4-BE49-F238E27FC236}">
                <a16:creationId xmlns:a16="http://schemas.microsoft.com/office/drawing/2014/main" id="{00000000-0008-0000-08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5" name="Organigramme : Connecteur 4">
            <a:extLst>
              <a:ext uri="{FF2B5EF4-FFF2-40B4-BE49-F238E27FC236}">
                <a16:creationId xmlns:a16="http://schemas.microsoft.com/office/drawing/2014/main" id="{00000000-0008-0000-08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6" name="Organigramme : Connecteur 5">
            <a:extLst>
              <a:ext uri="{FF2B5EF4-FFF2-40B4-BE49-F238E27FC236}">
                <a16:creationId xmlns:a16="http://schemas.microsoft.com/office/drawing/2014/main" id="{00000000-0008-0000-08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7" name="Organigramme : Connecteur 6">
            <a:extLst>
              <a:ext uri="{FF2B5EF4-FFF2-40B4-BE49-F238E27FC236}">
                <a16:creationId xmlns:a16="http://schemas.microsoft.com/office/drawing/2014/main" id="{00000000-0008-0000-08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8" name="Organigramme : Connecteur 7">
            <a:extLst>
              <a:ext uri="{FF2B5EF4-FFF2-40B4-BE49-F238E27FC236}">
                <a16:creationId xmlns:a16="http://schemas.microsoft.com/office/drawing/2014/main" id="{00000000-0008-0000-08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9" name="Organigramme : Connecteur 8">
            <a:extLst>
              <a:ext uri="{FF2B5EF4-FFF2-40B4-BE49-F238E27FC236}">
                <a16:creationId xmlns:a16="http://schemas.microsoft.com/office/drawing/2014/main" id="{00000000-0008-0000-08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10" name="Organigramme : Connecteur 9">
            <a:extLst>
              <a:ext uri="{FF2B5EF4-FFF2-40B4-BE49-F238E27FC236}">
                <a16:creationId xmlns:a16="http://schemas.microsoft.com/office/drawing/2014/main" id="{00000000-0008-0000-08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11" name="Organigramme : Connecteur 10">
            <a:extLst>
              <a:ext uri="{FF2B5EF4-FFF2-40B4-BE49-F238E27FC236}">
                <a16:creationId xmlns:a16="http://schemas.microsoft.com/office/drawing/2014/main" id="{00000000-0008-0000-08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12" name="Organigramme : Connecteur 11">
            <a:extLst>
              <a:ext uri="{FF2B5EF4-FFF2-40B4-BE49-F238E27FC236}">
                <a16:creationId xmlns:a16="http://schemas.microsoft.com/office/drawing/2014/main" id="{00000000-0008-0000-08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13" name="Organigramme : Connecteur 12">
            <a:extLst>
              <a:ext uri="{FF2B5EF4-FFF2-40B4-BE49-F238E27FC236}">
                <a16:creationId xmlns:a16="http://schemas.microsoft.com/office/drawing/2014/main" id="{00000000-0008-0000-08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14" name="Organigramme : Connecteur 13">
            <a:extLst>
              <a:ext uri="{FF2B5EF4-FFF2-40B4-BE49-F238E27FC236}">
                <a16:creationId xmlns:a16="http://schemas.microsoft.com/office/drawing/2014/main" id="{00000000-0008-0000-08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15" name="Organigramme : Connecteur 14">
            <a:extLst>
              <a:ext uri="{FF2B5EF4-FFF2-40B4-BE49-F238E27FC236}">
                <a16:creationId xmlns:a16="http://schemas.microsoft.com/office/drawing/2014/main" id="{00000000-0008-0000-08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16" name="Organigramme : Connecteur 15">
            <a:extLst>
              <a:ext uri="{FF2B5EF4-FFF2-40B4-BE49-F238E27FC236}">
                <a16:creationId xmlns:a16="http://schemas.microsoft.com/office/drawing/2014/main" id="{00000000-0008-0000-08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5</xdr:row>
          <xdr:rowOff>38100</xdr:rowOff>
        </xdr:from>
        <xdr:to>
          <xdr:col>10</xdr:col>
          <xdr:colOff>781050</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1000124</xdr:colOff>
      <xdr:row>59</xdr:row>
      <xdr:rowOff>0</xdr:rowOff>
    </xdr:from>
    <xdr:to>
      <xdr:col>16</xdr:col>
      <xdr:colOff>285749</xdr:colOff>
      <xdr:row>79</xdr:row>
      <xdr:rowOff>152400</xdr:rowOff>
    </xdr:to>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1000124</xdr:colOff>
      <xdr:row>57</xdr:row>
      <xdr:rowOff>190499</xdr:rowOff>
    </xdr:from>
    <xdr:to>
      <xdr:col>14</xdr:col>
      <xdr:colOff>647699</xdr:colOff>
      <xdr:row>79</xdr:row>
      <xdr:rowOff>66674</xdr:rowOff>
    </xdr:to>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1000124</xdr:colOff>
      <xdr:row>57</xdr:row>
      <xdr:rowOff>190499</xdr:rowOff>
    </xdr:from>
    <xdr:to>
      <xdr:col>14</xdr:col>
      <xdr:colOff>190500</xdr:colOff>
      <xdr:row>78</xdr:row>
      <xdr:rowOff>114300</xdr:rowOff>
    </xdr:to>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0F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293</xdr:row>
      <xdr:rowOff>142875</xdr:rowOff>
    </xdr:to>
    <xdr:pic>
      <xdr:nvPicPr>
        <xdr:cNvPr id="104" name="Image 103" descr="fregate">
          <a:extLst>
            <a:ext uri="{FF2B5EF4-FFF2-40B4-BE49-F238E27FC236}">
              <a16:creationId xmlns:a16="http://schemas.microsoft.com/office/drawing/2014/main" id="{00000000-0008-0000-0F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0F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0F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0F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0F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0F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0F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0F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0F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0F00-0000CD000000}"/>
                  </a:ext>
                </a:extLst>
              </xdr:cNvPr>
              <xdr:cNvGrpSpPr/>
            </xdr:nvGrpSpPr>
            <xdr:grpSpPr>
              <a:xfrm>
                <a:off x="11889443" y="3126440"/>
                <a:ext cx="8562950" cy="5492987"/>
                <a:chOff x="11889443" y="3126440"/>
                <a:chExt cx="8562950" cy="5492987"/>
              </a:xfrm>
            </xdr:grpSpPr>
            <xdr:sp macro="" textlink="$A$23">
              <xdr:nvSpPr>
                <xdr:cNvPr id="208" name="Organigramme : Connecteur 207">
                  <a:extLst>
                    <a:ext uri="{FF2B5EF4-FFF2-40B4-BE49-F238E27FC236}">
                      <a16:creationId xmlns:a16="http://schemas.microsoft.com/office/drawing/2014/main" id="{00000000-0008-0000-0F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 </a:t>
                  </a:fld>
                  <a:endParaRPr lang="fr-FR" sz="1100"/>
                </a:p>
              </xdr:txBody>
            </xdr:sp>
            <xdr:grpSp>
              <xdr:nvGrpSpPr>
                <xdr:cNvPr id="209" name="Groupe 208">
                  <a:extLst>
                    <a:ext uri="{FF2B5EF4-FFF2-40B4-BE49-F238E27FC236}">
                      <a16:creationId xmlns:a16="http://schemas.microsoft.com/office/drawing/2014/main" id="{00000000-0008-0000-0F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0F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0F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0F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0F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0F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0F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0F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0F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0F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0F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0F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0F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0F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0F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0F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0F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0F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0F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0F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0F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0F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0F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0F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0F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0F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0F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0F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0F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0F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0F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0F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0F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0F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0F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0F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0F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0F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0F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0F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0F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0F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0F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0F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0F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0F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0F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211" name="Organigramme : Connecteur 210">
                    <a:extLst>
                      <a:ext uri="{FF2B5EF4-FFF2-40B4-BE49-F238E27FC236}">
                        <a16:creationId xmlns:a16="http://schemas.microsoft.com/office/drawing/2014/main" id="{00000000-0008-0000-0F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 </a:t>
                    </a:fld>
                    <a:endParaRPr lang="fr-FR" sz="1100"/>
                  </a:p>
                </xdr:txBody>
              </xdr:sp>
              <xdr:sp macro="" textlink="$A$35">
                <xdr:nvSpPr>
                  <xdr:cNvPr id="212" name="Organigramme : Connecteur 211">
                    <a:extLst>
                      <a:ext uri="{FF2B5EF4-FFF2-40B4-BE49-F238E27FC236}">
                        <a16:creationId xmlns:a16="http://schemas.microsoft.com/office/drawing/2014/main" id="{00000000-0008-0000-0F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 </a:t>
                    </a:fld>
                    <a:endParaRPr lang="fr-FR" sz="1100"/>
                  </a:p>
                </xdr:txBody>
              </xdr:sp>
              <xdr:sp macro="" textlink="$A$33">
                <xdr:nvSpPr>
                  <xdr:cNvPr id="213" name="Organigramme : Connecteur 212">
                    <a:extLst>
                      <a:ext uri="{FF2B5EF4-FFF2-40B4-BE49-F238E27FC236}">
                        <a16:creationId xmlns:a16="http://schemas.microsoft.com/office/drawing/2014/main" id="{00000000-0008-0000-0F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 </a:t>
                    </a:fld>
                    <a:endParaRPr lang="fr-FR" sz="1100"/>
                  </a:p>
                </xdr:txBody>
              </xdr:sp>
              <xdr:sp macro="" textlink="$A$32">
                <xdr:nvSpPr>
                  <xdr:cNvPr id="214" name="Organigramme : Connecteur 213">
                    <a:extLst>
                      <a:ext uri="{FF2B5EF4-FFF2-40B4-BE49-F238E27FC236}">
                        <a16:creationId xmlns:a16="http://schemas.microsoft.com/office/drawing/2014/main" id="{00000000-0008-0000-0F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 </a:t>
                    </a:fld>
                    <a:endParaRPr lang="fr-FR" sz="1100"/>
                  </a:p>
                </xdr:txBody>
              </xdr:sp>
              <xdr:sp macro="" textlink="$A$30">
                <xdr:nvSpPr>
                  <xdr:cNvPr id="215" name="Organigramme : Connecteur 214">
                    <a:extLst>
                      <a:ext uri="{FF2B5EF4-FFF2-40B4-BE49-F238E27FC236}">
                        <a16:creationId xmlns:a16="http://schemas.microsoft.com/office/drawing/2014/main" id="{00000000-0008-0000-0F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Ce rapport présente les résultats et les conclusions de l’essai du contrôle d’homogénéité thermique de l’étuve de polymérisation de peinture Omia sur le site de La Voulte.
Les résultats de la SAT sont également formalisés dans ce rapport (contrôle de déri</a:t>
                    </a:fld>
                    <a:endParaRPr lang="fr-FR" sz="1100"/>
                  </a:p>
                </xdr:txBody>
              </xdr:sp>
              <xdr:sp macro="" textlink="$A$31">
                <xdr:nvSpPr>
                  <xdr:cNvPr id="216" name="Organigramme : Connecteur 215">
                    <a:extLst>
                      <a:ext uri="{FF2B5EF4-FFF2-40B4-BE49-F238E27FC236}">
                        <a16:creationId xmlns:a16="http://schemas.microsoft.com/office/drawing/2014/main" id="{00000000-0008-0000-0F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 </a:t>
                    </a:fld>
                    <a:endParaRPr lang="fr-FR" sz="1100"/>
                  </a:p>
                </xdr:txBody>
              </xdr:sp>
              <xdr:sp macro="" textlink="$A$29">
                <xdr:nvSpPr>
                  <xdr:cNvPr id="217" name="Organigramme : Connecteur 216">
                    <a:extLst>
                      <a:ext uri="{FF2B5EF4-FFF2-40B4-BE49-F238E27FC236}">
                        <a16:creationId xmlns:a16="http://schemas.microsoft.com/office/drawing/2014/main" id="{00000000-0008-0000-0F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 </a:t>
                    </a:fld>
                    <a:endParaRPr lang="fr-FR" sz="1100"/>
                  </a:p>
                </xdr:txBody>
              </xdr:sp>
              <xdr:sp macro="" textlink="$A$28">
                <xdr:nvSpPr>
                  <xdr:cNvPr id="218" name="Organigramme : Connecteur 217">
                    <a:extLst>
                      <a:ext uri="{FF2B5EF4-FFF2-40B4-BE49-F238E27FC236}">
                        <a16:creationId xmlns:a16="http://schemas.microsoft.com/office/drawing/2014/main" id="{00000000-0008-0000-0F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1. Objet</a:t>
                    </a:fld>
                    <a:endParaRPr lang="fr-FR" sz="1100"/>
                  </a:p>
                </xdr:txBody>
              </xdr:sp>
              <xdr:sp macro="" textlink="$A$25">
                <xdr:nvSpPr>
                  <xdr:cNvPr id="219" name="Organigramme : Connecteur 218">
                    <a:extLst>
                      <a:ext uri="{FF2B5EF4-FFF2-40B4-BE49-F238E27FC236}">
                        <a16:creationId xmlns:a16="http://schemas.microsoft.com/office/drawing/2014/main" id="{00000000-0008-0000-0F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 </a:t>
                    </a:fld>
                    <a:endParaRPr lang="fr-FR" sz="1100"/>
                  </a:p>
                </xdr:txBody>
              </xdr:sp>
              <xdr:sp macro="" textlink="$A$26">
                <xdr:nvSpPr>
                  <xdr:cNvPr id="220" name="Organigramme : Connecteur 219">
                    <a:extLst>
                      <a:ext uri="{FF2B5EF4-FFF2-40B4-BE49-F238E27FC236}">
                        <a16:creationId xmlns:a16="http://schemas.microsoft.com/office/drawing/2014/main" id="{00000000-0008-0000-0F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 </a:t>
                    </a:fld>
                    <a:endParaRPr lang="fr-FR" sz="1100"/>
                  </a:p>
                </xdr:txBody>
              </xdr:sp>
              <xdr:sp macro="" textlink="$A$27">
                <xdr:nvSpPr>
                  <xdr:cNvPr id="221" name="Organigramme : Connecteur 220">
                    <a:extLst>
                      <a:ext uri="{FF2B5EF4-FFF2-40B4-BE49-F238E27FC236}">
                        <a16:creationId xmlns:a16="http://schemas.microsoft.com/office/drawing/2014/main" id="{00000000-0008-0000-0F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 </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0F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207" name="Organigramme : Connecteur 206">
                <a:extLst>
                  <a:ext uri="{FF2B5EF4-FFF2-40B4-BE49-F238E27FC236}">
                    <a16:creationId xmlns:a16="http://schemas.microsoft.com/office/drawing/2014/main" id="{00000000-0008-0000-0F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 </a:t>
                </a:fld>
                <a:endParaRPr lang="fr-FR" sz="1100"/>
              </a:p>
            </xdr:txBody>
          </xdr:sp>
        </xdr:grpSp>
        <xdr:sp macro="" textlink="B23">
          <xdr:nvSpPr>
            <xdr:cNvPr id="28" name="Organigramme : Connecteur 27">
              <a:extLst>
                <a:ext uri="{FF2B5EF4-FFF2-40B4-BE49-F238E27FC236}">
                  <a16:creationId xmlns:a16="http://schemas.microsoft.com/office/drawing/2014/main" id="{00000000-0008-0000-0F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29" name="Organigramme : Connecteur 28">
              <a:extLst>
                <a:ext uri="{FF2B5EF4-FFF2-40B4-BE49-F238E27FC236}">
                  <a16:creationId xmlns:a16="http://schemas.microsoft.com/office/drawing/2014/main" id="{00000000-0008-0000-0F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30" name="Organigramme : Connecteur 29">
              <a:extLst>
                <a:ext uri="{FF2B5EF4-FFF2-40B4-BE49-F238E27FC236}">
                  <a16:creationId xmlns:a16="http://schemas.microsoft.com/office/drawing/2014/main" id="{00000000-0008-0000-0F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31" name="Organigramme : Connecteur 30">
              <a:extLst>
                <a:ext uri="{FF2B5EF4-FFF2-40B4-BE49-F238E27FC236}">
                  <a16:creationId xmlns:a16="http://schemas.microsoft.com/office/drawing/2014/main" id="{00000000-0008-0000-0F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96" name="Organigramme : Connecteur 95">
              <a:extLst>
                <a:ext uri="{FF2B5EF4-FFF2-40B4-BE49-F238E27FC236}">
                  <a16:creationId xmlns:a16="http://schemas.microsoft.com/office/drawing/2014/main" id="{00000000-0008-0000-0F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97" name="Organigramme : Connecteur 96">
              <a:extLst>
                <a:ext uri="{FF2B5EF4-FFF2-40B4-BE49-F238E27FC236}">
                  <a16:creationId xmlns:a16="http://schemas.microsoft.com/office/drawing/2014/main" id="{00000000-0008-0000-0F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98" name="Organigramme : Connecteur 97">
              <a:extLst>
                <a:ext uri="{FF2B5EF4-FFF2-40B4-BE49-F238E27FC236}">
                  <a16:creationId xmlns:a16="http://schemas.microsoft.com/office/drawing/2014/main" id="{00000000-0008-0000-0F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99" name="Organigramme : Connecteur 98">
              <a:extLst>
                <a:ext uri="{FF2B5EF4-FFF2-40B4-BE49-F238E27FC236}">
                  <a16:creationId xmlns:a16="http://schemas.microsoft.com/office/drawing/2014/main" id="{00000000-0008-0000-0F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100" name="Organigramme : Connecteur 99">
              <a:extLst>
                <a:ext uri="{FF2B5EF4-FFF2-40B4-BE49-F238E27FC236}">
                  <a16:creationId xmlns:a16="http://schemas.microsoft.com/office/drawing/2014/main" id="{00000000-0008-0000-0F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101" name="Organigramme : Connecteur 100">
              <a:extLst>
                <a:ext uri="{FF2B5EF4-FFF2-40B4-BE49-F238E27FC236}">
                  <a16:creationId xmlns:a16="http://schemas.microsoft.com/office/drawing/2014/main" id="{00000000-0008-0000-0F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102" name="Organigramme : Connecteur 101">
              <a:extLst>
                <a:ext uri="{FF2B5EF4-FFF2-40B4-BE49-F238E27FC236}">
                  <a16:creationId xmlns:a16="http://schemas.microsoft.com/office/drawing/2014/main" id="{00000000-0008-0000-0F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03" name="Organigramme : Connecteur 202">
              <a:extLst>
                <a:ext uri="{FF2B5EF4-FFF2-40B4-BE49-F238E27FC236}">
                  <a16:creationId xmlns:a16="http://schemas.microsoft.com/office/drawing/2014/main" id="{00000000-0008-0000-0F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204" name="Organigramme : Connecteur 203">
              <a:extLst>
                <a:ext uri="{FF2B5EF4-FFF2-40B4-BE49-F238E27FC236}">
                  <a16:creationId xmlns:a16="http://schemas.microsoft.com/office/drawing/2014/main" id="{00000000-0008-0000-0F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14" name="Organigramme : Connecteur 13">
            <a:extLst>
              <a:ext uri="{FF2B5EF4-FFF2-40B4-BE49-F238E27FC236}">
                <a16:creationId xmlns:a16="http://schemas.microsoft.com/office/drawing/2014/main" id="{00000000-0008-0000-0F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15" name="Organigramme : Connecteur 14">
            <a:extLst>
              <a:ext uri="{FF2B5EF4-FFF2-40B4-BE49-F238E27FC236}">
                <a16:creationId xmlns:a16="http://schemas.microsoft.com/office/drawing/2014/main" id="{00000000-0008-0000-0F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16" name="Organigramme : Connecteur 15">
            <a:extLst>
              <a:ext uri="{FF2B5EF4-FFF2-40B4-BE49-F238E27FC236}">
                <a16:creationId xmlns:a16="http://schemas.microsoft.com/office/drawing/2014/main" id="{00000000-0008-0000-0F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17" name="Organigramme : Connecteur 16">
            <a:extLst>
              <a:ext uri="{FF2B5EF4-FFF2-40B4-BE49-F238E27FC236}">
                <a16:creationId xmlns:a16="http://schemas.microsoft.com/office/drawing/2014/main" id="{00000000-0008-0000-0F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18" name="Organigramme : Connecteur 17">
            <a:extLst>
              <a:ext uri="{FF2B5EF4-FFF2-40B4-BE49-F238E27FC236}">
                <a16:creationId xmlns:a16="http://schemas.microsoft.com/office/drawing/2014/main" id="{00000000-0008-0000-0F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19" name="Organigramme : Connecteur 18">
            <a:extLst>
              <a:ext uri="{FF2B5EF4-FFF2-40B4-BE49-F238E27FC236}">
                <a16:creationId xmlns:a16="http://schemas.microsoft.com/office/drawing/2014/main" id="{00000000-0008-0000-0F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20" name="Organigramme : Connecteur 19">
            <a:extLst>
              <a:ext uri="{FF2B5EF4-FFF2-40B4-BE49-F238E27FC236}">
                <a16:creationId xmlns:a16="http://schemas.microsoft.com/office/drawing/2014/main" id="{00000000-0008-0000-0F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21" name="Organigramme : Connecteur 20">
            <a:extLst>
              <a:ext uri="{FF2B5EF4-FFF2-40B4-BE49-F238E27FC236}">
                <a16:creationId xmlns:a16="http://schemas.microsoft.com/office/drawing/2014/main" id="{00000000-0008-0000-0F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22" name="Organigramme : Connecteur 21">
            <a:extLst>
              <a:ext uri="{FF2B5EF4-FFF2-40B4-BE49-F238E27FC236}">
                <a16:creationId xmlns:a16="http://schemas.microsoft.com/office/drawing/2014/main" id="{00000000-0008-0000-0F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23" name="Organigramme : Connecteur 22">
            <a:extLst>
              <a:ext uri="{FF2B5EF4-FFF2-40B4-BE49-F238E27FC236}">
                <a16:creationId xmlns:a16="http://schemas.microsoft.com/office/drawing/2014/main" id="{00000000-0008-0000-0F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24" name="Organigramme : Connecteur 23">
            <a:extLst>
              <a:ext uri="{FF2B5EF4-FFF2-40B4-BE49-F238E27FC236}">
                <a16:creationId xmlns:a16="http://schemas.microsoft.com/office/drawing/2014/main" id="{00000000-0008-0000-0F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25" name="Organigramme : Connecteur 24">
            <a:extLst>
              <a:ext uri="{FF2B5EF4-FFF2-40B4-BE49-F238E27FC236}">
                <a16:creationId xmlns:a16="http://schemas.microsoft.com/office/drawing/2014/main" id="{00000000-0008-0000-0F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26" name="Organigramme : Connecteur 25">
            <a:extLst>
              <a:ext uri="{FF2B5EF4-FFF2-40B4-BE49-F238E27FC236}">
                <a16:creationId xmlns:a16="http://schemas.microsoft.com/office/drawing/2014/main" id="{00000000-0008-0000-0F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257</xdr:row>
      <xdr:rowOff>190499</xdr:rowOff>
    </xdr:from>
    <xdr:to>
      <xdr:col>13</xdr:col>
      <xdr:colOff>555625</xdr:colOff>
      <xdr:row>286</xdr:row>
      <xdr:rowOff>111125</xdr:rowOff>
    </xdr:to>
    <xdr:graphicFrame macro="">
      <xdr:nvGraphicFramePr>
        <xdr:cNvPr id="267" name="Graphique 266">
          <a:extLst>
            <a:ext uri="{FF2B5EF4-FFF2-40B4-BE49-F238E27FC236}">
              <a16:creationId xmlns:a16="http://schemas.microsoft.com/office/drawing/2014/main" id="{00000000-0008-0000-0F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12</xdr:col>
      <xdr:colOff>301625</xdr:colOff>
      <xdr:row>390</xdr:row>
      <xdr:rowOff>63500</xdr:rowOff>
    </xdr:to>
    <xdr:graphicFrame macro="">
      <xdr:nvGraphicFramePr>
        <xdr:cNvPr id="268" name="Graphique 267">
          <a:extLst>
            <a:ext uri="{FF2B5EF4-FFF2-40B4-BE49-F238E27FC236}">
              <a16:creationId xmlns:a16="http://schemas.microsoft.com/office/drawing/2014/main" id="{00000000-0008-0000-0F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3317874</xdr:colOff>
      <xdr:row>459</xdr:row>
      <xdr:rowOff>0</xdr:rowOff>
    </xdr:from>
    <xdr:to>
      <xdr:col>12</xdr:col>
      <xdr:colOff>444499</xdr:colOff>
      <xdr:row>489</xdr:row>
      <xdr:rowOff>0</xdr:rowOff>
    </xdr:to>
    <xdr:graphicFrame macro="">
      <xdr:nvGraphicFramePr>
        <xdr:cNvPr id="269" name="Graphique 268">
          <a:extLst>
            <a:ext uri="{FF2B5EF4-FFF2-40B4-BE49-F238E27FC236}">
              <a16:creationId xmlns:a16="http://schemas.microsoft.com/office/drawing/2014/main" id="{00000000-0008-0000-0F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6</xdr:row>
          <xdr:rowOff>47625</xdr:rowOff>
        </xdr:from>
        <xdr:to>
          <xdr:col>13</xdr:col>
          <xdr:colOff>400050</xdr:colOff>
          <xdr:row>12</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10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12</xdr:col>
      <xdr:colOff>99393</xdr:colOff>
      <xdr:row>21</xdr:row>
      <xdr:rowOff>405847</xdr:rowOff>
    </xdr:from>
    <xdr:to>
      <xdr:col>12</xdr:col>
      <xdr:colOff>381001</xdr:colOff>
      <xdr:row>21</xdr:row>
      <xdr:rowOff>670891</xdr:rowOff>
    </xdr:to>
    <xdr:sp macro="" textlink="">
      <xdr:nvSpPr>
        <xdr:cNvPr id="17425" name="Étoile : 5 branches 17424">
          <a:extLst>
            <a:ext uri="{FF2B5EF4-FFF2-40B4-BE49-F238E27FC236}">
              <a16:creationId xmlns:a16="http://schemas.microsoft.com/office/drawing/2014/main" id="{00000000-0008-0000-1000-000011440000}"/>
            </a:ext>
          </a:extLst>
        </xdr:cNvPr>
        <xdr:cNvSpPr/>
      </xdr:nvSpPr>
      <xdr:spPr>
        <a:xfrm>
          <a:off x="11479697" y="4944717"/>
          <a:ext cx="281608" cy="265044"/>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9</xdr:col>
      <xdr:colOff>571500</xdr:colOff>
      <xdr:row>15</xdr:row>
      <xdr:rowOff>16565</xdr:rowOff>
    </xdr:from>
    <xdr:to>
      <xdr:col>12</xdr:col>
      <xdr:colOff>1399761</xdr:colOff>
      <xdr:row>34</xdr:row>
      <xdr:rowOff>41412</xdr:rowOff>
    </xdr:to>
    <xdr:grpSp>
      <xdr:nvGrpSpPr>
        <xdr:cNvPr id="17431" name="Groupe 17430">
          <a:extLst>
            <a:ext uri="{FF2B5EF4-FFF2-40B4-BE49-F238E27FC236}">
              <a16:creationId xmlns:a16="http://schemas.microsoft.com/office/drawing/2014/main" id="{00000000-0008-0000-1000-000017440000}"/>
            </a:ext>
          </a:extLst>
        </xdr:cNvPr>
        <xdr:cNvGrpSpPr/>
      </xdr:nvGrpSpPr>
      <xdr:grpSpPr>
        <a:xfrm>
          <a:off x="10527196" y="3404152"/>
          <a:ext cx="4174435" cy="4041912"/>
          <a:chOff x="8605630" y="3404152"/>
          <a:chExt cx="4174435" cy="4232412"/>
        </a:xfrm>
      </xdr:grpSpPr>
      <xdr:sp macro="" textlink="">
        <xdr:nvSpPr>
          <xdr:cNvPr id="17427" name="Organigramme : Connecteur 17426">
            <a:extLst>
              <a:ext uri="{FF2B5EF4-FFF2-40B4-BE49-F238E27FC236}">
                <a16:creationId xmlns:a16="http://schemas.microsoft.com/office/drawing/2014/main" id="{00000000-0008-0000-1000-00001344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430" name="Groupe 17429">
            <a:extLst>
              <a:ext uri="{FF2B5EF4-FFF2-40B4-BE49-F238E27FC236}">
                <a16:creationId xmlns:a16="http://schemas.microsoft.com/office/drawing/2014/main" id="{00000000-0008-0000-1000-000016440000}"/>
              </a:ext>
            </a:extLst>
          </xdr:cNvPr>
          <xdr:cNvGrpSpPr/>
        </xdr:nvGrpSpPr>
        <xdr:grpSpPr>
          <a:xfrm>
            <a:off x="8605630" y="3404152"/>
            <a:ext cx="4174435" cy="4232412"/>
            <a:chOff x="8605630" y="3404152"/>
            <a:chExt cx="4174435" cy="4232412"/>
          </a:xfrm>
        </xdr:grpSpPr>
        <xdr:grpSp>
          <xdr:nvGrpSpPr>
            <xdr:cNvPr id="17424" name="Groupe 17423">
              <a:extLst>
                <a:ext uri="{FF2B5EF4-FFF2-40B4-BE49-F238E27FC236}">
                  <a16:creationId xmlns:a16="http://schemas.microsoft.com/office/drawing/2014/main" id="{00000000-0008-0000-1000-000010440000}"/>
                </a:ext>
              </a:extLst>
            </xdr:cNvPr>
            <xdr:cNvGrpSpPr/>
          </xdr:nvGrpSpPr>
          <xdr:grpSpPr>
            <a:xfrm>
              <a:off x="9316277" y="3404152"/>
              <a:ext cx="3463788" cy="3327953"/>
              <a:chOff x="9092647" y="3420717"/>
              <a:chExt cx="3463788" cy="3327953"/>
            </a:xfrm>
          </xdr:grpSpPr>
          <xdr:sp macro="" textlink="">
            <xdr:nvSpPr>
              <xdr:cNvPr id="15" name="Organigramme : Connecteur 14">
                <a:extLst>
                  <a:ext uri="{FF2B5EF4-FFF2-40B4-BE49-F238E27FC236}">
                    <a16:creationId xmlns:a16="http://schemas.microsoft.com/office/drawing/2014/main" id="{00000000-0008-0000-1000-00000F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8" name="Organigramme : Connecteur 17">
                <a:extLst>
                  <a:ext uri="{FF2B5EF4-FFF2-40B4-BE49-F238E27FC236}">
                    <a16:creationId xmlns:a16="http://schemas.microsoft.com/office/drawing/2014/main" id="{00000000-0008-0000-1000-000012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0" name="Organigramme : Connecteur 19">
                <a:extLst>
                  <a:ext uri="{FF2B5EF4-FFF2-40B4-BE49-F238E27FC236}">
                    <a16:creationId xmlns:a16="http://schemas.microsoft.com/office/drawing/2014/main" id="{00000000-0008-0000-1000-000014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1" name="Organigramme : Connecteur 20">
                <a:extLst>
                  <a:ext uri="{FF2B5EF4-FFF2-40B4-BE49-F238E27FC236}">
                    <a16:creationId xmlns:a16="http://schemas.microsoft.com/office/drawing/2014/main" id="{00000000-0008-0000-1000-000015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2" name="Organigramme : Connecteur 21">
                <a:extLst>
                  <a:ext uri="{FF2B5EF4-FFF2-40B4-BE49-F238E27FC236}">
                    <a16:creationId xmlns:a16="http://schemas.microsoft.com/office/drawing/2014/main" id="{00000000-0008-0000-1000-000016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3" name="Organigramme : Connecteur 22">
                <a:extLst>
                  <a:ext uri="{FF2B5EF4-FFF2-40B4-BE49-F238E27FC236}">
                    <a16:creationId xmlns:a16="http://schemas.microsoft.com/office/drawing/2014/main" id="{00000000-0008-0000-1000-000017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23" name="Groupe 17422">
                <a:extLst>
                  <a:ext uri="{FF2B5EF4-FFF2-40B4-BE49-F238E27FC236}">
                    <a16:creationId xmlns:a16="http://schemas.microsoft.com/office/drawing/2014/main" id="{00000000-0008-0000-1000-00000F440000}"/>
                  </a:ext>
                </a:extLst>
              </xdr:cNvPr>
              <xdr:cNvGrpSpPr/>
            </xdr:nvGrpSpPr>
            <xdr:grpSpPr>
              <a:xfrm>
                <a:off x="9092647" y="3592995"/>
                <a:ext cx="3463788" cy="3155675"/>
                <a:chOff x="9092647" y="3592995"/>
                <a:chExt cx="3463788" cy="3155675"/>
              </a:xfrm>
            </xdr:grpSpPr>
            <xdr:sp macro="" textlink="">
              <xdr:nvSpPr>
                <xdr:cNvPr id="17" name="Organigramme : Connecteur 16">
                  <a:extLst>
                    <a:ext uri="{FF2B5EF4-FFF2-40B4-BE49-F238E27FC236}">
                      <a16:creationId xmlns:a16="http://schemas.microsoft.com/office/drawing/2014/main" id="{00000000-0008-0000-1000-000011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9" name="Organigramme : Connecteur 18">
                  <a:extLst>
                    <a:ext uri="{FF2B5EF4-FFF2-40B4-BE49-F238E27FC236}">
                      <a16:creationId xmlns:a16="http://schemas.microsoft.com/office/drawing/2014/main" id="{00000000-0008-0000-1000-000013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29" name="Organigramme : Connecteur 28">
                  <a:extLst>
                    <a:ext uri="{FF2B5EF4-FFF2-40B4-BE49-F238E27FC236}">
                      <a16:creationId xmlns:a16="http://schemas.microsoft.com/office/drawing/2014/main" id="{00000000-0008-0000-1000-00001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30" name="Organigramme : Connecteur 29">
                  <a:extLst>
                    <a:ext uri="{FF2B5EF4-FFF2-40B4-BE49-F238E27FC236}">
                      <a16:creationId xmlns:a16="http://schemas.microsoft.com/office/drawing/2014/main" id="{00000000-0008-0000-1000-00001E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7408" name="Organigramme : Connecteur 17407">
                  <a:extLst>
                    <a:ext uri="{FF2B5EF4-FFF2-40B4-BE49-F238E27FC236}">
                      <a16:creationId xmlns:a16="http://schemas.microsoft.com/office/drawing/2014/main" id="{00000000-0008-0000-1000-000000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7410" name="Organigramme : Connecteur 17409">
                  <a:extLst>
                    <a:ext uri="{FF2B5EF4-FFF2-40B4-BE49-F238E27FC236}">
                      <a16:creationId xmlns:a16="http://schemas.microsoft.com/office/drawing/2014/main" id="{00000000-0008-0000-1000-000002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7412" name="Organigramme : Connecteur 17411">
                  <a:extLst>
                    <a:ext uri="{FF2B5EF4-FFF2-40B4-BE49-F238E27FC236}">
                      <a16:creationId xmlns:a16="http://schemas.microsoft.com/office/drawing/2014/main" id="{00000000-0008-0000-1000-000004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7413" name="Organigramme : Connecteur 17412">
                  <a:extLst>
                    <a:ext uri="{FF2B5EF4-FFF2-40B4-BE49-F238E27FC236}">
                      <a16:creationId xmlns:a16="http://schemas.microsoft.com/office/drawing/2014/main" id="{00000000-0008-0000-1000-000005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7416" name="Organigramme : Connecteur 17415">
                  <a:extLst>
                    <a:ext uri="{FF2B5EF4-FFF2-40B4-BE49-F238E27FC236}">
                      <a16:creationId xmlns:a16="http://schemas.microsoft.com/office/drawing/2014/main" id="{00000000-0008-0000-1000-000008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7417" name="Organigramme : Connecteur 17416">
                  <a:extLst>
                    <a:ext uri="{FF2B5EF4-FFF2-40B4-BE49-F238E27FC236}">
                      <a16:creationId xmlns:a16="http://schemas.microsoft.com/office/drawing/2014/main" id="{00000000-0008-0000-1000-000009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7418" name="Organigramme : Connecteur 17417">
                  <a:extLst>
                    <a:ext uri="{FF2B5EF4-FFF2-40B4-BE49-F238E27FC236}">
                      <a16:creationId xmlns:a16="http://schemas.microsoft.com/office/drawing/2014/main" id="{00000000-0008-0000-1000-00000A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7420" name="Organigramme : Connecteur 17419">
                  <a:extLst>
                    <a:ext uri="{FF2B5EF4-FFF2-40B4-BE49-F238E27FC236}">
                      <a16:creationId xmlns:a16="http://schemas.microsoft.com/office/drawing/2014/main" id="{00000000-0008-0000-1000-00000C4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7422" name="Groupe 17421">
                  <a:extLst>
                    <a:ext uri="{FF2B5EF4-FFF2-40B4-BE49-F238E27FC236}">
                      <a16:creationId xmlns:a16="http://schemas.microsoft.com/office/drawing/2014/main" id="{00000000-0008-0000-1000-00000E440000}"/>
                    </a:ext>
                  </a:extLst>
                </xdr:cNvPr>
                <xdr:cNvGrpSpPr/>
              </xdr:nvGrpSpPr>
              <xdr:grpSpPr>
                <a:xfrm>
                  <a:off x="9230139" y="3592995"/>
                  <a:ext cx="3326296" cy="2792482"/>
                  <a:chOff x="9230139" y="3592995"/>
                  <a:chExt cx="3326296" cy="2792482"/>
                </a:xfrm>
              </xdr:grpSpPr>
              <xdr:grpSp>
                <xdr:nvGrpSpPr>
                  <xdr:cNvPr id="14" name="Groupe 13">
                    <a:extLst>
                      <a:ext uri="{FF2B5EF4-FFF2-40B4-BE49-F238E27FC236}">
                        <a16:creationId xmlns:a16="http://schemas.microsoft.com/office/drawing/2014/main" id="{00000000-0008-0000-1000-00000E000000}"/>
                      </a:ext>
                    </a:extLst>
                  </xdr:cNvPr>
                  <xdr:cNvGrpSpPr/>
                </xdr:nvGrpSpPr>
                <xdr:grpSpPr>
                  <a:xfrm>
                    <a:off x="9310480" y="3635237"/>
                    <a:ext cx="2949367" cy="2750240"/>
                    <a:chOff x="9320893" y="3638550"/>
                    <a:chExt cx="2950550" cy="2755446"/>
                  </a:xfrm>
                </xdr:grpSpPr>
                <xdr:sp macro="" textlink="">
                  <xdr:nvSpPr>
                    <xdr:cNvPr id="4" name="Cube 3">
                      <a:extLst>
                        <a:ext uri="{FF2B5EF4-FFF2-40B4-BE49-F238E27FC236}">
                          <a16:creationId xmlns:a16="http://schemas.microsoft.com/office/drawing/2014/main" id="{00000000-0008-0000-1000-000004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 name="Connecteur droit 5">
                      <a:extLst>
                        <a:ext uri="{FF2B5EF4-FFF2-40B4-BE49-F238E27FC236}">
                          <a16:creationId xmlns:a16="http://schemas.microsoft.com/office/drawing/2014/main" id="{00000000-0008-0000-1000-000006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Connecteur droit 9">
                      <a:extLst>
                        <a:ext uri="{FF2B5EF4-FFF2-40B4-BE49-F238E27FC236}">
                          <a16:creationId xmlns:a16="http://schemas.microsoft.com/office/drawing/2014/main" id="{00000000-0008-0000-1000-00000A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3" name="Connecteur droit 12">
                      <a:extLst>
                        <a:ext uri="{FF2B5EF4-FFF2-40B4-BE49-F238E27FC236}">
                          <a16:creationId xmlns:a16="http://schemas.microsoft.com/office/drawing/2014/main" id="{00000000-0008-0000-1000-00000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24" name="Organigramme : Connecteur 23">
                    <a:extLst>
                      <a:ext uri="{FF2B5EF4-FFF2-40B4-BE49-F238E27FC236}">
                        <a16:creationId xmlns:a16="http://schemas.microsoft.com/office/drawing/2014/main" id="{00000000-0008-0000-1000-000018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5" name="Organigramme : Connecteur 24">
                    <a:extLst>
                      <a:ext uri="{FF2B5EF4-FFF2-40B4-BE49-F238E27FC236}">
                        <a16:creationId xmlns:a16="http://schemas.microsoft.com/office/drawing/2014/main" id="{00000000-0008-0000-1000-000019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28" name="Organigramme : Connecteur 27">
                    <a:extLst>
                      <a:ext uri="{FF2B5EF4-FFF2-40B4-BE49-F238E27FC236}">
                        <a16:creationId xmlns:a16="http://schemas.microsoft.com/office/drawing/2014/main" id="{00000000-0008-0000-1000-00001C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31" name="Organigramme : Connecteur 30">
                    <a:extLst>
                      <a:ext uri="{FF2B5EF4-FFF2-40B4-BE49-F238E27FC236}">
                        <a16:creationId xmlns:a16="http://schemas.microsoft.com/office/drawing/2014/main" id="{00000000-0008-0000-1000-00001F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7411" name="Organigramme : Connecteur 17410">
                    <a:extLst>
                      <a:ext uri="{FF2B5EF4-FFF2-40B4-BE49-F238E27FC236}">
                        <a16:creationId xmlns:a16="http://schemas.microsoft.com/office/drawing/2014/main" id="{00000000-0008-0000-1000-000003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7415" name="Organigramme : Connecteur 17414">
                    <a:extLst>
                      <a:ext uri="{FF2B5EF4-FFF2-40B4-BE49-F238E27FC236}">
                        <a16:creationId xmlns:a16="http://schemas.microsoft.com/office/drawing/2014/main" id="{00000000-0008-0000-1000-000007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7419" name="Organigramme : Connecteur 17418">
                    <a:extLst>
                      <a:ext uri="{FF2B5EF4-FFF2-40B4-BE49-F238E27FC236}">
                        <a16:creationId xmlns:a16="http://schemas.microsoft.com/office/drawing/2014/main" id="{00000000-0008-0000-1000-00000B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7421" name="Organigramme : Connecteur 17420">
                    <a:extLst>
                      <a:ext uri="{FF2B5EF4-FFF2-40B4-BE49-F238E27FC236}">
                        <a16:creationId xmlns:a16="http://schemas.microsoft.com/office/drawing/2014/main" id="{00000000-0008-0000-1000-00000D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7426" name="Organigramme : Connecteur 17425">
              <a:extLst>
                <a:ext uri="{FF2B5EF4-FFF2-40B4-BE49-F238E27FC236}">
                  <a16:creationId xmlns:a16="http://schemas.microsoft.com/office/drawing/2014/main" id="{00000000-0008-0000-1000-00001244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7428" name="Organigramme : Connecteur 17427">
              <a:extLst>
                <a:ext uri="{FF2B5EF4-FFF2-40B4-BE49-F238E27FC236}">
                  <a16:creationId xmlns:a16="http://schemas.microsoft.com/office/drawing/2014/main" id="{00000000-0008-0000-1000-00001444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7429" name="ZoneTexte 17428">
              <a:extLst>
                <a:ext uri="{FF2B5EF4-FFF2-40B4-BE49-F238E27FC236}">
                  <a16:creationId xmlns:a16="http://schemas.microsoft.com/office/drawing/2014/main" id="{00000000-0008-0000-1000-00001544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58</xdr:row>
      <xdr:rowOff>0</xdr:rowOff>
    </xdr:from>
    <xdr:to>
      <xdr:col>12</xdr:col>
      <xdr:colOff>0</xdr:colOff>
      <xdr:row>75</xdr:row>
      <xdr:rowOff>57150</xdr:rowOff>
    </xdr:to>
    <xdr:graphicFrame macro="">
      <xdr:nvGraphicFramePr>
        <xdr:cNvPr id="2" name="Graphique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1000124</xdr:colOff>
      <xdr:row>59</xdr:row>
      <xdr:rowOff>0</xdr:rowOff>
    </xdr:from>
    <xdr:to>
      <xdr:col>13</xdr:col>
      <xdr:colOff>971549</xdr:colOff>
      <xdr:row>76</xdr:row>
      <xdr:rowOff>38100</xdr:rowOff>
    </xdr:to>
    <xdr:graphicFrame macro="">
      <xdr:nvGraphicFramePr>
        <xdr:cNvPr id="2" name="Graphique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2</xdr:col>
      <xdr:colOff>0</xdr:colOff>
      <xdr:row>57</xdr:row>
      <xdr:rowOff>0</xdr:rowOff>
    </xdr:from>
    <xdr:to>
      <xdr:col>13</xdr:col>
      <xdr:colOff>714375</xdr:colOff>
      <xdr:row>75</xdr:row>
      <xdr:rowOff>95250</xdr:rowOff>
    </xdr:to>
    <xdr:graphicFrame macro="">
      <xdr:nvGraphicFramePr>
        <xdr:cNvPr id="2" name="Graphique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17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285</xdr:row>
      <xdr:rowOff>142875</xdr:rowOff>
    </xdr:to>
    <xdr:pic>
      <xdr:nvPicPr>
        <xdr:cNvPr id="12" name="Image 11" descr="fregat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17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17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17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17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17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editAs="oneCell">
    <xdr:from>
      <xdr:col>4</xdr:col>
      <xdr:colOff>502227</xdr:colOff>
      <xdr:row>59</xdr:row>
      <xdr:rowOff>51955</xdr:rowOff>
    </xdr:from>
    <xdr:to>
      <xdr:col>6</xdr:col>
      <xdr:colOff>999524</xdr:colOff>
      <xdr:row>79</xdr:row>
      <xdr:rowOff>133535</xdr:rowOff>
    </xdr:to>
    <xdr:pic>
      <xdr:nvPicPr>
        <xdr:cNvPr id="112" name="Image 111">
          <a:extLst>
            <a:ext uri="{FF2B5EF4-FFF2-40B4-BE49-F238E27FC236}">
              <a16:creationId xmlns:a16="http://schemas.microsoft.com/office/drawing/2014/main" id="{00000000-0008-0000-1700-00007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862954" y="13023273"/>
          <a:ext cx="4012888" cy="4047444"/>
        </a:xfrm>
        <a:prstGeom prst="rect">
          <a:avLst/>
        </a:prstGeom>
      </xdr:spPr>
    </xdr:pic>
    <xdr:clientData/>
  </xdr:twoCellAnchor>
  <xdr:twoCellAnchor>
    <xdr:from>
      <xdr:col>1</xdr:col>
      <xdr:colOff>0</xdr:colOff>
      <xdr:row>250</xdr:row>
      <xdr:rowOff>0</xdr:rowOff>
    </xdr:from>
    <xdr:to>
      <xdr:col>11</xdr:col>
      <xdr:colOff>86591</xdr:colOff>
      <xdr:row>274</xdr:row>
      <xdr:rowOff>69272</xdr:rowOff>
    </xdr:to>
    <xdr:graphicFrame macro="">
      <xdr:nvGraphicFramePr>
        <xdr:cNvPr id="113" name="Graphique 112">
          <a:extLst>
            <a:ext uri="{FF2B5EF4-FFF2-40B4-BE49-F238E27FC236}">
              <a16:creationId xmlns:a16="http://schemas.microsoft.com/office/drawing/2014/main" id="{00000000-0008-0000-17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346</xdr:row>
      <xdr:rowOff>0</xdr:rowOff>
    </xdr:from>
    <xdr:to>
      <xdr:col>12</xdr:col>
      <xdr:colOff>813955</xdr:colOff>
      <xdr:row>384</xdr:row>
      <xdr:rowOff>17318</xdr:rowOff>
    </xdr:to>
    <xdr:graphicFrame macro="">
      <xdr:nvGraphicFramePr>
        <xdr:cNvPr id="114" name="Graphique 113">
          <a:extLst>
            <a:ext uri="{FF2B5EF4-FFF2-40B4-BE49-F238E27FC236}">
              <a16:creationId xmlns:a16="http://schemas.microsoft.com/office/drawing/2014/main" id="{00000000-0008-0000-17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451</xdr:row>
      <xdr:rowOff>0</xdr:rowOff>
    </xdr:from>
    <xdr:to>
      <xdr:col>12</xdr:col>
      <xdr:colOff>606137</xdr:colOff>
      <xdr:row>480</xdr:row>
      <xdr:rowOff>34636</xdr:rowOff>
    </xdr:to>
    <xdr:graphicFrame macro="">
      <xdr:nvGraphicFramePr>
        <xdr:cNvPr id="115" name="Graphique 114">
          <a:extLst>
            <a:ext uri="{FF2B5EF4-FFF2-40B4-BE49-F238E27FC236}">
              <a16:creationId xmlns:a16="http://schemas.microsoft.com/office/drawing/2014/main" id="{00000000-0008-0000-17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190501</xdr:colOff>
      <xdr:row>187</xdr:row>
      <xdr:rowOff>309562</xdr:rowOff>
    </xdr:from>
    <xdr:to>
      <xdr:col>13</xdr:col>
      <xdr:colOff>642937</xdr:colOff>
      <xdr:row>209</xdr:row>
      <xdr:rowOff>142874</xdr:rowOff>
    </xdr:to>
    <xdr:grpSp>
      <xdr:nvGrpSpPr>
        <xdr:cNvPr id="151" name="Groupe 150">
          <a:extLst>
            <a:ext uri="{FF2B5EF4-FFF2-40B4-BE49-F238E27FC236}">
              <a16:creationId xmlns:a16="http://schemas.microsoft.com/office/drawing/2014/main" id="{00000000-0008-0000-1700-000097000000}"/>
            </a:ext>
          </a:extLst>
        </xdr:cNvPr>
        <xdr:cNvGrpSpPr/>
      </xdr:nvGrpSpPr>
      <xdr:grpSpPr>
        <a:xfrm>
          <a:off x="19084637" y="40643607"/>
          <a:ext cx="4522209" cy="4578494"/>
          <a:chOff x="8605630" y="3404152"/>
          <a:chExt cx="4174435" cy="4232412"/>
        </a:xfrm>
      </xdr:grpSpPr>
      <xdr:sp macro="" textlink="">
        <xdr:nvSpPr>
          <xdr:cNvPr id="152" name="Organigramme : Connecteur 151">
            <a:extLst>
              <a:ext uri="{FF2B5EF4-FFF2-40B4-BE49-F238E27FC236}">
                <a16:creationId xmlns:a16="http://schemas.microsoft.com/office/drawing/2014/main" id="{00000000-0008-0000-1700-000098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53" name="Groupe 152">
            <a:extLst>
              <a:ext uri="{FF2B5EF4-FFF2-40B4-BE49-F238E27FC236}">
                <a16:creationId xmlns:a16="http://schemas.microsoft.com/office/drawing/2014/main" id="{00000000-0008-0000-1700-000099000000}"/>
              </a:ext>
            </a:extLst>
          </xdr:cNvPr>
          <xdr:cNvGrpSpPr/>
        </xdr:nvGrpSpPr>
        <xdr:grpSpPr>
          <a:xfrm>
            <a:off x="8605630" y="3404152"/>
            <a:ext cx="4174435" cy="4232412"/>
            <a:chOff x="8605630" y="3404152"/>
            <a:chExt cx="4174435" cy="4232412"/>
          </a:xfrm>
        </xdr:grpSpPr>
        <xdr:grpSp>
          <xdr:nvGrpSpPr>
            <xdr:cNvPr id="154" name="Groupe 153">
              <a:extLst>
                <a:ext uri="{FF2B5EF4-FFF2-40B4-BE49-F238E27FC236}">
                  <a16:creationId xmlns:a16="http://schemas.microsoft.com/office/drawing/2014/main" id="{00000000-0008-0000-1700-00009A000000}"/>
                </a:ext>
              </a:extLst>
            </xdr:cNvPr>
            <xdr:cNvGrpSpPr/>
          </xdr:nvGrpSpPr>
          <xdr:grpSpPr>
            <a:xfrm>
              <a:off x="9316277" y="3404152"/>
              <a:ext cx="3463788" cy="3327953"/>
              <a:chOff x="9092647" y="3420717"/>
              <a:chExt cx="3463788" cy="3327953"/>
            </a:xfrm>
          </xdr:grpSpPr>
          <xdr:sp macro="" textlink="">
            <xdr:nvSpPr>
              <xdr:cNvPr id="158" name="Organigramme : Connecteur 157">
                <a:extLst>
                  <a:ext uri="{FF2B5EF4-FFF2-40B4-BE49-F238E27FC236}">
                    <a16:creationId xmlns:a16="http://schemas.microsoft.com/office/drawing/2014/main" id="{00000000-0008-0000-1700-00009E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9" name="Organigramme : Connecteur 158">
                <a:extLst>
                  <a:ext uri="{FF2B5EF4-FFF2-40B4-BE49-F238E27FC236}">
                    <a16:creationId xmlns:a16="http://schemas.microsoft.com/office/drawing/2014/main" id="{00000000-0008-0000-1700-00009F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0" name="Organigramme : Connecteur 159">
                <a:extLst>
                  <a:ext uri="{FF2B5EF4-FFF2-40B4-BE49-F238E27FC236}">
                    <a16:creationId xmlns:a16="http://schemas.microsoft.com/office/drawing/2014/main" id="{00000000-0008-0000-1700-0000A0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61" name="Organigramme : Connecteur 160">
                <a:extLst>
                  <a:ext uri="{FF2B5EF4-FFF2-40B4-BE49-F238E27FC236}">
                    <a16:creationId xmlns:a16="http://schemas.microsoft.com/office/drawing/2014/main" id="{00000000-0008-0000-1700-0000A1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62" name="Organigramme : Connecteur 161">
                <a:extLst>
                  <a:ext uri="{FF2B5EF4-FFF2-40B4-BE49-F238E27FC236}">
                    <a16:creationId xmlns:a16="http://schemas.microsoft.com/office/drawing/2014/main" id="{00000000-0008-0000-1700-0000A2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63" name="Organigramme : Connecteur 162">
                <a:extLst>
                  <a:ext uri="{FF2B5EF4-FFF2-40B4-BE49-F238E27FC236}">
                    <a16:creationId xmlns:a16="http://schemas.microsoft.com/office/drawing/2014/main" id="{00000000-0008-0000-1700-0000A3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64" name="Groupe 163">
                <a:extLst>
                  <a:ext uri="{FF2B5EF4-FFF2-40B4-BE49-F238E27FC236}">
                    <a16:creationId xmlns:a16="http://schemas.microsoft.com/office/drawing/2014/main" id="{00000000-0008-0000-1700-0000A4000000}"/>
                  </a:ext>
                </a:extLst>
              </xdr:cNvPr>
              <xdr:cNvGrpSpPr/>
            </xdr:nvGrpSpPr>
            <xdr:grpSpPr>
              <a:xfrm>
                <a:off x="9092647" y="3592995"/>
                <a:ext cx="3463788" cy="3155675"/>
                <a:chOff x="9092647" y="3592995"/>
                <a:chExt cx="3463788" cy="3155675"/>
              </a:xfrm>
            </xdr:grpSpPr>
            <xdr:sp macro="" textlink="">
              <xdr:nvSpPr>
                <xdr:cNvPr id="165" name="Organigramme : Connecteur 164">
                  <a:extLst>
                    <a:ext uri="{FF2B5EF4-FFF2-40B4-BE49-F238E27FC236}">
                      <a16:creationId xmlns:a16="http://schemas.microsoft.com/office/drawing/2014/main" id="{00000000-0008-0000-1700-0000A5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66" name="Organigramme : Connecteur 165">
                  <a:extLst>
                    <a:ext uri="{FF2B5EF4-FFF2-40B4-BE49-F238E27FC236}">
                      <a16:creationId xmlns:a16="http://schemas.microsoft.com/office/drawing/2014/main" id="{00000000-0008-0000-1700-0000A6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167" name="Organigramme : Connecteur 166">
                  <a:extLst>
                    <a:ext uri="{FF2B5EF4-FFF2-40B4-BE49-F238E27FC236}">
                      <a16:creationId xmlns:a16="http://schemas.microsoft.com/office/drawing/2014/main" id="{00000000-0008-0000-1700-0000A7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168" name="Organigramme : Connecteur 167">
                  <a:extLst>
                    <a:ext uri="{FF2B5EF4-FFF2-40B4-BE49-F238E27FC236}">
                      <a16:creationId xmlns:a16="http://schemas.microsoft.com/office/drawing/2014/main" id="{00000000-0008-0000-1700-0000A8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69" name="Organigramme : Connecteur 168">
                  <a:extLst>
                    <a:ext uri="{FF2B5EF4-FFF2-40B4-BE49-F238E27FC236}">
                      <a16:creationId xmlns:a16="http://schemas.microsoft.com/office/drawing/2014/main" id="{00000000-0008-0000-1700-0000A9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70" name="Organigramme : Connecteur 169">
                  <a:extLst>
                    <a:ext uri="{FF2B5EF4-FFF2-40B4-BE49-F238E27FC236}">
                      <a16:creationId xmlns:a16="http://schemas.microsoft.com/office/drawing/2014/main" id="{00000000-0008-0000-1700-0000AA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71" name="Organigramme : Connecteur 170">
                  <a:extLst>
                    <a:ext uri="{FF2B5EF4-FFF2-40B4-BE49-F238E27FC236}">
                      <a16:creationId xmlns:a16="http://schemas.microsoft.com/office/drawing/2014/main" id="{00000000-0008-0000-1700-0000AB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72" name="Organigramme : Connecteur 171">
                  <a:extLst>
                    <a:ext uri="{FF2B5EF4-FFF2-40B4-BE49-F238E27FC236}">
                      <a16:creationId xmlns:a16="http://schemas.microsoft.com/office/drawing/2014/main" id="{00000000-0008-0000-1700-0000AC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73" name="Organigramme : Connecteur 172">
                  <a:extLst>
                    <a:ext uri="{FF2B5EF4-FFF2-40B4-BE49-F238E27FC236}">
                      <a16:creationId xmlns:a16="http://schemas.microsoft.com/office/drawing/2014/main" id="{00000000-0008-0000-1700-0000AD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74" name="Organigramme : Connecteur 173">
                  <a:extLst>
                    <a:ext uri="{FF2B5EF4-FFF2-40B4-BE49-F238E27FC236}">
                      <a16:creationId xmlns:a16="http://schemas.microsoft.com/office/drawing/2014/main" id="{00000000-0008-0000-1700-0000AE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75" name="Organigramme : Connecteur 174">
                  <a:extLst>
                    <a:ext uri="{FF2B5EF4-FFF2-40B4-BE49-F238E27FC236}">
                      <a16:creationId xmlns:a16="http://schemas.microsoft.com/office/drawing/2014/main" id="{00000000-0008-0000-1700-0000AF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76" name="Organigramme : Connecteur 175">
                  <a:extLst>
                    <a:ext uri="{FF2B5EF4-FFF2-40B4-BE49-F238E27FC236}">
                      <a16:creationId xmlns:a16="http://schemas.microsoft.com/office/drawing/2014/main" id="{00000000-0008-0000-1700-0000B0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77" name="Groupe 176">
                  <a:extLst>
                    <a:ext uri="{FF2B5EF4-FFF2-40B4-BE49-F238E27FC236}">
                      <a16:creationId xmlns:a16="http://schemas.microsoft.com/office/drawing/2014/main" id="{00000000-0008-0000-1700-0000B1000000}"/>
                    </a:ext>
                  </a:extLst>
                </xdr:cNvPr>
                <xdr:cNvGrpSpPr/>
              </xdr:nvGrpSpPr>
              <xdr:grpSpPr>
                <a:xfrm>
                  <a:off x="9230139" y="3592995"/>
                  <a:ext cx="3326296" cy="2792482"/>
                  <a:chOff x="9230139" y="3592995"/>
                  <a:chExt cx="3326296" cy="2792482"/>
                </a:xfrm>
              </xdr:grpSpPr>
              <xdr:grpSp>
                <xdr:nvGrpSpPr>
                  <xdr:cNvPr id="178" name="Groupe 177">
                    <a:extLst>
                      <a:ext uri="{FF2B5EF4-FFF2-40B4-BE49-F238E27FC236}">
                        <a16:creationId xmlns:a16="http://schemas.microsoft.com/office/drawing/2014/main" id="{00000000-0008-0000-1700-0000B2000000}"/>
                      </a:ext>
                    </a:extLst>
                  </xdr:cNvPr>
                  <xdr:cNvGrpSpPr/>
                </xdr:nvGrpSpPr>
                <xdr:grpSpPr>
                  <a:xfrm>
                    <a:off x="9310480" y="3635237"/>
                    <a:ext cx="2949367" cy="2750240"/>
                    <a:chOff x="9320893" y="3638550"/>
                    <a:chExt cx="2950550" cy="2755446"/>
                  </a:xfrm>
                </xdr:grpSpPr>
                <xdr:sp macro="" textlink="">
                  <xdr:nvSpPr>
                    <xdr:cNvPr id="187" name="Cube 186">
                      <a:extLst>
                        <a:ext uri="{FF2B5EF4-FFF2-40B4-BE49-F238E27FC236}">
                          <a16:creationId xmlns:a16="http://schemas.microsoft.com/office/drawing/2014/main" id="{00000000-0008-0000-1700-0000BB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88" name="Connecteur droit 187">
                      <a:extLst>
                        <a:ext uri="{FF2B5EF4-FFF2-40B4-BE49-F238E27FC236}">
                          <a16:creationId xmlns:a16="http://schemas.microsoft.com/office/drawing/2014/main" id="{00000000-0008-0000-1700-0000BC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89" name="Connecteur droit 188">
                      <a:extLst>
                        <a:ext uri="{FF2B5EF4-FFF2-40B4-BE49-F238E27FC236}">
                          <a16:creationId xmlns:a16="http://schemas.microsoft.com/office/drawing/2014/main" id="{00000000-0008-0000-1700-0000BD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0" name="Connecteur droit 189">
                      <a:extLst>
                        <a:ext uri="{FF2B5EF4-FFF2-40B4-BE49-F238E27FC236}">
                          <a16:creationId xmlns:a16="http://schemas.microsoft.com/office/drawing/2014/main" id="{00000000-0008-0000-1700-0000BE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179" name="Organigramme : Connecteur 178">
                    <a:extLst>
                      <a:ext uri="{FF2B5EF4-FFF2-40B4-BE49-F238E27FC236}">
                        <a16:creationId xmlns:a16="http://schemas.microsoft.com/office/drawing/2014/main" id="{00000000-0008-0000-1700-0000B3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80" name="Organigramme : Connecteur 179">
                    <a:extLst>
                      <a:ext uri="{FF2B5EF4-FFF2-40B4-BE49-F238E27FC236}">
                        <a16:creationId xmlns:a16="http://schemas.microsoft.com/office/drawing/2014/main" id="{00000000-0008-0000-1700-0000B4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181" name="Organigramme : Connecteur 180">
                    <a:extLst>
                      <a:ext uri="{FF2B5EF4-FFF2-40B4-BE49-F238E27FC236}">
                        <a16:creationId xmlns:a16="http://schemas.microsoft.com/office/drawing/2014/main" id="{00000000-0008-0000-1700-0000B5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182" name="Organigramme : Connecteur 181">
                    <a:extLst>
                      <a:ext uri="{FF2B5EF4-FFF2-40B4-BE49-F238E27FC236}">
                        <a16:creationId xmlns:a16="http://schemas.microsoft.com/office/drawing/2014/main" id="{00000000-0008-0000-1700-0000B6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83" name="Organigramme : Connecteur 182">
                    <a:extLst>
                      <a:ext uri="{FF2B5EF4-FFF2-40B4-BE49-F238E27FC236}">
                        <a16:creationId xmlns:a16="http://schemas.microsoft.com/office/drawing/2014/main" id="{00000000-0008-0000-1700-0000B7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84" name="Organigramme : Connecteur 183">
                    <a:extLst>
                      <a:ext uri="{FF2B5EF4-FFF2-40B4-BE49-F238E27FC236}">
                        <a16:creationId xmlns:a16="http://schemas.microsoft.com/office/drawing/2014/main" id="{00000000-0008-0000-1700-0000B8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85" name="Organigramme : Connecteur 184">
                    <a:extLst>
                      <a:ext uri="{FF2B5EF4-FFF2-40B4-BE49-F238E27FC236}">
                        <a16:creationId xmlns:a16="http://schemas.microsoft.com/office/drawing/2014/main" id="{00000000-0008-0000-1700-0000B9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86" name="Organigramme : Connecteur 185">
                    <a:extLst>
                      <a:ext uri="{FF2B5EF4-FFF2-40B4-BE49-F238E27FC236}">
                        <a16:creationId xmlns:a16="http://schemas.microsoft.com/office/drawing/2014/main" id="{00000000-0008-0000-1700-0000BA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55" name="Organigramme : Connecteur 154">
              <a:extLst>
                <a:ext uri="{FF2B5EF4-FFF2-40B4-BE49-F238E27FC236}">
                  <a16:creationId xmlns:a16="http://schemas.microsoft.com/office/drawing/2014/main" id="{00000000-0008-0000-1700-00009B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56" name="Organigramme : Connecteur 155">
              <a:extLst>
                <a:ext uri="{FF2B5EF4-FFF2-40B4-BE49-F238E27FC236}">
                  <a16:creationId xmlns:a16="http://schemas.microsoft.com/office/drawing/2014/main" id="{00000000-0008-0000-1700-00009C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57" name="ZoneTexte 156">
              <a:extLst>
                <a:ext uri="{FF2B5EF4-FFF2-40B4-BE49-F238E27FC236}">
                  <a16:creationId xmlns:a16="http://schemas.microsoft.com/office/drawing/2014/main" id="{00000000-0008-0000-1700-00009D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 displayName="Valeurs_Brutes" ref="A1:M2" totalsRowShown="0">
  <autoFilter ref="A1:M2" xr:uid="{498CA035-7182-4959-95BD-969D4A12EFC9}"/>
  <tableColumns count="13">
    <tableColumn id="1" xr3:uid="{BEDCB300-CA5E-4C62-94EB-0D242B95DD11}" name="Date/Heure"/>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606CAA96-86B4-49B8-8E3F-23FFB78ADE57}" name="Connecteur 1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_50" displayName="Valeurs_Brutes_Sechoir_50" ref="A1:J2" totalsRowShown="0">
  <autoFilter ref="A1:J2" xr:uid="{498CA035-7182-4959-95BD-969D4A12EFC9}"/>
  <tableColumns count="10">
    <tableColumn id="1" xr3:uid="{E6BF5BD2-7528-4E1D-A6CD-439C0C43C0C9}" name="Date/Heure"/>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tableColumn id="8" xr3:uid="{D0E28A32-95DA-4050-AC7F-DF56082C1062}" name="Connecteur 7"/>
    <tableColumn id="9" xr3:uid="{A5310FC2-C94B-4610-B3D3-B72F7C40F80F}" name="Connecteur 8"/>
    <tableColumn id="10" xr3:uid="{5493D449-287B-46FD-90AB-57C33BC1800D}" name="Connecteur 9"/>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60" displayName="Donnees_Brutes_60" ref="A1:N2" totalsRowShown="0">
  <autoFilter ref="A1:N2" xr:uid="{27D7AB2A-377A-4694-B640-5BFB20628674}"/>
  <tableColumns count="14">
    <tableColumn id="1" xr3:uid="{1B71FC6E-3980-4564-8EC5-8A2177918CDB}" name="Date/Heure"/>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150" displayName="Donnees_Brutes_150" ref="A1:N2" totalsRowShown="0">
  <autoFilter ref="A1:N2" xr:uid="{4008C00C-4BB2-42FF-B52A-E4A96847A064}"/>
  <tableColumns count="14">
    <tableColumn id="1" xr3:uid="{3C41F4AA-2A10-45EA-B374-E900ABC319CF}" name="Date/Heure"/>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190" displayName="Donnees_Brutes_190" ref="A1:N2" totalsRowShown="0">
  <autoFilter ref="A1:N2" xr:uid="{EF136C64-1725-4A4F-AFA9-3862DE1296FE}"/>
  <tableColumns count="14">
    <tableColumn id="1" xr3:uid="{F5A4BCD4-5801-4020-BA7C-F41EF56A0A3C}" name="Date/Heure"/>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50" displayName="Valeurs_Brutes_50" ref="A1:J2" totalsRowShown="0">
  <autoFilter ref="A1:J2" xr:uid="{2265C0E1-B151-4A6E-9E58-EE84DFBE1CB8}"/>
  <tableColumns count="10">
    <tableColumn id="1" xr3:uid="{B65FC96D-E245-40BE-8AE7-8CCD46AB8848}" name="Date/Heure"/>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100" displayName="Valeurs_Brutes_100" ref="A1:J2" totalsRowShown="0">
  <autoFilter ref="A1:J2" xr:uid="{FF113EDF-5B5E-42D7-81D4-64038EF6DED3}"/>
  <tableColumns count="10">
    <tableColumn id="1" xr3:uid="{653A7D54-EDA0-433A-A013-1E88A1B2E5BB}" name="Date/Heure"/>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150" displayName="Valeurs_Brutes_150" ref="A1:J2" totalsRowShown="0">
  <autoFilter ref="A1:J2" xr:uid="{DE9C16EE-7F2E-41C6-B287-550CC4E38FB8}"/>
  <tableColumns count="10">
    <tableColumn id="1" xr3:uid="{8405F853-CC0E-42AC-B2A1-E0FF833DDCC1}" name="Date/Heure"/>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1.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A195"/>
  <sheetViews>
    <sheetView workbookViewId="0">
      <selection activeCell="L22" sqref="L22"/>
    </sheetView>
  </sheetViews>
  <sheetFormatPr baseColWidth="10" defaultRowHeight="15" x14ac:dyDescent="0.25"/>
  <sheetData>
    <row r="1" spans="1:1" x14ac:dyDescent="0.25">
      <c r="A1" s="23"/>
    </row>
    <row r="2" spans="1:1" x14ac:dyDescent="0.25">
      <c r="A2" s="23"/>
    </row>
    <row r="3" spans="1:1" x14ac:dyDescent="0.25">
      <c r="A3" s="23"/>
    </row>
    <row r="4" spans="1:1" x14ac:dyDescent="0.25">
      <c r="A4" s="23"/>
    </row>
    <row r="5" spans="1:1" x14ac:dyDescent="0.25">
      <c r="A5" s="23"/>
    </row>
    <row r="6" spans="1:1" x14ac:dyDescent="0.25">
      <c r="A6" s="23"/>
    </row>
    <row r="7" spans="1:1" x14ac:dyDescent="0.25">
      <c r="A7" s="23"/>
    </row>
    <row r="8" spans="1:1" x14ac:dyDescent="0.25">
      <c r="A8" s="23"/>
    </row>
    <row r="9" spans="1:1" x14ac:dyDescent="0.25">
      <c r="A9" s="23"/>
    </row>
    <row r="10" spans="1:1" x14ac:dyDescent="0.25">
      <c r="A10" s="23"/>
    </row>
    <row r="11" spans="1:1" x14ac:dyDescent="0.25">
      <c r="A11" s="23"/>
    </row>
    <row r="12" spans="1:1" x14ac:dyDescent="0.25">
      <c r="A12" s="23"/>
    </row>
    <row r="13" spans="1:1" x14ac:dyDescent="0.25">
      <c r="A13" s="23"/>
    </row>
    <row r="14" spans="1:1" x14ac:dyDescent="0.25">
      <c r="A14" s="23"/>
    </row>
    <row r="15" spans="1:1" x14ac:dyDescent="0.25">
      <c r="A15" s="23"/>
    </row>
    <row r="16" spans="1:1" x14ac:dyDescent="0.25">
      <c r="A16" s="23"/>
    </row>
    <row r="17" spans="1:1" x14ac:dyDescent="0.25">
      <c r="A17" s="23"/>
    </row>
    <row r="18" spans="1:1" x14ac:dyDescent="0.25">
      <c r="A18" s="23"/>
    </row>
    <row r="19" spans="1:1" x14ac:dyDescent="0.25">
      <c r="A19" s="23"/>
    </row>
    <row r="20" spans="1:1" x14ac:dyDescent="0.25">
      <c r="A20" s="23"/>
    </row>
    <row r="21" spans="1:1" x14ac:dyDescent="0.25">
      <c r="A21" s="23"/>
    </row>
    <row r="22" spans="1:1" x14ac:dyDescent="0.25">
      <c r="A22" s="23"/>
    </row>
    <row r="23" spans="1:1" x14ac:dyDescent="0.25">
      <c r="A23" s="23"/>
    </row>
    <row r="24" spans="1:1" x14ac:dyDescent="0.25">
      <c r="A24" s="23"/>
    </row>
    <row r="25" spans="1:1" x14ac:dyDescent="0.25">
      <c r="A25" s="23"/>
    </row>
    <row r="26" spans="1:1" x14ac:dyDescent="0.25">
      <c r="A26" s="23"/>
    </row>
    <row r="27" spans="1:1" x14ac:dyDescent="0.25">
      <c r="A27" s="23"/>
    </row>
    <row r="28" spans="1:1" x14ac:dyDescent="0.25">
      <c r="A28" s="23"/>
    </row>
    <row r="29" spans="1:1" x14ac:dyDescent="0.25">
      <c r="A29" s="23"/>
    </row>
    <row r="30" spans="1:1" x14ac:dyDescent="0.25">
      <c r="A30" s="23"/>
    </row>
    <row r="31" spans="1:1" x14ac:dyDescent="0.25">
      <c r="A31" s="23"/>
    </row>
    <row r="32" spans="1:1" x14ac:dyDescent="0.25">
      <c r="A32" s="23"/>
    </row>
    <row r="33" spans="1:1" x14ac:dyDescent="0.25">
      <c r="A33" s="23"/>
    </row>
    <row r="34" spans="1:1" x14ac:dyDescent="0.25">
      <c r="A34" s="23"/>
    </row>
    <row r="35" spans="1:1" x14ac:dyDescent="0.25">
      <c r="A35" s="23"/>
    </row>
    <row r="36" spans="1:1" x14ac:dyDescent="0.25">
      <c r="A36" s="23"/>
    </row>
    <row r="37" spans="1:1" x14ac:dyDescent="0.25">
      <c r="A37" s="23"/>
    </row>
    <row r="38" spans="1:1" x14ac:dyDescent="0.25">
      <c r="A38" s="23"/>
    </row>
    <row r="39" spans="1:1" x14ac:dyDescent="0.25">
      <c r="A39" s="23"/>
    </row>
    <row r="40" spans="1:1" x14ac:dyDescent="0.25">
      <c r="A40" s="23"/>
    </row>
    <row r="41" spans="1:1" x14ac:dyDescent="0.25">
      <c r="A41" s="23"/>
    </row>
    <row r="42" spans="1:1" x14ac:dyDescent="0.25">
      <c r="A42" s="23"/>
    </row>
    <row r="43" spans="1:1" x14ac:dyDescent="0.25">
      <c r="A43" s="23"/>
    </row>
    <row r="44" spans="1:1" x14ac:dyDescent="0.25">
      <c r="A44" s="23"/>
    </row>
    <row r="45" spans="1:1" x14ac:dyDescent="0.25">
      <c r="A45" s="23"/>
    </row>
    <row r="46" spans="1:1" x14ac:dyDescent="0.25">
      <c r="A46" s="23"/>
    </row>
    <row r="47" spans="1:1" x14ac:dyDescent="0.25">
      <c r="A47" s="23"/>
    </row>
    <row r="48" spans="1:1" x14ac:dyDescent="0.25">
      <c r="A48" s="23"/>
    </row>
    <row r="49" spans="1:1" x14ac:dyDescent="0.25">
      <c r="A49" s="23"/>
    </row>
    <row r="50" spans="1:1" x14ac:dyDescent="0.25">
      <c r="A50" s="23"/>
    </row>
    <row r="51" spans="1:1" x14ac:dyDescent="0.25">
      <c r="A51" s="23"/>
    </row>
    <row r="52" spans="1:1" x14ac:dyDescent="0.25">
      <c r="A52" s="23"/>
    </row>
    <row r="53" spans="1:1" x14ac:dyDescent="0.25">
      <c r="A53" s="23"/>
    </row>
    <row r="54" spans="1:1" x14ac:dyDescent="0.25">
      <c r="A54" s="23"/>
    </row>
    <row r="55" spans="1:1" x14ac:dyDescent="0.25">
      <c r="A55" s="23"/>
    </row>
    <row r="56" spans="1:1" x14ac:dyDescent="0.25">
      <c r="A56" s="23"/>
    </row>
    <row r="57" spans="1:1" x14ac:dyDescent="0.25">
      <c r="A57" s="23"/>
    </row>
    <row r="58" spans="1:1" x14ac:dyDescent="0.25">
      <c r="A58" s="23"/>
    </row>
    <row r="59" spans="1:1" x14ac:dyDescent="0.25">
      <c r="A59" s="23"/>
    </row>
    <row r="60" spans="1:1" x14ac:dyDescent="0.25">
      <c r="A60" s="23"/>
    </row>
    <row r="61" spans="1:1" x14ac:dyDescent="0.25">
      <c r="A61" s="23"/>
    </row>
    <row r="62" spans="1:1" x14ac:dyDescent="0.25">
      <c r="A62" s="23"/>
    </row>
    <row r="63" spans="1:1" x14ac:dyDescent="0.25">
      <c r="A63" s="23"/>
    </row>
    <row r="64" spans="1:1" x14ac:dyDescent="0.25">
      <c r="A64" s="23"/>
    </row>
    <row r="65" spans="1:1" x14ac:dyDescent="0.25">
      <c r="A65" s="23"/>
    </row>
    <row r="66" spans="1:1" x14ac:dyDescent="0.25">
      <c r="A66" s="23"/>
    </row>
    <row r="67" spans="1:1" x14ac:dyDescent="0.25">
      <c r="A67" s="23"/>
    </row>
    <row r="68" spans="1:1" x14ac:dyDescent="0.25">
      <c r="A68" s="23"/>
    </row>
    <row r="69" spans="1:1" x14ac:dyDescent="0.25">
      <c r="A69" s="23"/>
    </row>
    <row r="70" spans="1:1" x14ac:dyDescent="0.25">
      <c r="A70" s="23"/>
    </row>
    <row r="71" spans="1:1" x14ac:dyDescent="0.25">
      <c r="A71" s="23"/>
    </row>
    <row r="72" spans="1:1" x14ac:dyDescent="0.25">
      <c r="A72" s="23"/>
    </row>
    <row r="73" spans="1:1" x14ac:dyDescent="0.25">
      <c r="A73" s="23"/>
    </row>
    <row r="74" spans="1:1" x14ac:dyDescent="0.25">
      <c r="A74" s="23"/>
    </row>
    <row r="75" spans="1:1" x14ac:dyDescent="0.25">
      <c r="A75" s="23"/>
    </row>
    <row r="76" spans="1:1" x14ac:dyDescent="0.25">
      <c r="A76" s="23"/>
    </row>
    <row r="77" spans="1:1" x14ac:dyDescent="0.25">
      <c r="A77" s="23"/>
    </row>
    <row r="78" spans="1:1" x14ac:dyDescent="0.25">
      <c r="A78" s="23"/>
    </row>
    <row r="79" spans="1:1" x14ac:dyDescent="0.25">
      <c r="A79" s="23"/>
    </row>
    <row r="80" spans="1:1" x14ac:dyDescent="0.25">
      <c r="A80" s="23"/>
    </row>
    <row r="81" spans="1:1" x14ac:dyDescent="0.25">
      <c r="A81" s="23"/>
    </row>
    <row r="82" spans="1:1" x14ac:dyDescent="0.25">
      <c r="A82" s="23"/>
    </row>
    <row r="83" spans="1:1" x14ac:dyDescent="0.25">
      <c r="A83" s="23"/>
    </row>
    <row r="84" spans="1:1" x14ac:dyDescent="0.25">
      <c r="A84" s="23"/>
    </row>
    <row r="85" spans="1:1" x14ac:dyDescent="0.25">
      <c r="A85" s="23"/>
    </row>
    <row r="86" spans="1:1" x14ac:dyDescent="0.25">
      <c r="A86" s="23"/>
    </row>
    <row r="87" spans="1:1" x14ac:dyDescent="0.25">
      <c r="A87" s="23"/>
    </row>
    <row r="88" spans="1:1" x14ac:dyDescent="0.25">
      <c r="A88" s="23"/>
    </row>
    <row r="89" spans="1:1" x14ac:dyDescent="0.25">
      <c r="A89" s="23"/>
    </row>
    <row r="90" spans="1:1" x14ac:dyDescent="0.25">
      <c r="A90" s="23"/>
    </row>
    <row r="91" spans="1:1" x14ac:dyDescent="0.25">
      <c r="A91" s="23"/>
    </row>
    <row r="92" spans="1:1" x14ac:dyDescent="0.25">
      <c r="A92" s="23"/>
    </row>
    <row r="93" spans="1:1" x14ac:dyDescent="0.25">
      <c r="A93" s="23"/>
    </row>
    <row r="94" spans="1:1" x14ac:dyDescent="0.25">
      <c r="A94" s="23"/>
    </row>
    <row r="95" spans="1:1" x14ac:dyDescent="0.25">
      <c r="A95" s="23"/>
    </row>
    <row r="96" spans="1:1" x14ac:dyDescent="0.25">
      <c r="A96" s="23"/>
    </row>
    <row r="97" spans="1:1" x14ac:dyDescent="0.25">
      <c r="A97" s="23"/>
    </row>
    <row r="98" spans="1:1" x14ac:dyDescent="0.25">
      <c r="A98" s="23"/>
    </row>
    <row r="99" spans="1:1" x14ac:dyDescent="0.25">
      <c r="A99" s="23"/>
    </row>
    <row r="100" spans="1:1" x14ac:dyDescent="0.25">
      <c r="A100" s="23"/>
    </row>
    <row r="101" spans="1:1" x14ac:dyDescent="0.25">
      <c r="A101" s="23"/>
    </row>
    <row r="102" spans="1:1" x14ac:dyDescent="0.25">
      <c r="A102" s="23"/>
    </row>
    <row r="103" spans="1:1" x14ac:dyDescent="0.25">
      <c r="A103" s="23"/>
    </row>
    <row r="104" spans="1:1" x14ac:dyDescent="0.25">
      <c r="A104" s="23"/>
    </row>
    <row r="105" spans="1:1" x14ac:dyDescent="0.25">
      <c r="A105" s="23"/>
    </row>
    <row r="106" spans="1:1" x14ac:dyDescent="0.25">
      <c r="A106" s="23"/>
    </row>
    <row r="107" spans="1:1" x14ac:dyDescent="0.25">
      <c r="A107" s="23"/>
    </row>
    <row r="108" spans="1:1" x14ac:dyDescent="0.25">
      <c r="A108" s="23"/>
    </row>
    <row r="109" spans="1:1" x14ac:dyDescent="0.25">
      <c r="A109" s="23"/>
    </row>
    <row r="110" spans="1:1" x14ac:dyDescent="0.25">
      <c r="A110" s="23"/>
    </row>
    <row r="111" spans="1:1" x14ac:dyDescent="0.25">
      <c r="A111" s="23"/>
    </row>
    <row r="112" spans="1:1" x14ac:dyDescent="0.25">
      <c r="A112" s="23"/>
    </row>
    <row r="113" spans="1:1" x14ac:dyDescent="0.25">
      <c r="A113" s="23"/>
    </row>
    <row r="114" spans="1:1" x14ac:dyDescent="0.25">
      <c r="A114" s="23"/>
    </row>
    <row r="115" spans="1:1" x14ac:dyDescent="0.25">
      <c r="A115" s="23"/>
    </row>
    <row r="116" spans="1:1" x14ac:dyDescent="0.25">
      <c r="A116" s="23"/>
    </row>
    <row r="117" spans="1:1" x14ac:dyDescent="0.25">
      <c r="A117" s="23"/>
    </row>
    <row r="118" spans="1:1" x14ac:dyDescent="0.25">
      <c r="A118" s="23"/>
    </row>
    <row r="119" spans="1:1" x14ac:dyDescent="0.25">
      <c r="A119" s="23"/>
    </row>
    <row r="120" spans="1:1" x14ac:dyDescent="0.25">
      <c r="A120" s="23"/>
    </row>
    <row r="121" spans="1:1" x14ac:dyDescent="0.25">
      <c r="A121" s="23"/>
    </row>
    <row r="122" spans="1:1" x14ac:dyDescent="0.25">
      <c r="A122" s="23"/>
    </row>
    <row r="123" spans="1:1" x14ac:dyDescent="0.25">
      <c r="A123" s="23"/>
    </row>
    <row r="124" spans="1:1" x14ac:dyDescent="0.25">
      <c r="A124" s="23"/>
    </row>
    <row r="125" spans="1:1" x14ac:dyDescent="0.25">
      <c r="A125" s="23"/>
    </row>
    <row r="126" spans="1:1" x14ac:dyDescent="0.25">
      <c r="A126" s="23"/>
    </row>
    <row r="127" spans="1:1" x14ac:dyDescent="0.25">
      <c r="A127" s="23"/>
    </row>
    <row r="128" spans="1:1" x14ac:dyDescent="0.25">
      <c r="A128" s="23"/>
    </row>
    <row r="129" spans="1:1" x14ac:dyDescent="0.25">
      <c r="A129" s="23"/>
    </row>
    <row r="130" spans="1:1" x14ac:dyDescent="0.25">
      <c r="A130" s="23"/>
    </row>
    <row r="131" spans="1:1" x14ac:dyDescent="0.25">
      <c r="A131" s="23"/>
    </row>
    <row r="132" spans="1:1" x14ac:dyDescent="0.25">
      <c r="A132" s="23"/>
    </row>
    <row r="133" spans="1:1" x14ac:dyDescent="0.25">
      <c r="A133" s="23"/>
    </row>
    <row r="134" spans="1:1" x14ac:dyDescent="0.25">
      <c r="A134" s="23"/>
    </row>
    <row r="135" spans="1:1" x14ac:dyDescent="0.25">
      <c r="A135" s="23"/>
    </row>
    <row r="136" spans="1:1" x14ac:dyDescent="0.25">
      <c r="A136" s="23"/>
    </row>
    <row r="137" spans="1:1" x14ac:dyDescent="0.25">
      <c r="A137" s="23"/>
    </row>
    <row r="138" spans="1:1" x14ac:dyDescent="0.25">
      <c r="A138" s="23"/>
    </row>
    <row r="139" spans="1:1" x14ac:dyDescent="0.25">
      <c r="A139" s="23"/>
    </row>
    <row r="140" spans="1:1" x14ac:dyDescent="0.25">
      <c r="A140" s="23"/>
    </row>
    <row r="141" spans="1:1" x14ac:dyDescent="0.25">
      <c r="A141" s="23"/>
    </row>
    <row r="142" spans="1:1" x14ac:dyDescent="0.25">
      <c r="A142" s="23"/>
    </row>
    <row r="143" spans="1:1" x14ac:dyDescent="0.25">
      <c r="A143" s="23"/>
    </row>
    <row r="144" spans="1:1" x14ac:dyDescent="0.25">
      <c r="A144" s="23"/>
    </row>
    <row r="145" spans="1:1" x14ac:dyDescent="0.25">
      <c r="A145" s="23"/>
    </row>
    <row r="146" spans="1:1" x14ac:dyDescent="0.25">
      <c r="A146" s="23"/>
    </row>
    <row r="147" spans="1:1" x14ac:dyDescent="0.25">
      <c r="A147" s="23"/>
    </row>
    <row r="148" spans="1:1" x14ac:dyDescent="0.25">
      <c r="A148" s="23"/>
    </row>
    <row r="149" spans="1:1" x14ac:dyDescent="0.25">
      <c r="A149" s="23"/>
    </row>
    <row r="150" spans="1:1" x14ac:dyDescent="0.25">
      <c r="A150" s="23"/>
    </row>
    <row r="151" spans="1:1" x14ac:dyDescent="0.25">
      <c r="A151" s="23"/>
    </row>
    <row r="152" spans="1:1" x14ac:dyDescent="0.25">
      <c r="A152" s="23"/>
    </row>
    <row r="153" spans="1:1" x14ac:dyDescent="0.25">
      <c r="A153" s="23"/>
    </row>
    <row r="154" spans="1:1" x14ac:dyDescent="0.25">
      <c r="A154" s="23"/>
    </row>
    <row r="155" spans="1:1" x14ac:dyDescent="0.25">
      <c r="A155" s="23"/>
    </row>
    <row r="156" spans="1:1" x14ac:dyDescent="0.25">
      <c r="A156" s="23"/>
    </row>
    <row r="157" spans="1:1" x14ac:dyDescent="0.25">
      <c r="A157" s="23"/>
    </row>
    <row r="158" spans="1:1" x14ac:dyDescent="0.25">
      <c r="A158" s="23"/>
    </row>
    <row r="159" spans="1:1" x14ac:dyDescent="0.25">
      <c r="A159" s="23"/>
    </row>
    <row r="160" spans="1:1" x14ac:dyDescent="0.25">
      <c r="A160" s="23"/>
    </row>
    <row r="161" spans="1:1" x14ac:dyDescent="0.25">
      <c r="A161" s="23"/>
    </row>
    <row r="162" spans="1:1" x14ac:dyDescent="0.25">
      <c r="A162" s="23"/>
    </row>
    <row r="163" spans="1:1" x14ac:dyDescent="0.25">
      <c r="A163" s="23"/>
    </row>
    <row r="164" spans="1:1" x14ac:dyDescent="0.25">
      <c r="A164" s="23"/>
    </row>
    <row r="165" spans="1:1" x14ac:dyDescent="0.25">
      <c r="A165" s="23"/>
    </row>
    <row r="166" spans="1:1" x14ac:dyDescent="0.25">
      <c r="A166" s="23"/>
    </row>
    <row r="167" spans="1:1" x14ac:dyDescent="0.25">
      <c r="A167" s="23"/>
    </row>
    <row r="168" spans="1:1" x14ac:dyDescent="0.25">
      <c r="A168" s="23"/>
    </row>
    <row r="169" spans="1:1" x14ac:dyDescent="0.25">
      <c r="A169" s="23"/>
    </row>
    <row r="170" spans="1:1" x14ac:dyDescent="0.25">
      <c r="A170" s="23"/>
    </row>
    <row r="171" spans="1:1" x14ac:dyDescent="0.25">
      <c r="A171" s="23"/>
    </row>
    <row r="172" spans="1:1" x14ac:dyDescent="0.25">
      <c r="A172" s="23"/>
    </row>
    <row r="173" spans="1:1" x14ac:dyDescent="0.25">
      <c r="A173" s="23"/>
    </row>
    <row r="174" spans="1:1" x14ac:dyDescent="0.25">
      <c r="A174" s="23"/>
    </row>
    <row r="175" spans="1:1" x14ac:dyDescent="0.25">
      <c r="A175" s="23"/>
    </row>
    <row r="176" spans="1:1" x14ac:dyDescent="0.25">
      <c r="A176" s="23"/>
    </row>
    <row r="177" spans="1:1" x14ac:dyDescent="0.25">
      <c r="A177" s="23"/>
    </row>
    <row r="178" spans="1:1" x14ac:dyDescent="0.25">
      <c r="A178" s="23"/>
    </row>
    <row r="179" spans="1:1" x14ac:dyDescent="0.25">
      <c r="A179" s="23"/>
    </row>
    <row r="180" spans="1:1" x14ac:dyDescent="0.25">
      <c r="A180" s="23"/>
    </row>
    <row r="181" spans="1:1" x14ac:dyDescent="0.25">
      <c r="A181" s="23"/>
    </row>
    <row r="182" spans="1:1" x14ac:dyDescent="0.25">
      <c r="A182" s="23"/>
    </row>
    <row r="183" spans="1:1" x14ac:dyDescent="0.25">
      <c r="A183" s="23"/>
    </row>
    <row r="184" spans="1:1" x14ac:dyDescent="0.25">
      <c r="A184" s="23"/>
    </row>
    <row r="185" spans="1:1" x14ac:dyDescent="0.25">
      <c r="A185" s="23"/>
    </row>
    <row r="186" spans="1:1" x14ac:dyDescent="0.25">
      <c r="A186" s="23"/>
    </row>
    <row r="187" spans="1:1" x14ac:dyDescent="0.25">
      <c r="A187" s="23"/>
    </row>
    <row r="188" spans="1:1" x14ac:dyDescent="0.25">
      <c r="A188" s="23"/>
    </row>
    <row r="189" spans="1:1" x14ac:dyDescent="0.25">
      <c r="A189" s="23"/>
    </row>
    <row r="190" spans="1:1" x14ac:dyDescent="0.25">
      <c r="A190" s="23"/>
    </row>
    <row r="191" spans="1:1" x14ac:dyDescent="0.25">
      <c r="A191" s="23"/>
    </row>
    <row r="192" spans="1:1" x14ac:dyDescent="0.25">
      <c r="A192" s="23"/>
    </row>
    <row r="193" spans="1:1" x14ac:dyDescent="0.25">
      <c r="A193" s="23"/>
    </row>
    <row r="194" spans="1:1" x14ac:dyDescent="0.25">
      <c r="A194" s="23"/>
    </row>
    <row r="195" spans="1:1" x14ac:dyDescent="0.25">
      <c r="A195" s="23"/>
    </row>
  </sheetData>
  <sheetProtection algorithmName="SHA-512" hashValue="S6Xr15qdJG/7YywPbYXWBMZ8aPV+zjQLUCupmoKtRMsgyBzRaghqQxRvkEzbtQHZLL0FWYpOVlVfMC5+PuE7oA==" saltValue="gDZ0EwK4GRYPgQO1fb6S2Q==" spinCount="100000" sheet="1" objects="1" scenarios="1" autoFilter="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O75"/>
  <sheetViews>
    <sheetView topLeftCell="A56" workbookViewId="0">
      <selection activeCell="A64" sqref="A64:J75"/>
    </sheetView>
  </sheetViews>
  <sheetFormatPr baseColWidth="10" defaultRowHeight="15" x14ac:dyDescent="0.25"/>
  <sheetData>
    <row r="1" spans="1:14" x14ac:dyDescent="0.25">
      <c r="A1" s="177" t="s">
        <v>92</v>
      </c>
      <c r="B1" s="177"/>
      <c r="C1" s="177"/>
      <c r="D1" s="177"/>
      <c r="E1" s="177"/>
      <c r="F1" s="177"/>
      <c r="G1" s="177"/>
      <c r="H1" s="177"/>
      <c r="I1" s="177"/>
      <c r="J1" s="177"/>
      <c r="K1" s="177"/>
      <c r="L1" s="177"/>
      <c r="M1" s="177"/>
      <c r="N1" s="177"/>
    </row>
    <row r="2" spans="1:14" x14ac:dyDescent="0.25">
      <c r="A2" s="28" t="s">
        <v>57</v>
      </c>
      <c r="B2" t="s">
        <v>58</v>
      </c>
      <c r="C2" t="s">
        <v>59</v>
      </c>
      <c r="E2" t="s">
        <v>60</v>
      </c>
      <c r="F2">
        <v>8480381</v>
      </c>
      <c r="H2" t="s">
        <v>61</v>
      </c>
      <c r="I2" t="s">
        <v>62</v>
      </c>
      <c r="N2" s="29"/>
    </row>
    <row r="3" spans="1:14" x14ac:dyDescent="0.25">
      <c r="A3" s="28"/>
      <c r="B3" t="s">
        <v>63</v>
      </c>
      <c r="C3" t="s">
        <v>64</v>
      </c>
      <c r="E3" t="s">
        <v>65</v>
      </c>
      <c r="F3" t="s">
        <v>66</v>
      </c>
      <c r="H3" t="s">
        <v>67</v>
      </c>
      <c r="I3" t="s">
        <v>68</v>
      </c>
      <c r="K3" t="s">
        <v>69</v>
      </c>
      <c r="L3" t="s">
        <v>70</v>
      </c>
      <c r="N3" s="29"/>
    </row>
    <row r="4" spans="1:14" x14ac:dyDescent="0.25">
      <c r="A4" s="28" t="s">
        <v>71</v>
      </c>
      <c r="B4" t="s">
        <v>72</v>
      </c>
      <c r="N4" s="29"/>
    </row>
    <row r="5" spans="1:14" x14ac:dyDescent="0.25">
      <c r="A5" s="28" t="s">
        <v>73</v>
      </c>
      <c r="B5" t="s">
        <v>74</v>
      </c>
      <c r="C5">
        <v>20</v>
      </c>
      <c r="D5" t="s">
        <v>75</v>
      </c>
      <c r="E5">
        <v>550</v>
      </c>
      <c r="F5" t="s">
        <v>76</v>
      </c>
      <c r="G5" t="s">
        <v>77</v>
      </c>
      <c r="N5" s="29"/>
    </row>
    <row r="6" spans="1:14" x14ac:dyDescent="0.25">
      <c r="A6" s="28" t="s">
        <v>78</v>
      </c>
      <c r="B6" t="s">
        <v>74</v>
      </c>
      <c r="C6">
        <v>20</v>
      </c>
      <c r="D6" t="s">
        <v>75</v>
      </c>
      <c r="E6">
        <v>550</v>
      </c>
      <c r="F6" t="s">
        <v>76</v>
      </c>
      <c r="G6" t="s">
        <v>77</v>
      </c>
      <c r="N6" s="29"/>
    </row>
    <row r="7" spans="1:14" x14ac:dyDescent="0.25">
      <c r="A7" s="28" t="s">
        <v>79</v>
      </c>
      <c r="B7" t="s">
        <v>74</v>
      </c>
      <c r="C7">
        <v>20</v>
      </c>
      <c r="D7" t="s">
        <v>75</v>
      </c>
      <c r="E7">
        <v>550</v>
      </c>
      <c r="F7" t="s">
        <v>76</v>
      </c>
      <c r="G7" t="s">
        <v>77</v>
      </c>
      <c r="N7" s="29"/>
    </row>
    <row r="8" spans="1:14" x14ac:dyDescent="0.25">
      <c r="A8" s="28" t="s">
        <v>80</v>
      </c>
      <c r="B8" t="s">
        <v>74</v>
      </c>
      <c r="C8">
        <v>20</v>
      </c>
      <c r="D8" t="s">
        <v>75</v>
      </c>
      <c r="E8">
        <v>550</v>
      </c>
      <c r="F8" t="s">
        <v>76</v>
      </c>
      <c r="G8" t="s">
        <v>77</v>
      </c>
      <c r="N8" s="29"/>
    </row>
    <row r="9" spans="1:14" x14ac:dyDescent="0.25">
      <c r="A9" s="28" t="s">
        <v>81</v>
      </c>
      <c r="B9" t="s">
        <v>74</v>
      </c>
      <c r="C9">
        <v>20</v>
      </c>
      <c r="D9" t="s">
        <v>75</v>
      </c>
      <c r="E9">
        <v>550</v>
      </c>
      <c r="F9" t="s">
        <v>76</v>
      </c>
      <c r="G9" t="s">
        <v>77</v>
      </c>
      <c r="N9" s="29"/>
    </row>
    <row r="10" spans="1:14" x14ac:dyDescent="0.25">
      <c r="A10" s="28" t="s">
        <v>82</v>
      </c>
      <c r="B10" t="s">
        <v>74</v>
      </c>
      <c r="C10">
        <v>20</v>
      </c>
      <c r="D10" t="s">
        <v>75</v>
      </c>
      <c r="E10">
        <v>550</v>
      </c>
      <c r="F10" t="s">
        <v>76</v>
      </c>
      <c r="G10" t="s">
        <v>77</v>
      </c>
      <c r="N10" s="29"/>
    </row>
    <row r="11" spans="1:14" x14ac:dyDescent="0.25">
      <c r="A11" s="28" t="s">
        <v>83</v>
      </c>
      <c r="B11" t="s">
        <v>74</v>
      </c>
      <c r="C11">
        <v>20</v>
      </c>
      <c r="D11" t="s">
        <v>75</v>
      </c>
      <c r="E11">
        <v>550</v>
      </c>
      <c r="F11" t="s">
        <v>76</v>
      </c>
      <c r="G11" t="s">
        <v>77</v>
      </c>
      <c r="N11" s="29"/>
    </row>
    <row r="12" spans="1:14" x14ac:dyDescent="0.25">
      <c r="A12" s="28" t="s">
        <v>84</v>
      </c>
      <c r="B12" t="s">
        <v>74</v>
      </c>
      <c r="C12">
        <v>20</v>
      </c>
      <c r="D12" t="s">
        <v>75</v>
      </c>
      <c r="E12">
        <v>550</v>
      </c>
      <c r="F12" t="s">
        <v>76</v>
      </c>
      <c r="G12" t="s">
        <v>77</v>
      </c>
      <c r="N12" s="29"/>
    </row>
    <row r="13" spans="1:14" x14ac:dyDescent="0.25">
      <c r="A13" s="28" t="s">
        <v>85</v>
      </c>
      <c r="B13" t="s">
        <v>74</v>
      </c>
      <c r="C13">
        <v>20</v>
      </c>
      <c r="D13" t="s">
        <v>75</v>
      </c>
      <c r="E13">
        <v>550</v>
      </c>
      <c r="F13" t="s">
        <v>76</v>
      </c>
      <c r="G13" t="s">
        <v>77</v>
      </c>
      <c r="N13" s="29"/>
    </row>
    <row r="14" spans="1:14" x14ac:dyDescent="0.25">
      <c r="A14" s="28" t="s">
        <v>86</v>
      </c>
      <c r="B14" t="s">
        <v>74</v>
      </c>
      <c r="C14">
        <v>0</v>
      </c>
      <c r="D14" t="s">
        <v>75</v>
      </c>
      <c r="E14">
        <v>550</v>
      </c>
      <c r="F14" t="s">
        <v>76</v>
      </c>
      <c r="G14" t="s">
        <v>77</v>
      </c>
      <c r="N14" s="29"/>
    </row>
    <row r="15" spans="1:14" x14ac:dyDescent="0.25">
      <c r="A15" s="28" t="s">
        <v>87</v>
      </c>
      <c r="B15" t="s">
        <v>74</v>
      </c>
      <c r="C15">
        <v>-30</v>
      </c>
      <c r="D15" t="s">
        <v>75</v>
      </c>
      <c r="E15">
        <v>535</v>
      </c>
      <c r="F15" t="s">
        <v>76</v>
      </c>
      <c r="G15" t="s">
        <v>77</v>
      </c>
      <c r="N15" s="29"/>
    </row>
    <row r="16" spans="1:14" x14ac:dyDescent="0.25">
      <c r="A16" s="28" t="s">
        <v>88</v>
      </c>
      <c r="B16" t="s">
        <v>74</v>
      </c>
      <c r="C16">
        <v>-30</v>
      </c>
      <c r="D16" t="s">
        <v>75</v>
      </c>
      <c r="E16">
        <v>535</v>
      </c>
      <c r="F16" t="s">
        <v>76</v>
      </c>
      <c r="G16" t="s">
        <v>77</v>
      </c>
      <c r="N16" s="29"/>
    </row>
    <row r="17" spans="1:15" x14ac:dyDescent="0.25">
      <c r="A17" s="28" t="s">
        <v>89</v>
      </c>
      <c r="B17" t="s">
        <v>74</v>
      </c>
      <c r="C17">
        <v>-30</v>
      </c>
      <c r="D17" t="s">
        <v>75</v>
      </c>
      <c r="E17">
        <v>535</v>
      </c>
      <c r="F17" t="s">
        <v>76</v>
      </c>
      <c r="G17" t="s">
        <v>77</v>
      </c>
      <c r="N17" s="29"/>
    </row>
    <row r="18" spans="1:15" x14ac:dyDescent="0.25">
      <c r="A18" s="28" t="s">
        <v>90</v>
      </c>
      <c r="B18" t="s">
        <v>74</v>
      </c>
      <c r="C18">
        <v>-35</v>
      </c>
      <c r="D18" t="s">
        <v>75</v>
      </c>
      <c r="E18">
        <v>550</v>
      </c>
      <c r="F18" t="s">
        <v>76</v>
      </c>
      <c r="G18" t="s">
        <v>77</v>
      </c>
      <c r="N18" s="29"/>
    </row>
    <row r="19" spans="1:15" x14ac:dyDescent="0.25">
      <c r="A19" s="28" t="s">
        <v>91</v>
      </c>
      <c r="B19" t="s">
        <v>74</v>
      </c>
      <c r="C19">
        <v>-35</v>
      </c>
      <c r="D19" t="s">
        <v>75</v>
      </c>
      <c r="E19">
        <v>550</v>
      </c>
      <c r="F19" t="s">
        <v>76</v>
      </c>
      <c r="G19" t="s">
        <v>77</v>
      </c>
      <c r="N19" s="29"/>
    </row>
    <row r="20" spans="1:15" x14ac:dyDescent="0.25">
      <c r="A20" s="28" t="s">
        <v>37</v>
      </c>
      <c r="C20" t="s">
        <v>73</v>
      </c>
      <c r="D20" t="s">
        <v>78</v>
      </c>
      <c r="E20" t="s">
        <v>79</v>
      </c>
      <c r="F20" t="s">
        <v>80</v>
      </c>
      <c r="G20" t="s">
        <v>81</v>
      </c>
      <c r="H20" t="s">
        <v>82</v>
      </c>
      <c r="I20" t="s">
        <v>83</v>
      </c>
      <c r="J20" t="s">
        <v>84</v>
      </c>
      <c r="K20" t="s">
        <v>85</v>
      </c>
      <c r="L20" t="s">
        <v>86</v>
      </c>
      <c r="M20" t="s">
        <v>88</v>
      </c>
      <c r="N20" s="29" t="s">
        <v>89</v>
      </c>
    </row>
    <row r="21" spans="1:15" x14ac:dyDescent="0.25">
      <c r="A21" s="30"/>
      <c r="B21" s="31"/>
      <c r="C21" s="31" t="s">
        <v>77</v>
      </c>
      <c r="D21" s="31" t="s">
        <v>77</v>
      </c>
      <c r="E21" s="31" t="s">
        <v>77</v>
      </c>
      <c r="F21" s="31" t="s">
        <v>77</v>
      </c>
      <c r="G21" s="31" t="s">
        <v>77</v>
      </c>
      <c r="H21" s="31" t="s">
        <v>77</v>
      </c>
      <c r="I21" s="31" t="s">
        <v>77</v>
      </c>
      <c r="J21" s="31" t="s">
        <v>77</v>
      </c>
      <c r="K21" s="31" t="s">
        <v>77</v>
      </c>
      <c r="L21" s="31" t="s">
        <v>77</v>
      </c>
      <c r="M21" s="31" t="s">
        <v>77</v>
      </c>
      <c r="N21" s="32" t="s">
        <v>77</v>
      </c>
    </row>
    <row r="24" spans="1:15" x14ac:dyDescent="0.25">
      <c r="A24" s="177" t="s">
        <v>93</v>
      </c>
      <c r="B24" s="177"/>
      <c r="C24" s="177"/>
      <c r="D24" s="177"/>
      <c r="E24" s="177"/>
      <c r="F24" s="177"/>
      <c r="G24" s="177"/>
      <c r="H24" s="177"/>
      <c r="I24" s="177"/>
      <c r="J24" s="177"/>
      <c r="K24" s="177"/>
      <c r="L24" s="177"/>
      <c r="M24" s="177"/>
      <c r="N24" s="177"/>
      <c r="O24" s="177"/>
    </row>
    <row r="25" spans="1:15" x14ac:dyDescent="0.25">
      <c r="A25" s="28" t="s">
        <v>57</v>
      </c>
      <c r="B25" t="s">
        <v>58</v>
      </c>
      <c r="C25" t="s">
        <v>59</v>
      </c>
      <c r="E25" t="s">
        <v>60</v>
      </c>
      <c r="F25">
        <v>8480381</v>
      </c>
      <c r="H25" t="s">
        <v>61</v>
      </c>
      <c r="I25" t="s">
        <v>62</v>
      </c>
      <c r="O25" s="29"/>
    </row>
    <row r="26" spans="1:15" x14ac:dyDescent="0.25">
      <c r="A26" s="28"/>
      <c r="B26" t="s">
        <v>63</v>
      </c>
      <c r="C26" t="s">
        <v>64</v>
      </c>
      <c r="E26" t="s">
        <v>65</v>
      </c>
      <c r="F26" t="s">
        <v>66</v>
      </c>
      <c r="H26" t="s">
        <v>67</v>
      </c>
      <c r="I26" t="s">
        <v>68</v>
      </c>
      <c r="K26" t="s">
        <v>69</v>
      </c>
      <c r="L26" t="s">
        <v>70</v>
      </c>
      <c r="O26" s="29"/>
    </row>
    <row r="27" spans="1:15" x14ac:dyDescent="0.25">
      <c r="A27" s="28" t="s">
        <v>71</v>
      </c>
      <c r="B27" t="s">
        <v>72</v>
      </c>
      <c r="O27" s="29"/>
    </row>
    <row r="28" spans="1:15" x14ac:dyDescent="0.25">
      <c r="A28" s="28" t="s">
        <v>73</v>
      </c>
      <c r="B28" t="s">
        <v>74</v>
      </c>
      <c r="C28">
        <v>20</v>
      </c>
      <c r="D28" t="s">
        <v>75</v>
      </c>
      <c r="E28">
        <v>250</v>
      </c>
      <c r="F28" t="s">
        <v>76</v>
      </c>
      <c r="G28" t="s">
        <v>77</v>
      </c>
      <c r="O28" s="29"/>
    </row>
    <row r="29" spans="1:15" x14ac:dyDescent="0.25">
      <c r="A29" s="28" t="s">
        <v>78</v>
      </c>
      <c r="B29" t="s">
        <v>74</v>
      </c>
      <c r="C29">
        <v>20</v>
      </c>
      <c r="D29" t="s">
        <v>75</v>
      </c>
      <c r="E29">
        <v>250</v>
      </c>
      <c r="F29" t="s">
        <v>76</v>
      </c>
      <c r="G29" t="s">
        <v>77</v>
      </c>
      <c r="O29" s="29"/>
    </row>
    <row r="30" spans="1:15" x14ac:dyDescent="0.25">
      <c r="A30" s="28" t="s">
        <v>79</v>
      </c>
      <c r="B30" t="s">
        <v>74</v>
      </c>
      <c r="C30">
        <v>20</v>
      </c>
      <c r="D30" t="s">
        <v>75</v>
      </c>
      <c r="E30">
        <v>250</v>
      </c>
      <c r="F30" t="s">
        <v>76</v>
      </c>
      <c r="G30" t="s">
        <v>77</v>
      </c>
      <c r="O30" s="29"/>
    </row>
    <row r="31" spans="1:15" x14ac:dyDescent="0.25">
      <c r="A31" s="28" t="s">
        <v>80</v>
      </c>
      <c r="B31" t="s">
        <v>74</v>
      </c>
      <c r="C31">
        <v>20</v>
      </c>
      <c r="D31" t="s">
        <v>75</v>
      </c>
      <c r="E31">
        <v>250</v>
      </c>
      <c r="F31" t="s">
        <v>76</v>
      </c>
      <c r="G31" t="s">
        <v>77</v>
      </c>
      <c r="O31" s="29"/>
    </row>
    <row r="32" spans="1:15" x14ac:dyDescent="0.25">
      <c r="A32" s="28" t="s">
        <v>81</v>
      </c>
      <c r="B32" t="s">
        <v>74</v>
      </c>
      <c r="C32">
        <v>20</v>
      </c>
      <c r="D32" t="s">
        <v>75</v>
      </c>
      <c r="E32">
        <v>250</v>
      </c>
      <c r="F32" t="s">
        <v>76</v>
      </c>
      <c r="G32" t="s">
        <v>77</v>
      </c>
      <c r="O32" s="29"/>
    </row>
    <row r="33" spans="1:15" x14ac:dyDescent="0.25">
      <c r="A33" s="28" t="s">
        <v>82</v>
      </c>
      <c r="B33" t="s">
        <v>74</v>
      </c>
      <c r="C33">
        <v>20</v>
      </c>
      <c r="D33" t="s">
        <v>75</v>
      </c>
      <c r="E33">
        <v>250</v>
      </c>
      <c r="F33" t="s">
        <v>76</v>
      </c>
      <c r="G33" t="s">
        <v>77</v>
      </c>
      <c r="O33" s="29"/>
    </row>
    <row r="34" spans="1:15" x14ac:dyDescent="0.25">
      <c r="A34" s="28" t="s">
        <v>83</v>
      </c>
      <c r="B34" t="s">
        <v>74</v>
      </c>
      <c r="C34">
        <v>20</v>
      </c>
      <c r="D34" t="s">
        <v>75</v>
      </c>
      <c r="E34">
        <v>250</v>
      </c>
      <c r="F34" t="s">
        <v>76</v>
      </c>
      <c r="G34" t="s">
        <v>77</v>
      </c>
      <c r="O34" s="29"/>
    </row>
    <row r="35" spans="1:15" x14ac:dyDescent="0.25">
      <c r="A35" s="28" t="s">
        <v>84</v>
      </c>
      <c r="B35" t="s">
        <v>74</v>
      </c>
      <c r="C35">
        <v>20</v>
      </c>
      <c r="D35" t="s">
        <v>75</v>
      </c>
      <c r="E35">
        <v>250</v>
      </c>
      <c r="F35" t="s">
        <v>76</v>
      </c>
      <c r="G35" t="s">
        <v>77</v>
      </c>
      <c r="O35" s="29"/>
    </row>
    <row r="36" spans="1:15" x14ac:dyDescent="0.25">
      <c r="A36" s="28" t="s">
        <v>85</v>
      </c>
      <c r="B36" t="s">
        <v>74</v>
      </c>
      <c r="C36">
        <v>20</v>
      </c>
      <c r="D36" t="s">
        <v>75</v>
      </c>
      <c r="E36">
        <v>250</v>
      </c>
      <c r="F36" t="s">
        <v>76</v>
      </c>
      <c r="G36" t="s">
        <v>77</v>
      </c>
      <c r="O36" s="29"/>
    </row>
    <row r="37" spans="1:15" x14ac:dyDescent="0.25">
      <c r="A37" s="28" t="s">
        <v>86</v>
      </c>
      <c r="B37" t="s">
        <v>74</v>
      </c>
      <c r="C37">
        <v>0</v>
      </c>
      <c r="D37" t="s">
        <v>75</v>
      </c>
      <c r="E37">
        <v>250</v>
      </c>
      <c r="F37" t="s">
        <v>76</v>
      </c>
      <c r="G37" t="s">
        <v>77</v>
      </c>
      <c r="O37" s="29"/>
    </row>
    <row r="38" spans="1:15" x14ac:dyDescent="0.25">
      <c r="A38" s="28" t="s">
        <v>87</v>
      </c>
      <c r="B38" t="s">
        <v>74</v>
      </c>
      <c r="C38">
        <v>0</v>
      </c>
      <c r="D38" t="s">
        <v>75</v>
      </c>
      <c r="E38">
        <v>250</v>
      </c>
      <c r="F38" t="s">
        <v>76</v>
      </c>
      <c r="G38" t="s">
        <v>77</v>
      </c>
      <c r="O38" s="29"/>
    </row>
    <row r="39" spans="1:15" x14ac:dyDescent="0.25">
      <c r="A39" s="28" t="s">
        <v>88</v>
      </c>
      <c r="B39" t="s">
        <v>74</v>
      </c>
      <c r="C39">
        <v>0</v>
      </c>
      <c r="D39" t="s">
        <v>75</v>
      </c>
      <c r="E39">
        <v>250</v>
      </c>
      <c r="F39" t="s">
        <v>76</v>
      </c>
      <c r="G39" t="s">
        <v>77</v>
      </c>
      <c r="O39" s="29"/>
    </row>
    <row r="40" spans="1:15" x14ac:dyDescent="0.25">
      <c r="A40" s="28" t="s">
        <v>89</v>
      </c>
      <c r="B40" t="s">
        <v>74</v>
      </c>
      <c r="C40">
        <v>0</v>
      </c>
      <c r="D40" t="s">
        <v>75</v>
      </c>
      <c r="E40">
        <v>250</v>
      </c>
      <c r="F40" t="s">
        <v>76</v>
      </c>
      <c r="G40" t="s">
        <v>77</v>
      </c>
      <c r="O40" s="29"/>
    </row>
    <row r="41" spans="1:15" x14ac:dyDescent="0.25">
      <c r="A41" s="28" t="s">
        <v>37</v>
      </c>
      <c r="C41" t="s">
        <v>73</v>
      </c>
      <c r="D41" t="s">
        <v>78</v>
      </c>
      <c r="E41" t="s">
        <v>79</v>
      </c>
      <c r="F41" t="s">
        <v>80</v>
      </c>
      <c r="G41" t="s">
        <v>81</v>
      </c>
      <c r="H41" t="s">
        <v>82</v>
      </c>
      <c r="I41" t="s">
        <v>83</v>
      </c>
      <c r="J41" t="s">
        <v>84</v>
      </c>
      <c r="K41" t="s">
        <v>85</v>
      </c>
      <c r="L41" t="s">
        <v>86</v>
      </c>
      <c r="M41" t="s">
        <v>87</v>
      </c>
      <c r="N41" t="s">
        <v>88</v>
      </c>
      <c r="O41" s="29" t="s">
        <v>89</v>
      </c>
    </row>
    <row r="42" spans="1:15" x14ac:dyDescent="0.25">
      <c r="A42" s="30"/>
      <c r="B42" s="31"/>
      <c r="C42" s="31" t="s">
        <v>77</v>
      </c>
      <c r="D42" s="31" t="s">
        <v>77</v>
      </c>
      <c r="E42" s="31" t="s">
        <v>77</v>
      </c>
      <c r="F42" s="31" t="s">
        <v>77</v>
      </c>
      <c r="G42" s="31" t="s">
        <v>77</v>
      </c>
      <c r="H42" s="31" t="s">
        <v>77</v>
      </c>
      <c r="I42" s="31" t="s">
        <v>77</v>
      </c>
      <c r="J42" s="31" t="s">
        <v>77</v>
      </c>
      <c r="K42" s="31" t="s">
        <v>77</v>
      </c>
      <c r="L42" s="31" t="s">
        <v>77</v>
      </c>
      <c r="M42" s="31" t="s">
        <v>77</v>
      </c>
      <c r="N42" s="31" t="s">
        <v>77</v>
      </c>
      <c r="O42" s="32" t="s">
        <v>77</v>
      </c>
    </row>
    <row r="45" spans="1:15" x14ac:dyDescent="0.25">
      <c r="A45" s="178" t="s">
        <v>272</v>
      </c>
      <c r="B45" s="178"/>
      <c r="C45" s="178"/>
      <c r="D45" s="178"/>
      <c r="E45" s="178"/>
      <c r="F45" s="178"/>
      <c r="G45" s="178"/>
      <c r="H45" s="178"/>
      <c r="I45" s="178"/>
      <c r="J45" s="178"/>
      <c r="K45" s="178"/>
    </row>
    <row r="46" spans="1:15" x14ac:dyDescent="0.25">
      <c r="A46" s="28" t="s">
        <v>57</v>
      </c>
      <c r="B46" t="s">
        <v>58</v>
      </c>
      <c r="C46" t="s">
        <v>59</v>
      </c>
      <c r="E46" t="s">
        <v>60</v>
      </c>
      <c r="F46">
        <v>8480381</v>
      </c>
      <c r="H46" t="s">
        <v>61</v>
      </c>
      <c r="I46" t="s">
        <v>62</v>
      </c>
      <c r="K46" s="29"/>
    </row>
    <row r="47" spans="1:15" x14ac:dyDescent="0.25">
      <c r="A47" s="28"/>
      <c r="B47" t="s">
        <v>63</v>
      </c>
      <c r="C47" t="s">
        <v>64</v>
      </c>
      <c r="E47" t="s">
        <v>65</v>
      </c>
      <c r="F47" t="s">
        <v>66</v>
      </c>
      <c r="H47" t="s">
        <v>67</v>
      </c>
      <c r="I47" t="s">
        <v>68</v>
      </c>
      <c r="J47" t="s">
        <v>69</v>
      </c>
      <c r="K47" s="29" t="s">
        <v>70</v>
      </c>
    </row>
    <row r="48" spans="1:15" x14ac:dyDescent="0.25">
      <c r="A48" s="28" t="s">
        <v>71</v>
      </c>
      <c r="B48" t="s">
        <v>72</v>
      </c>
      <c r="K48" s="29"/>
    </row>
    <row r="49" spans="1:11" x14ac:dyDescent="0.25">
      <c r="A49" s="28" t="s">
        <v>73</v>
      </c>
      <c r="B49" t="s">
        <v>74</v>
      </c>
      <c r="C49">
        <v>20</v>
      </c>
      <c r="D49" t="s">
        <v>75</v>
      </c>
      <c r="E49">
        <v>550</v>
      </c>
      <c r="F49" t="s">
        <v>76</v>
      </c>
      <c r="G49" t="s">
        <v>77</v>
      </c>
      <c r="K49" s="29"/>
    </row>
    <row r="50" spans="1:11" x14ac:dyDescent="0.25">
      <c r="A50" s="28" t="s">
        <v>78</v>
      </c>
      <c r="B50" t="s">
        <v>74</v>
      </c>
      <c r="C50">
        <v>20</v>
      </c>
      <c r="D50" t="s">
        <v>75</v>
      </c>
      <c r="E50">
        <v>550</v>
      </c>
      <c r="F50" t="s">
        <v>76</v>
      </c>
      <c r="G50" t="s">
        <v>77</v>
      </c>
      <c r="K50" s="29"/>
    </row>
    <row r="51" spans="1:11" x14ac:dyDescent="0.25">
      <c r="A51" s="28" t="s">
        <v>79</v>
      </c>
      <c r="B51" t="s">
        <v>74</v>
      </c>
      <c r="C51">
        <v>20</v>
      </c>
      <c r="D51" t="s">
        <v>75</v>
      </c>
      <c r="E51">
        <v>550</v>
      </c>
      <c r="F51" t="s">
        <v>76</v>
      </c>
      <c r="G51" t="s">
        <v>77</v>
      </c>
      <c r="K51" s="29"/>
    </row>
    <row r="52" spans="1:11" x14ac:dyDescent="0.25">
      <c r="A52" s="28" t="s">
        <v>80</v>
      </c>
      <c r="B52" t="s">
        <v>74</v>
      </c>
      <c r="C52">
        <v>20</v>
      </c>
      <c r="D52" t="s">
        <v>75</v>
      </c>
      <c r="E52">
        <v>550</v>
      </c>
      <c r="F52" t="s">
        <v>76</v>
      </c>
      <c r="G52" t="s">
        <v>77</v>
      </c>
      <c r="K52" s="29"/>
    </row>
    <row r="53" spans="1:11" x14ac:dyDescent="0.25">
      <c r="A53" s="28" t="s">
        <v>81</v>
      </c>
      <c r="B53" t="s">
        <v>74</v>
      </c>
      <c r="C53">
        <v>20</v>
      </c>
      <c r="D53" t="s">
        <v>75</v>
      </c>
      <c r="E53">
        <v>550</v>
      </c>
      <c r="F53" t="s">
        <v>76</v>
      </c>
      <c r="G53" t="s">
        <v>77</v>
      </c>
      <c r="K53" s="29"/>
    </row>
    <row r="54" spans="1:11" x14ac:dyDescent="0.25">
      <c r="A54" s="28" t="s">
        <v>82</v>
      </c>
      <c r="B54" t="s">
        <v>74</v>
      </c>
      <c r="C54">
        <v>20</v>
      </c>
      <c r="D54" t="s">
        <v>75</v>
      </c>
      <c r="E54">
        <v>550</v>
      </c>
      <c r="F54" t="s">
        <v>76</v>
      </c>
      <c r="G54" t="s">
        <v>77</v>
      </c>
      <c r="K54" s="29"/>
    </row>
    <row r="55" spans="1:11" x14ac:dyDescent="0.25">
      <c r="A55" s="28" t="s">
        <v>83</v>
      </c>
      <c r="B55" t="s">
        <v>74</v>
      </c>
      <c r="C55">
        <v>20</v>
      </c>
      <c r="D55" t="s">
        <v>75</v>
      </c>
      <c r="E55">
        <v>550</v>
      </c>
      <c r="F55" t="s">
        <v>76</v>
      </c>
      <c r="G55" t="s">
        <v>77</v>
      </c>
      <c r="K55" s="29"/>
    </row>
    <row r="56" spans="1:11" x14ac:dyDescent="0.25">
      <c r="A56" s="28" t="s">
        <v>84</v>
      </c>
      <c r="B56" t="s">
        <v>74</v>
      </c>
      <c r="C56">
        <v>20</v>
      </c>
      <c r="D56" t="s">
        <v>75</v>
      </c>
      <c r="E56">
        <v>550</v>
      </c>
      <c r="F56" t="s">
        <v>76</v>
      </c>
      <c r="G56" t="s">
        <v>77</v>
      </c>
      <c r="K56" s="29"/>
    </row>
    <row r="57" spans="1:11" x14ac:dyDescent="0.25">
      <c r="A57" s="28" t="s">
        <v>85</v>
      </c>
      <c r="B57" t="s">
        <v>74</v>
      </c>
      <c r="C57">
        <v>20</v>
      </c>
      <c r="D57" t="s">
        <v>75</v>
      </c>
      <c r="E57">
        <v>550</v>
      </c>
      <c r="F57" t="s">
        <v>76</v>
      </c>
      <c r="G57" t="s">
        <v>77</v>
      </c>
      <c r="K57" s="29"/>
    </row>
    <row r="58" spans="1:11" x14ac:dyDescent="0.25">
      <c r="A58" s="28" t="s">
        <v>37</v>
      </c>
      <c r="C58" t="s">
        <v>73</v>
      </c>
      <c r="D58" t="s">
        <v>78</v>
      </c>
      <c r="E58" t="s">
        <v>79</v>
      </c>
      <c r="F58" t="s">
        <v>80</v>
      </c>
      <c r="G58" t="s">
        <v>81</v>
      </c>
      <c r="H58" t="s">
        <v>82</v>
      </c>
      <c r="I58" t="s">
        <v>83</v>
      </c>
      <c r="J58" t="s">
        <v>84</v>
      </c>
      <c r="K58" s="29" t="s">
        <v>85</v>
      </c>
    </row>
    <row r="59" spans="1:11" x14ac:dyDescent="0.25">
      <c r="A59" s="30"/>
      <c r="B59" s="31"/>
      <c r="C59" s="31" t="s">
        <v>77</v>
      </c>
      <c r="D59" s="31" t="s">
        <v>77</v>
      </c>
      <c r="E59" s="31" t="s">
        <v>77</v>
      </c>
      <c r="F59" s="31" t="s">
        <v>77</v>
      </c>
      <c r="G59" s="31" t="s">
        <v>77</v>
      </c>
      <c r="H59" s="31" t="s">
        <v>77</v>
      </c>
      <c r="I59" s="31" t="s">
        <v>77</v>
      </c>
      <c r="J59" s="31" t="s">
        <v>77</v>
      </c>
      <c r="K59" s="32" t="s">
        <v>77</v>
      </c>
    </row>
    <row r="63" spans="1:11" x14ac:dyDescent="0.25">
      <c r="A63" s="245" t="s">
        <v>311</v>
      </c>
      <c r="B63" s="246"/>
      <c r="C63" s="246"/>
      <c r="D63" s="246"/>
      <c r="E63" s="246"/>
      <c r="F63" s="246"/>
      <c r="G63" s="246"/>
      <c r="H63" s="246"/>
      <c r="I63" s="246"/>
      <c r="J63" s="247"/>
    </row>
    <row r="64" spans="1:11" x14ac:dyDescent="0.25">
      <c r="A64" s="28" t="s">
        <v>57</v>
      </c>
      <c r="B64" s="244" t="s">
        <v>58</v>
      </c>
      <c r="C64" s="244" t="s">
        <v>59</v>
      </c>
      <c r="D64" s="244"/>
      <c r="E64" s="244" t="s">
        <v>60</v>
      </c>
      <c r="F64" s="244">
        <v>8480381</v>
      </c>
      <c r="G64" s="244"/>
      <c r="H64" s="244" t="s">
        <v>61</v>
      </c>
      <c r="I64" s="244"/>
      <c r="J64" s="29"/>
    </row>
    <row r="65" spans="1:10" x14ac:dyDescent="0.25">
      <c r="A65" s="28"/>
      <c r="B65" s="244" t="s">
        <v>63</v>
      </c>
      <c r="C65" s="244" t="s">
        <v>64</v>
      </c>
      <c r="D65" s="244"/>
      <c r="E65" s="244" t="s">
        <v>65</v>
      </c>
      <c r="F65" s="244" t="s">
        <v>66</v>
      </c>
      <c r="G65" s="244"/>
      <c r="H65" s="244" t="s">
        <v>67</v>
      </c>
      <c r="I65" s="244"/>
      <c r="J65" s="29"/>
    </row>
    <row r="66" spans="1:10" x14ac:dyDescent="0.25">
      <c r="A66" s="28" t="s">
        <v>71</v>
      </c>
      <c r="B66" s="244" t="s">
        <v>72</v>
      </c>
      <c r="C66" s="244"/>
      <c r="D66" s="244"/>
      <c r="E66" s="244"/>
      <c r="F66" s="244"/>
      <c r="G66" s="244"/>
      <c r="H66" s="244"/>
      <c r="I66" s="244"/>
      <c r="J66" s="29"/>
    </row>
    <row r="67" spans="1:10" x14ac:dyDescent="0.25">
      <c r="A67" s="28" t="s">
        <v>73</v>
      </c>
      <c r="B67" s="244" t="s">
        <v>74</v>
      </c>
      <c r="C67" s="244">
        <v>20</v>
      </c>
      <c r="D67" s="244" t="s">
        <v>75</v>
      </c>
      <c r="E67" s="244">
        <v>550</v>
      </c>
      <c r="F67" s="244" t="s">
        <v>76</v>
      </c>
      <c r="G67" s="244" t="s">
        <v>77</v>
      </c>
      <c r="H67" s="244"/>
      <c r="I67" s="244"/>
      <c r="J67" s="29"/>
    </row>
    <row r="68" spans="1:10" x14ac:dyDescent="0.25">
      <c r="A68" s="28" t="s">
        <v>78</v>
      </c>
      <c r="B68" s="244" t="s">
        <v>74</v>
      </c>
      <c r="C68" s="244">
        <v>20</v>
      </c>
      <c r="D68" s="244" t="s">
        <v>75</v>
      </c>
      <c r="E68" s="244">
        <v>550</v>
      </c>
      <c r="F68" s="244" t="s">
        <v>76</v>
      </c>
      <c r="G68" s="244" t="s">
        <v>77</v>
      </c>
      <c r="H68" s="244"/>
      <c r="I68" s="244"/>
      <c r="J68" s="29"/>
    </row>
    <row r="69" spans="1:10" x14ac:dyDescent="0.25">
      <c r="A69" s="28" t="s">
        <v>79</v>
      </c>
      <c r="B69" s="244" t="s">
        <v>74</v>
      </c>
      <c r="C69" s="244">
        <v>20</v>
      </c>
      <c r="D69" s="244" t="s">
        <v>75</v>
      </c>
      <c r="E69" s="244">
        <v>550</v>
      </c>
      <c r="F69" s="244" t="s">
        <v>76</v>
      </c>
      <c r="G69" s="244" t="s">
        <v>77</v>
      </c>
      <c r="H69" s="244"/>
      <c r="I69" s="244"/>
      <c r="J69" s="29"/>
    </row>
    <row r="70" spans="1:10" x14ac:dyDescent="0.25">
      <c r="A70" s="28" t="s">
        <v>80</v>
      </c>
      <c r="B70" s="244" t="s">
        <v>74</v>
      </c>
      <c r="C70" s="244">
        <v>20</v>
      </c>
      <c r="D70" s="244" t="s">
        <v>75</v>
      </c>
      <c r="E70" s="244">
        <v>550</v>
      </c>
      <c r="F70" s="244" t="s">
        <v>76</v>
      </c>
      <c r="G70" s="244" t="s">
        <v>77</v>
      </c>
      <c r="H70" s="244"/>
      <c r="I70" s="244"/>
      <c r="J70" s="29"/>
    </row>
    <row r="71" spans="1:10" x14ac:dyDescent="0.25">
      <c r="A71" s="28" t="s">
        <v>81</v>
      </c>
      <c r="B71" s="244" t="s">
        <v>74</v>
      </c>
      <c r="C71" s="244">
        <v>20</v>
      </c>
      <c r="D71" s="244" t="s">
        <v>75</v>
      </c>
      <c r="E71" s="244">
        <v>550</v>
      </c>
      <c r="F71" s="244" t="s">
        <v>76</v>
      </c>
      <c r="G71" s="244" t="s">
        <v>77</v>
      </c>
      <c r="H71" s="244"/>
      <c r="I71" s="244"/>
      <c r="J71" s="29"/>
    </row>
    <row r="72" spans="1:10" x14ac:dyDescent="0.25">
      <c r="A72" s="28" t="s">
        <v>82</v>
      </c>
      <c r="B72" s="244" t="s">
        <v>74</v>
      </c>
      <c r="C72" s="244">
        <v>20</v>
      </c>
      <c r="D72" s="244" t="s">
        <v>75</v>
      </c>
      <c r="E72" s="244">
        <v>550</v>
      </c>
      <c r="F72" s="244" t="s">
        <v>76</v>
      </c>
      <c r="G72" s="244" t="s">
        <v>77</v>
      </c>
      <c r="H72" s="244"/>
      <c r="I72" s="244"/>
      <c r="J72" s="29"/>
    </row>
    <row r="73" spans="1:10" x14ac:dyDescent="0.25">
      <c r="A73" s="28" t="s">
        <v>83</v>
      </c>
      <c r="B73" s="244" t="s">
        <v>74</v>
      </c>
      <c r="C73" s="244">
        <v>20</v>
      </c>
      <c r="D73" s="244" t="s">
        <v>75</v>
      </c>
      <c r="E73" s="244">
        <v>550</v>
      </c>
      <c r="F73" s="244" t="s">
        <v>76</v>
      </c>
      <c r="G73" s="244" t="s">
        <v>77</v>
      </c>
      <c r="H73" s="244"/>
      <c r="I73" s="244"/>
      <c r="J73" s="29"/>
    </row>
    <row r="74" spans="1:10" x14ac:dyDescent="0.25">
      <c r="A74" s="28" t="s">
        <v>84</v>
      </c>
      <c r="B74" s="244" t="s">
        <v>74</v>
      </c>
      <c r="C74" s="244">
        <v>20</v>
      </c>
      <c r="D74" s="244" t="s">
        <v>75</v>
      </c>
      <c r="E74" s="244">
        <v>550</v>
      </c>
      <c r="F74" s="244" t="s">
        <v>76</v>
      </c>
      <c r="G74" s="244" t="s">
        <v>77</v>
      </c>
      <c r="H74" s="244"/>
      <c r="I74" s="244"/>
      <c r="J74" s="29"/>
    </row>
    <row r="75" spans="1:10" x14ac:dyDescent="0.25">
      <c r="A75" s="30" t="s">
        <v>85</v>
      </c>
      <c r="B75" s="31" t="s">
        <v>74</v>
      </c>
      <c r="C75" s="31">
        <v>20</v>
      </c>
      <c r="D75" s="31" t="s">
        <v>75</v>
      </c>
      <c r="E75" s="31">
        <v>550</v>
      </c>
      <c r="F75" s="31" t="s">
        <v>76</v>
      </c>
      <c r="G75" s="31" t="s">
        <v>77</v>
      </c>
      <c r="H75" s="31"/>
      <c r="I75" s="31"/>
      <c r="J75" s="32"/>
    </row>
  </sheetData>
  <sheetProtection algorithmName="SHA-512" hashValue="KrOzt3wtW5gQj+52/TwkGLZoDD79Z7mBFlKopMPzuz7MoHarWG67G35WFEfmsGoYhrssmFd/3gufYyTddbFQLw==" saltValue="qGEEN/v2pzSmbDCVvIH/pQ==" spinCount="100000" sheet="1" objects="1" scenarios="1" autoFilter="0"/>
  <mergeCells count="4">
    <mergeCell ref="A1:N1"/>
    <mergeCell ref="A24:O24"/>
    <mergeCell ref="A45:K45"/>
    <mergeCell ref="A63:J63"/>
  </mergeCells>
  <phoneticPr fontId="4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K7:M12"/>
  <sheetViews>
    <sheetView tabSelected="1" workbookViewId="0">
      <selection activeCell="N17" sqref="N17"/>
    </sheetView>
  </sheetViews>
  <sheetFormatPr baseColWidth="10" defaultColWidth="9.140625" defaultRowHeight="15" x14ac:dyDescent="0.25"/>
  <cols>
    <col min="2" max="2" width="15.28515625" customWidth="1"/>
  </cols>
  <sheetData>
    <row r="7" spans="11:13" x14ac:dyDescent="0.25">
      <c r="K7" s="160" t="s">
        <v>267</v>
      </c>
    </row>
    <row r="9" spans="11:13" x14ac:dyDescent="0.25">
      <c r="K9" t="s">
        <v>313</v>
      </c>
    </row>
    <row r="10" spans="11:13" x14ac:dyDescent="0.25">
      <c r="K10" s="159" t="s">
        <v>263</v>
      </c>
      <c r="M10" t="s">
        <v>266</v>
      </c>
    </row>
    <row r="11" spans="11:13" x14ac:dyDescent="0.25">
      <c r="K11" s="159" t="s">
        <v>264</v>
      </c>
    </row>
    <row r="12" spans="11:13" x14ac:dyDescent="0.25">
      <c r="K12" s="159" t="s">
        <v>265</v>
      </c>
    </row>
  </sheetData>
  <sheetProtection algorithmName="SHA-512" hashValue="UoSO6ISOV/CTJVb6ZUBuEeHa7S+vUKIeWurtuB3JlBWPIUfdqV+A9qjwD9TtfYY9LQmnjMk+t9vI6LfzsMaPHA==" saltValue="SsyH1jJlAiSpZFmNQhG+qA==" spinCount="100000" sheet="1" objects="1" scenarios="1" autoFilter="0"/>
  <dataValidations disablePrompts="1" count="1">
    <dataValidation type="list" allowBlank="1" showInputMessage="1" showErrorMessage="1" promptTitle="dfghjk" prompt="ddfghjddfghjxcfg" sqref="B4" xr:uid="{F4CC69DF-A5B8-46B1-AF60-0808BF96A8D2}">
      <formula1>"Tus du Congélateur, Tus de l'étuve OMIA, Tus de l'étuve DOVER"</formula1>
    </dataValidation>
  </dataValidations>
  <pageMargins left="0.7" right="0.7" top="0.75" bottom="0.75" header="0.3" footer="0.3"/>
  <drawing r:id="rId1"/>
  <legacyDrawing r:id="rId2"/>
  <controls>
    <mc:AlternateContent xmlns:mc="http://schemas.openxmlformats.org/markup-compatibility/2006">
      <mc:Choice Requires="x14">
        <control shapeId="10243" r:id="rId3" name="ComboBox1">
          <controlPr defaultSize="0" autoLine="0" altText="sedrftgyh" linkedCell="K7" listFillRange="K9:K13" r:id="rId4">
            <anchor moveWithCells="1">
              <from>
                <xdr:col>7</xdr:col>
                <xdr:colOff>561975</xdr:colOff>
                <xdr:row>4</xdr:row>
                <xdr:rowOff>152400</xdr:rowOff>
              </from>
              <to>
                <xdr:col>15</xdr:col>
                <xdr:colOff>457200</xdr:colOff>
                <xdr:row>11</xdr:row>
                <xdr:rowOff>114300</xdr:rowOff>
              </to>
            </anchor>
          </controlPr>
        </control>
      </mc:Choice>
      <mc:Fallback>
        <control shapeId="10243" r:id="rId3" name="ComboBox1"/>
      </mc:Fallback>
    </mc:AlternateContent>
    <mc:AlternateContent xmlns:mc="http://schemas.openxmlformats.org/markup-compatibility/2006">
      <mc:Choice Requires="x14">
        <control shapeId="10245" r:id="rId5" name="Button 5">
          <controlPr defaultSize="0" print="0" autoFill="0" autoPict="0" macro="[0]!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3"/>
  <sheetViews>
    <sheetView topLeftCell="A21" zoomScaleNormal="100" workbookViewId="0">
      <selection activeCell="F47" sqref="F47"/>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189" t="s">
        <v>11</v>
      </c>
      <c r="C2" s="190"/>
      <c r="D2" s="190"/>
      <c r="E2" s="190"/>
      <c r="F2" s="190"/>
      <c r="G2" s="190"/>
      <c r="H2" s="190"/>
      <c r="I2" s="190"/>
      <c r="J2" s="190"/>
      <c r="K2" s="190"/>
      <c r="L2" s="1"/>
      <c r="M2" s="1"/>
      <c r="N2" s="1"/>
      <c r="O2" s="1"/>
    </row>
    <row r="3" spans="1:16" ht="15" customHeight="1" x14ac:dyDescent="0.25">
      <c r="A3" s="1"/>
      <c r="B3" s="190"/>
      <c r="C3" s="190"/>
      <c r="D3" s="190"/>
      <c r="E3" s="190"/>
      <c r="F3" s="190"/>
      <c r="G3" s="190"/>
      <c r="H3" s="190"/>
      <c r="I3" s="190"/>
      <c r="J3" s="190"/>
      <c r="K3" s="190"/>
      <c r="L3" s="1"/>
      <c r="M3" s="1"/>
      <c r="N3" s="1"/>
      <c r="O3" s="1"/>
    </row>
    <row r="4" spans="1:16" ht="57" x14ac:dyDescent="0.25">
      <c r="A4" s="1"/>
      <c r="B4" s="2"/>
      <c r="C4" s="2"/>
      <c r="D4" s="2"/>
      <c r="E4" s="2"/>
      <c r="F4" s="2"/>
      <c r="G4" s="2"/>
      <c r="H4" s="2"/>
      <c r="I4" s="2"/>
      <c r="J4" s="2"/>
      <c r="K4" s="2"/>
      <c r="L4" s="1"/>
      <c r="M4" s="1"/>
      <c r="N4" s="1"/>
      <c r="O4" s="1"/>
    </row>
    <row r="5" spans="1:16" x14ac:dyDescent="0.25">
      <c r="A5" s="183" t="s">
        <v>0</v>
      </c>
      <c r="B5" s="183"/>
      <c r="C5" s="183"/>
      <c r="D5" s="165"/>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183" t="s">
        <v>1</v>
      </c>
      <c r="B7" s="183"/>
      <c r="C7" s="4"/>
      <c r="D7" s="1"/>
      <c r="E7" s="183" t="s">
        <v>19</v>
      </c>
      <c r="F7" s="183"/>
      <c r="G7" s="4"/>
      <c r="H7" s="1"/>
      <c r="I7" s="1"/>
      <c r="J7" s="1"/>
      <c r="K7" s="1"/>
      <c r="L7" s="1"/>
      <c r="M7" s="1"/>
      <c r="N7" s="1"/>
      <c r="O7" s="5"/>
    </row>
    <row r="8" spans="1:16" x14ac:dyDescent="0.25">
      <c r="A8" s="183" t="s">
        <v>2</v>
      </c>
      <c r="B8" s="183"/>
      <c r="C8" s="6"/>
      <c r="D8" s="1"/>
      <c r="E8" s="183" t="s">
        <v>20</v>
      </c>
      <c r="F8" s="183"/>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179" t="s">
        <v>3</v>
      </c>
      <c r="B10" s="180"/>
      <c r="C10" s="7"/>
      <c r="D10" s="1"/>
      <c r="E10" s="179" t="s">
        <v>21</v>
      </c>
      <c r="F10" s="180"/>
      <c r="G10" s="8"/>
      <c r="H10" s="1"/>
      <c r="I10" s="1"/>
      <c r="J10" s="1"/>
      <c r="K10" s="1"/>
      <c r="L10" s="1"/>
      <c r="M10" s="1"/>
      <c r="N10" s="1"/>
      <c r="O10" s="1"/>
    </row>
    <row r="11" spans="1:16" x14ac:dyDescent="0.25">
      <c r="A11" s="179" t="s">
        <v>4</v>
      </c>
      <c r="B11" s="180"/>
      <c r="C11" s="8"/>
      <c r="D11" s="1"/>
      <c r="E11" s="183" t="s">
        <v>22</v>
      </c>
      <c r="F11" s="183"/>
      <c r="G11" s="161">
        <v>9</v>
      </c>
      <c r="H11" s="1"/>
      <c r="I11" s="1"/>
      <c r="J11" s="1"/>
      <c r="K11" s="1"/>
      <c r="L11" s="1"/>
      <c r="M11" s="1"/>
      <c r="N11" s="1"/>
      <c r="O11" s="1"/>
    </row>
    <row r="12" spans="1:16" x14ac:dyDescent="0.25">
      <c r="A12" s="1"/>
      <c r="B12" s="1"/>
      <c r="C12" s="1"/>
      <c r="D12" s="1"/>
      <c r="E12" s="183" t="s">
        <v>23</v>
      </c>
      <c r="F12" s="183"/>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179" t="s">
        <v>5</v>
      </c>
      <c r="B14" s="180"/>
      <c r="C14" s="4"/>
      <c r="D14" s="1"/>
      <c r="E14" s="1"/>
      <c r="F14" s="1"/>
      <c r="G14" s="1"/>
      <c r="H14" s="1"/>
      <c r="I14" s="1"/>
      <c r="J14" s="1"/>
      <c r="K14" s="1"/>
      <c r="L14" s="1"/>
      <c r="M14" s="1"/>
      <c r="N14" s="1"/>
      <c r="O14" s="1"/>
    </row>
    <row r="15" spans="1:16" x14ac:dyDescent="0.25">
      <c r="A15" s="179" t="s">
        <v>6</v>
      </c>
      <c r="B15" s="180"/>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63">
        <v>-30</v>
      </c>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15</v>
      </c>
      <c r="D22" s="13" t="s">
        <v>17</v>
      </c>
      <c r="E22" s="14" t="s">
        <v>24</v>
      </c>
      <c r="F22" s="1"/>
      <c r="G22" s="1"/>
      <c r="H22" s="1"/>
      <c r="I22" s="1"/>
      <c r="J22" s="1"/>
      <c r="K22" s="1"/>
      <c r="L22" s="1"/>
      <c r="M22" s="1"/>
      <c r="N22" s="1"/>
      <c r="O22" s="1"/>
    </row>
    <row r="23" spans="1:15" x14ac:dyDescent="0.25">
      <c r="A23" s="15">
        <v>1</v>
      </c>
      <c r="B23" s="11"/>
      <c r="C23" s="11"/>
      <c r="D23" s="11"/>
      <c r="E23" s="11"/>
      <c r="F23" s="1"/>
      <c r="G23" s="1"/>
      <c r="H23" s="1"/>
      <c r="I23" s="1"/>
      <c r="J23" s="1"/>
      <c r="K23" s="1"/>
      <c r="L23" s="1"/>
      <c r="M23" s="1"/>
      <c r="N23" s="1"/>
      <c r="O23" s="1"/>
    </row>
    <row r="24" spans="1:15" x14ac:dyDescent="0.25">
      <c r="A24" s="19">
        <v>2</v>
      </c>
      <c r="B24" s="11"/>
      <c r="C24" s="11"/>
      <c r="D24" s="11"/>
      <c r="E24" s="11"/>
      <c r="F24" s="1"/>
      <c r="G24" s="1"/>
      <c r="H24" s="1"/>
      <c r="I24" s="1"/>
      <c r="J24" s="1"/>
      <c r="K24" s="1"/>
      <c r="L24" s="1"/>
      <c r="M24" s="1"/>
      <c r="N24" s="1"/>
      <c r="O24" s="1"/>
    </row>
    <row r="25" spans="1:15" x14ac:dyDescent="0.25">
      <c r="A25" s="15">
        <v>3</v>
      </c>
      <c r="B25" s="11"/>
      <c r="C25" s="11"/>
      <c r="D25" s="11"/>
      <c r="E25" s="11"/>
      <c r="F25" s="1"/>
      <c r="G25" s="1"/>
      <c r="H25" s="1"/>
      <c r="I25" s="1"/>
      <c r="J25" s="1"/>
      <c r="K25" s="1"/>
      <c r="L25" s="1"/>
      <c r="M25" s="1"/>
      <c r="N25" s="1"/>
      <c r="O25" s="1"/>
    </row>
    <row r="26" spans="1:15" x14ac:dyDescent="0.25">
      <c r="A26" s="19">
        <v>4</v>
      </c>
      <c r="B26" s="11"/>
      <c r="C26" s="11"/>
      <c r="D26" s="11"/>
      <c r="E26" s="11"/>
      <c r="F26" s="1"/>
      <c r="G26" s="1"/>
      <c r="H26" s="1"/>
      <c r="I26" s="1"/>
      <c r="J26" s="1"/>
      <c r="K26" s="1"/>
      <c r="L26" s="1"/>
      <c r="M26" s="1"/>
      <c r="N26" s="1"/>
      <c r="O26" s="1"/>
    </row>
    <row r="27" spans="1:15" x14ac:dyDescent="0.25">
      <c r="A27" s="15">
        <v>5</v>
      </c>
      <c r="B27" s="11"/>
      <c r="C27" s="11"/>
      <c r="D27" s="11"/>
      <c r="E27" s="11"/>
      <c r="F27" s="1"/>
      <c r="G27" s="1"/>
      <c r="H27" s="1"/>
      <c r="I27" s="1"/>
      <c r="J27" s="1"/>
      <c r="K27" s="1"/>
      <c r="L27" s="1"/>
      <c r="M27" s="1"/>
      <c r="N27" s="1"/>
      <c r="O27" s="1"/>
    </row>
    <row r="28" spans="1:15" x14ac:dyDescent="0.25">
      <c r="A28" s="19">
        <v>6</v>
      </c>
      <c r="B28" s="11"/>
      <c r="C28" s="11"/>
      <c r="D28" s="11"/>
      <c r="E28" s="11"/>
      <c r="F28" s="1"/>
      <c r="G28" s="1"/>
      <c r="H28" s="1"/>
      <c r="I28" s="1"/>
      <c r="J28" s="1"/>
      <c r="K28" s="1"/>
      <c r="L28" s="1"/>
      <c r="M28" s="1"/>
      <c r="N28" s="1"/>
      <c r="O28" s="1"/>
    </row>
    <row r="29" spans="1:15" x14ac:dyDescent="0.25">
      <c r="A29" s="15">
        <v>7</v>
      </c>
      <c r="B29" s="11"/>
      <c r="C29" s="11"/>
      <c r="D29" s="11"/>
      <c r="E29" s="11"/>
      <c r="F29" s="1"/>
      <c r="G29" s="1"/>
      <c r="H29" s="1"/>
      <c r="I29" s="1"/>
      <c r="J29" s="1"/>
      <c r="K29" s="1"/>
      <c r="L29" s="1"/>
      <c r="M29" s="1"/>
      <c r="N29" s="1"/>
      <c r="O29" s="1"/>
    </row>
    <row r="30" spans="1:15" x14ac:dyDescent="0.25">
      <c r="A30" s="19">
        <v>8</v>
      </c>
      <c r="B30" s="11"/>
      <c r="C30" s="11"/>
      <c r="D30" s="11"/>
      <c r="E30" s="11"/>
      <c r="F30" s="1"/>
      <c r="G30" s="1"/>
      <c r="H30" s="1"/>
      <c r="I30" s="1"/>
      <c r="J30" s="1"/>
      <c r="K30" s="1"/>
      <c r="L30" s="1"/>
      <c r="M30" s="1"/>
      <c r="N30" s="1"/>
      <c r="O30" s="1"/>
    </row>
    <row r="31" spans="1:15" x14ac:dyDescent="0.25">
      <c r="A31" s="15">
        <v>9</v>
      </c>
      <c r="B31" s="11"/>
      <c r="C31" s="11"/>
      <c r="D31" s="11"/>
      <c r="E31" s="11"/>
      <c r="F31" s="1"/>
      <c r="G31" s="1"/>
      <c r="H31" s="1"/>
      <c r="I31" s="1"/>
      <c r="J31" s="1"/>
      <c r="K31" s="1"/>
      <c r="L31" s="1"/>
      <c r="M31" s="1"/>
      <c r="N31" s="1"/>
      <c r="O31" s="1"/>
    </row>
    <row r="32" spans="1:15" x14ac:dyDescent="0.25">
      <c r="A32" s="19">
        <v>10</v>
      </c>
      <c r="B32" s="11"/>
      <c r="C32" s="11"/>
      <c r="D32" s="11"/>
      <c r="E32" s="11"/>
      <c r="F32" s="1"/>
      <c r="G32" s="1"/>
      <c r="H32" s="1"/>
      <c r="I32" s="1"/>
      <c r="J32" s="1"/>
      <c r="K32" s="1"/>
      <c r="L32" s="1"/>
      <c r="M32" s="1"/>
      <c r="N32" s="1"/>
      <c r="O32" s="1"/>
    </row>
    <row r="33" spans="1:15" x14ac:dyDescent="0.25">
      <c r="A33" s="15">
        <v>11</v>
      </c>
      <c r="B33" s="11"/>
      <c r="C33" s="11"/>
      <c r="D33" s="11"/>
      <c r="E33" s="11"/>
      <c r="F33" s="1"/>
      <c r="G33" s="1"/>
      <c r="H33" s="1"/>
      <c r="I33" s="1"/>
      <c r="J33" s="1"/>
      <c r="K33" s="1"/>
      <c r="L33" s="1"/>
      <c r="M33" s="1"/>
      <c r="N33" s="1"/>
      <c r="O33" s="1"/>
    </row>
    <row r="34" spans="1:15" x14ac:dyDescent="0.25">
      <c r="A34" s="19">
        <v>12</v>
      </c>
      <c r="B34" s="11"/>
      <c r="C34" s="11"/>
      <c r="D34" s="11"/>
      <c r="E34" s="11"/>
      <c r="F34" s="1"/>
      <c r="G34" s="1"/>
      <c r="H34" s="1"/>
      <c r="I34" s="1"/>
      <c r="J34" s="1"/>
      <c r="K34" s="1"/>
      <c r="L34" s="1"/>
      <c r="M34" s="1"/>
      <c r="N34" s="1"/>
      <c r="O34" s="1"/>
    </row>
    <row r="35" spans="1:15" x14ac:dyDescent="0.25">
      <c r="A35" s="1"/>
      <c r="B35" s="162"/>
      <c r="C35" s="162"/>
      <c r="D35" s="162"/>
      <c r="E35" s="162"/>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182" t="s">
        <v>13</v>
      </c>
      <c r="C38" s="182"/>
      <c r="D38" s="1"/>
      <c r="E38" s="1"/>
      <c r="F38" s="1"/>
      <c r="G38" s="1"/>
      <c r="H38" s="1"/>
      <c r="I38" s="1"/>
      <c r="J38" s="1"/>
      <c r="K38" s="1"/>
      <c r="L38" s="182" t="s">
        <v>31</v>
      </c>
      <c r="M38" s="182"/>
      <c r="N38" s="1"/>
      <c r="O38" s="1"/>
    </row>
    <row r="39" spans="1:15" x14ac:dyDescent="0.25">
      <c r="A39" s="1"/>
      <c r="B39" s="1"/>
      <c r="C39" s="1"/>
      <c r="D39" s="1"/>
      <c r="E39" s="1"/>
      <c r="F39" s="1"/>
      <c r="G39" s="1"/>
      <c r="H39" s="1"/>
      <c r="I39" s="1"/>
      <c r="J39" s="1"/>
      <c r="K39" s="1"/>
      <c r="L39" s="1"/>
      <c r="M39" s="1"/>
      <c r="N39" s="1"/>
      <c r="O39" s="1"/>
    </row>
    <row r="40" spans="1:15" x14ac:dyDescent="0.25">
      <c r="A40" s="183" t="s">
        <v>10</v>
      </c>
      <c r="B40" s="183"/>
      <c r="C40" s="184"/>
      <c r="D40" s="184"/>
      <c r="E40" s="184"/>
      <c r="F40" s="185"/>
      <c r="G40" s="1"/>
      <c r="H40" s="1"/>
      <c r="I40" s="1"/>
      <c r="J40" s="1"/>
      <c r="K40" s="183" t="s">
        <v>27</v>
      </c>
      <c r="L40" s="183"/>
      <c r="M40" s="183"/>
      <c r="N40" s="183"/>
      <c r="O40" s="183"/>
    </row>
    <row r="41" spans="1:15" ht="45" x14ac:dyDescent="0.25">
      <c r="A41" s="183"/>
      <c r="B41" s="183"/>
      <c r="C41" s="3" t="s">
        <v>16</v>
      </c>
      <c r="D41" s="20" t="s">
        <v>18</v>
      </c>
      <c r="E41" s="20" t="s">
        <v>25</v>
      </c>
      <c r="F41" s="20" t="s">
        <v>26</v>
      </c>
      <c r="G41" s="1"/>
      <c r="H41" s="1"/>
      <c r="I41" s="1"/>
      <c r="J41" s="1"/>
      <c r="K41" s="186"/>
      <c r="L41" s="186"/>
      <c r="M41" s="3" t="s">
        <v>33</v>
      </c>
      <c r="N41" s="3" t="s">
        <v>35</v>
      </c>
      <c r="O41" s="3" t="s">
        <v>36</v>
      </c>
    </row>
    <row r="42" spans="1:15" x14ac:dyDescent="0.25">
      <c r="A42" s="179" t="str">
        <f>CONCATENATE("Sonde ", B23)</f>
        <v xml:space="preserve">Sonde </v>
      </c>
      <c r="B42" s="180"/>
      <c r="C42" s="10"/>
      <c r="D42" s="10"/>
      <c r="E42" s="10"/>
      <c r="F42" s="10"/>
      <c r="G42" s="1"/>
      <c r="H42" s="1"/>
      <c r="I42" s="1"/>
      <c r="J42" s="1"/>
      <c r="K42" s="187" t="s">
        <v>28</v>
      </c>
      <c r="L42" s="188"/>
      <c r="M42" s="10"/>
      <c r="N42" s="10"/>
      <c r="O42" s="10"/>
    </row>
    <row r="43" spans="1:15" x14ac:dyDescent="0.25">
      <c r="A43" s="179" t="str">
        <f t="shared" ref="A43:A53" si="0">"Sonde " &amp; B24</f>
        <v xml:space="preserve">Sonde </v>
      </c>
      <c r="B43" s="180"/>
      <c r="C43" s="10"/>
      <c r="D43" s="10"/>
      <c r="E43" s="10"/>
      <c r="F43" s="10"/>
      <c r="G43" s="1"/>
      <c r="H43" s="1"/>
      <c r="I43" s="1"/>
      <c r="J43" s="1"/>
      <c r="K43" s="1"/>
      <c r="L43" s="1"/>
      <c r="M43" s="1"/>
      <c r="N43" s="1"/>
      <c r="O43" s="1"/>
    </row>
    <row r="44" spans="1:15" x14ac:dyDescent="0.25">
      <c r="A44" s="179" t="str">
        <f>"Sonde " &amp; B25</f>
        <v xml:space="preserve">Sonde </v>
      </c>
      <c r="B44" s="180"/>
      <c r="C44" s="10"/>
      <c r="D44" s="10"/>
      <c r="E44" s="10"/>
      <c r="F44" s="10"/>
      <c r="G44" s="1"/>
      <c r="H44" s="1"/>
      <c r="I44" s="1"/>
      <c r="J44" s="1"/>
      <c r="K44" s="1"/>
      <c r="L44" s="1"/>
      <c r="M44" s="1"/>
      <c r="N44" s="1"/>
      <c r="O44" s="1"/>
    </row>
    <row r="45" spans="1:15" x14ac:dyDescent="0.25">
      <c r="A45" s="179" t="str">
        <f t="shared" si="0"/>
        <v xml:space="preserve">Sonde </v>
      </c>
      <c r="B45" s="180"/>
      <c r="C45" s="10"/>
      <c r="D45" s="10"/>
      <c r="E45" s="10"/>
      <c r="F45" s="10"/>
      <c r="G45" s="1"/>
      <c r="H45" s="1"/>
      <c r="I45" s="1"/>
      <c r="J45" s="1"/>
      <c r="K45" s="1"/>
      <c r="L45" s="1"/>
      <c r="M45" s="1"/>
      <c r="N45" s="1"/>
      <c r="O45" s="1"/>
    </row>
    <row r="46" spans="1:15" ht="26.25" x14ac:dyDescent="0.25">
      <c r="A46" s="179" t="str">
        <f t="shared" si="0"/>
        <v xml:space="preserve">Sonde </v>
      </c>
      <c r="B46" s="180"/>
      <c r="C46" s="10"/>
      <c r="D46" s="10"/>
      <c r="E46" s="10"/>
      <c r="F46" s="10"/>
      <c r="G46" s="1"/>
      <c r="H46" s="1"/>
      <c r="I46" s="1"/>
      <c r="J46" s="1"/>
      <c r="K46" s="1"/>
      <c r="L46" s="182" t="s">
        <v>32</v>
      </c>
      <c r="M46" s="182"/>
      <c r="N46" s="1"/>
      <c r="O46" s="1"/>
    </row>
    <row r="47" spans="1:15" ht="45" x14ac:dyDescent="0.25">
      <c r="A47" s="179" t="str">
        <f t="shared" si="0"/>
        <v xml:space="preserve">Sonde </v>
      </c>
      <c r="B47" s="180"/>
      <c r="C47" s="10"/>
      <c r="D47" s="10"/>
      <c r="E47" s="10"/>
      <c r="F47" s="10"/>
      <c r="G47" s="1"/>
      <c r="H47" s="1"/>
      <c r="I47" s="1"/>
      <c r="J47" s="1"/>
      <c r="K47" s="1"/>
      <c r="L47" s="1"/>
      <c r="M47" s="21" t="s">
        <v>34</v>
      </c>
      <c r="N47" s="1"/>
      <c r="O47" s="1"/>
    </row>
    <row r="48" spans="1:15" x14ac:dyDescent="0.25">
      <c r="A48" s="179" t="str">
        <f t="shared" si="0"/>
        <v xml:space="preserve">Sonde </v>
      </c>
      <c r="B48" s="180"/>
      <c r="C48" s="10"/>
      <c r="D48" s="10"/>
      <c r="E48" s="10"/>
      <c r="F48" s="10"/>
      <c r="G48" s="1"/>
      <c r="H48" s="1"/>
      <c r="I48" s="1"/>
      <c r="J48" s="1"/>
      <c r="K48" s="181" t="s">
        <v>29</v>
      </c>
      <c r="L48" s="181"/>
      <c r="M48" s="10"/>
      <c r="N48" s="1"/>
      <c r="O48" s="1"/>
    </row>
    <row r="49" spans="1:15" x14ac:dyDescent="0.25">
      <c r="A49" s="179" t="str">
        <f t="shared" si="0"/>
        <v xml:space="preserve">Sonde </v>
      </c>
      <c r="B49" s="180"/>
      <c r="C49" s="10"/>
      <c r="D49" s="10"/>
      <c r="E49" s="10"/>
      <c r="F49" s="10"/>
      <c r="G49" s="1"/>
      <c r="H49" s="1"/>
      <c r="I49" s="1"/>
      <c r="J49" s="1"/>
      <c r="K49" s="181" t="s">
        <v>30</v>
      </c>
      <c r="L49" s="181"/>
      <c r="M49" s="10"/>
      <c r="N49" s="1"/>
      <c r="O49" s="1"/>
    </row>
    <row r="50" spans="1:15" x14ac:dyDescent="0.25">
      <c r="A50" s="179" t="str">
        <f t="shared" si="0"/>
        <v xml:space="preserve">Sonde </v>
      </c>
      <c r="B50" s="180"/>
      <c r="C50" s="10"/>
      <c r="D50" s="10"/>
      <c r="E50" s="10"/>
      <c r="F50" s="10"/>
      <c r="G50" s="1"/>
      <c r="H50" s="1"/>
      <c r="I50" s="1"/>
      <c r="J50" s="1"/>
      <c r="K50" s="181" t="s">
        <v>31</v>
      </c>
      <c r="L50" s="181"/>
      <c r="M50" s="10"/>
      <c r="N50" s="1"/>
      <c r="O50" s="1"/>
    </row>
    <row r="51" spans="1:15" x14ac:dyDescent="0.25">
      <c r="A51" s="179" t="str">
        <f t="shared" si="0"/>
        <v xml:space="preserve">Sonde </v>
      </c>
      <c r="B51" s="180"/>
      <c r="C51" s="10"/>
      <c r="D51" s="10"/>
      <c r="E51" s="10"/>
      <c r="F51" s="10"/>
      <c r="G51" s="1"/>
      <c r="H51" s="1"/>
      <c r="I51" s="1"/>
      <c r="J51" s="1"/>
      <c r="K51" s="1"/>
      <c r="L51" s="1"/>
      <c r="M51" s="1"/>
      <c r="N51" s="1"/>
      <c r="O51" s="1"/>
    </row>
    <row r="52" spans="1:15" x14ac:dyDescent="0.25">
      <c r="A52" s="179" t="str">
        <f t="shared" si="0"/>
        <v xml:space="preserve">Sonde </v>
      </c>
      <c r="B52" s="180"/>
      <c r="C52" s="10"/>
      <c r="D52" s="10"/>
      <c r="E52" s="10"/>
      <c r="F52" s="10"/>
      <c r="G52" s="1"/>
      <c r="H52" s="1"/>
      <c r="I52" s="1"/>
      <c r="J52" s="1"/>
      <c r="K52" s="1"/>
      <c r="L52" s="1"/>
      <c r="M52" s="1"/>
      <c r="N52" s="1"/>
      <c r="O52" s="1"/>
    </row>
    <row r="53" spans="1:15" x14ac:dyDescent="0.25">
      <c r="A53" s="179" t="str">
        <f t="shared" si="0"/>
        <v xml:space="preserve">Sonde </v>
      </c>
      <c r="B53" s="180"/>
      <c r="C53" s="10"/>
      <c r="D53" s="10"/>
      <c r="E53" s="10"/>
      <c r="F53" s="10"/>
      <c r="G53" s="1"/>
      <c r="H53" s="1"/>
      <c r="I53" s="1"/>
      <c r="J53" s="1"/>
      <c r="K53" s="1"/>
      <c r="L53" s="1"/>
      <c r="M53" s="1"/>
      <c r="N53" s="1"/>
      <c r="O53" s="1"/>
    </row>
  </sheetData>
  <sheetProtection algorithmName="SHA-512" hashValue="buGR7PDFbfKN2sGZT4Wz5cDhS+9e7sNeNzy5ZVIinQsIwhgBlcEqLbcwpeSuW6MZdjAegVTQUL7HzaOTyDQXBw==" saltValue="4d8lAuv8LjlIVsn8Q8Z9sw==" spinCount="100000" sheet="1" objects="1" scenarios="1" autoFilter="0"/>
  <protectedRanges>
    <protectedRange sqref="C10" name="Donnees controleur_8"/>
  </protectedRanges>
  <mergeCells count="36">
    <mergeCell ref="A14:B14"/>
    <mergeCell ref="B2:K3"/>
    <mergeCell ref="A5:C5"/>
    <mergeCell ref="A7:B7"/>
    <mergeCell ref="E7:F7"/>
    <mergeCell ref="A8:B8"/>
    <mergeCell ref="E8:F8"/>
    <mergeCell ref="A10:B10"/>
    <mergeCell ref="E10:F10"/>
    <mergeCell ref="A11:B11"/>
    <mergeCell ref="E11:F11"/>
    <mergeCell ref="E12:F12"/>
    <mergeCell ref="A46:B46"/>
    <mergeCell ref="L46:M46"/>
    <mergeCell ref="A15:B15"/>
    <mergeCell ref="B38:C38"/>
    <mergeCell ref="L38:M38"/>
    <mergeCell ref="A40:F40"/>
    <mergeCell ref="K40:O40"/>
    <mergeCell ref="A41:B41"/>
    <mergeCell ref="K41:L41"/>
    <mergeCell ref="A42:B42"/>
    <mergeCell ref="K42:L42"/>
    <mergeCell ref="A43:B43"/>
    <mergeCell ref="A44:B44"/>
    <mergeCell ref="A45:B45"/>
    <mergeCell ref="K48:L48"/>
    <mergeCell ref="A49:B49"/>
    <mergeCell ref="K49:L49"/>
    <mergeCell ref="A50:B50"/>
    <mergeCell ref="K50:L50"/>
    <mergeCell ref="A51:B51"/>
    <mergeCell ref="A52:B52"/>
    <mergeCell ref="A53:B53"/>
    <mergeCell ref="A47:B47"/>
    <mergeCell ref="A48:B48"/>
  </mergeCells>
  <conditionalFormatting sqref="A1:O53">
    <cfRule type="expression" dxfId="52" priority="1">
      <formula>AND(NOT(CELL("protege", A1)), A1="")</formula>
    </cfRule>
  </conditionalFormatting>
  <dataValidations disablePrompts="1" count="3">
    <dataValidation type="list" showErrorMessage="1" promptTitle="Périodicité" prompt="Veuillez choisir" sqref="C15" xr:uid="{281236F4-D248-4C76-B8CF-13F98E53320A}">
      <formula1>" ,Annuelle,Trimestrielle,Mensuelle"</formula1>
    </dataValidation>
    <dataValidation type="list" showInputMessage="1" showErrorMessage="1" sqref="D16:D17" xr:uid="{142C8FB2-7426-4351-8774-C88B6624DBDF}">
      <formula1>$C$15:$C$17</formula1>
    </dataValidation>
    <dataValidation type="list" allowBlank="1" showInputMessage="1" showErrorMessage="1" sqref="C10" xr:uid="{57573DB8-0398-4CEC-BD8E-E6237B56B594}">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alisation_TUS_Congel">
                <anchor moveWithCells="1" sizeWithCells="1">
                  <from>
                    <xdr:col>8</xdr:col>
                    <xdr:colOff>428625</xdr:colOff>
                    <xdr:row>5</xdr:row>
                    <xdr:rowOff>95250</xdr:rowOff>
                  </from>
                  <to>
                    <xdr:col>12</xdr:col>
                    <xdr:colOff>904875</xdr:colOff>
                    <xdr:row>12</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1"/>
  <sheetViews>
    <sheetView workbookViewId="0">
      <selection activeCell="B4" sqref="B4"/>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37</v>
      </c>
      <c r="B1" t="s">
        <v>38</v>
      </c>
      <c r="C1" t="s">
        <v>39</v>
      </c>
      <c r="D1" t="s">
        <v>40</v>
      </c>
      <c r="E1" t="s">
        <v>41</v>
      </c>
      <c r="F1" t="s">
        <v>42</v>
      </c>
      <c r="G1" t="s">
        <v>43</v>
      </c>
      <c r="H1" t="s">
        <v>44</v>
      </c>
      <c r="I1" t="s">
        <v>45</v>
      </c>
      <c r="J1" t="s">
        <v>46</v>
      </c>
      <c r="K1" t="s">
        <v>47</v>
      </c>
      <c r="L1" t="s">
        <v>48</v>
      </c>
      <c r="M1" t="s">
        <v>49</v>
      </c>
    </row>
  </sheetData>
  <sheetProtection algorithmName="SHA-512" hashValue="tx3niMfJrO2HdHvJ8DuQKwGu+oI7JNhE1St9vWBnepNdRcfvVU6zlgOhMYajH4ih495uV/X0BaVvcoC8B4G3Jw==" saltValue="e03x7/EERiMWFY9UEemH3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C997-D30E-4AA8-B9BA-F56A87517468}">
  <sheetPr codeName="Feuil6">
    <tabColor theme="8" tint="0.39997558519241921"/>
  </sheetPr>
  <dimension ref="A1:S25"/>
  <sheetViews>
    <sheetView workbookViewId="0">
      <selection activeCell="C5" sqref="C5"/>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191" t="str">
        <f>"-30°C"</f>
        <v>-30°C</v>
      </c>
      <c r="B1" s="191"/>
      <c r="C1" s="191"/>
      <c r="D1" s="191"/>
      <c r="E1" s="191"/>
      <c r="F1" s="191"/>
      <c r="G1" s="191"/>
      <c r="H1" s="191"/>
      <c r="I1" s="191"/>
      <c r="J1" s="191"/>
      <c r="K1" s="191"/>
      <c r="L1" s="191"/>
      <c r="M1" s="191"/>
      <c r="N1" s="191"/>
      <c r="O1" s="191"/>
      <c r="P1" s="191"/>
      <c r="Q1" s="191"/>
      <c r="R1" s="191"/>
      <c r="S1" s="191"/>
    </row>
    <row r="2" spans="1:19" s="27" customFormat="1" x14ac:dyDescent="0.25">
      <c r="A2" s="191"/>
      <c r="B2" s="191"/>
      <c r="C2" s="191"/>
      <c r="D2" s="191"/>
      <c r="E2" s="191"/>
      <c r="F2" s="191"/>
      <c r="G2" s="191"/>
      <c r="H2" s="191"/>
      <c r="I2" s="191"/>
      <c r="J2" s="191"/>
      <c r="K2" s="191"/>
      <c r="L2" s="191"/>
      <c r="M2" s="191"/>
      <c r="N2" s="191"/>
      <c r="O2" s="191"/>
      <c r="P2" s="191"/>
      <c r="Q2" s="191"/>
      <c r="R2" s="191"/>
      <c r="S2" s="191"/>
    </row>
    <row r="3" spans="1:19" s="27" customFormat="1" x14ac:dyDescent="0.25">
      <c r="A3" s="191"/>
      <c r="B3" s="191"/>
      <c r="C3" s="191"/>
      <c r="D3" s="191"/>
      <c r="E3" s="191"/>
      <c r="F3" s="191"/>
      <c r="G3" s="191"/>
      <c r="H3" s="191"/>
      <c r="I3" s="191"/>
      <c r="J3" s="191"/>
      <c r="K3" s="191"/>
      <c r="L3" s="191"/>
      <c r="M3" s="191"/>
      <c r="N3" s="191"/>
      <c r="O3" s="191"/>
      <c r="P3" s="191"/>
      <c r="Q3" s="191"/>
      <c r="R3" s="191"/>
      <c r="S3" s="191"/>
    </row>
    <row r="4" spans="1:19" s="27" customFormat="1" x14ac:dyDescent="0.25">
      <c r="P4" s="33"/>
    </row>
    <row r="5" spans="1:19" s="27" customFormat="1" x14ac:dyDescent="0.25">
      <c r="B5" s="34" t="s">
        <v>24</v>
      </c>
      <c r="C5" s="35" t="e">
        <f>_xlfn.XLOOKUP(INT(SUBSTITUTE(C14,"Connecteur ","")),Mesures_Congel!C23:C34,Mesures_Congel!D23:D34)</f>
        <v>#N/A</v>
      </c>
      <c r="D5" s="35" t="e">
        <f>_xlfn.XLOOKUP(INT(SUBSTITUTE(D14,"Connecteur ","")),Mesures_Congel!C23:C34,Mesures_Congel!D23:D34)</f>
        <v>#N/A</v>
      </c>
      <c r="E5" s="35" t="e">
        <f>_xlfn.XLOOKUP(INT(SUBSTITUTE(E14,"Connecteur ","")),Mesures_Congel!C23:C34,Mesures_Congel!D23:D34)</f>
        <v>#N/A</v>
      </c>
      <c r="F5" s="35" t="e">
        <f>_xlfn.XLOOKUP(INT(SUBSTITUTE(F14,"Connecteur ","")),Mesures_Congel!C23:C34,Mesures_Congel!D23:D34)</f>
        <v>#N/A</v>
      </c>
      <c r="G5" s="35" t="e">
        <f>_xlfn.XLOOKUP(INT(SUBSTITUTE(G14,"Connecteur ","")),Mesures_Congel!C23:C34,Mesures_Congel!D23:D34)</f>
        <v>#N/A</v>
      </c>
      <c r="H5" s="35" t="e">
        <f>_xlfn.XLOOKUP(INT(SUBSTITUTE(H14,"Connecteur ","")),Mesures_Congel!C23:C34,Mesures_Congel!D23:D34)</f>
        <v>#N/A</v>
      </c>
      <c r="I5" s="35" t="e">
        <f>_xlfn.XLOOKUP(INT(SUBSTITUTE(I14,"Connecteur ","")),Mesures_Congel!C23:C34,Mesures_Congel!D23:D34)</f>
        <v>#N/A</v>
      </c>
      <c r="J5" s="35" t="e">
        <f>_xlfn.XLOOKUP(INT(SUBSTITUTE(J14,"Connecteur ","")),Mesures_Congel!C23:C34,Mesures_Congel!D23:D34)</f>
        <v>#N/A</v>
      </c>
      <c r="K5" s="35" t="e">
        <f>_xlfn.XLOOKUP(INT(SUBSTITUTE(K14,"Connecteur ","")),Mesures_Congel!C23:C34,Mesures_Congel!D23:D34)</f>
        <v>#N/A</v>
      </c>
      <c r="L5" s="35" t="e">
        <f>_xlfn.XLOOKUP(INT(SUBSTITUTE(L14,"Connecteur ","")),Mesures_Congel!C23:C34,Mesures_Congel!D23:D34)</f>
        <v>#N/A</v>
      </c>
      <c r="M5" s="35" t="e">
        <f>_xlfn.XLOOKUP(INT(SUBSTITUTE(M14,"Connecteur ","")),Mesures_Congel!C23:C34,Mesures_Congel!D23:D34)</f>
        <v>#N/A</v>
      </c>
      <c r="N5" s="35" t="e">
        <f>_xlfn.XLOOKUP(INT(SUBSTITUTE(N14,"Connecteur ","")),Mesures_Congel!C23:C34,Mesures_Congel!D23:D34)</f>
        <v>#N/A</v>
      </c>
      <c r="P5" s="33"/>
    </row>
    <row r="6" spans="1:19" s="27" customFormat="1" x14ac:dyDescent="0.25">
      <c r="B6" s="34" t="s">
        <v>94</v>
      </c>
      <c r="C6" s="35" t="e">
        <f>_xlfn.XLOOKUP(INT(SUBSTITUTE(C14,"Connecteur ","")),Mesures_Congel!C23:C34,Mesures_Congel!E23:E34)</f>
        <v>#N/A</v>
      </c>
      <c r="D6" s="35" t="e">
        <f>_xlfn.XLOOKUP(INT(SUBSTITUTE(D14,"Connecteur ","")),Mesures_Congel!C23:C34,Mesures_Congel!E23:E34)</f>
        <v>#N/A</v>
      </c>
      <c r="E6" s="35" t="e">
        <f>_xlfn.XLOOKUP(INT(SUBSTITUTE(E14,"Connecteur ","")),Mesures_Congel!C23:C34,Mesures_Congel!E23:E34)</f>
        <v>#N/A</v>
      </c>
      <c r="F6" s="35" t="e">
        <f>_xlfn.XLOOKUP(INT(SUBSTITUTE(F14,"Connecteur ","")),Mesures_Congel!C23:C34,Mesures_Congel!E23:E34)</f>
        <v>#N/A</v>
      </c>
      <c r="G6" s="35" t="e">
        <f>_xlfn.XLOOKUP(INT(SUBSTITUTE(G14,"Connecteur ","")),Mesures_Congel!C23:C34,Mesures_Congel!E23:E34)</f>
        <v>#N/A</v>
      </c>
      <c r="H6" s="35" t="e">
        <f>_xlfn.XLOOKUP(INT(SUBSTITUTE(H14,"Connecteur ","")),Mesures_Congel!C23:C34,Mesures_Congel!E23:E34)</f>
        <v>#N/A</v>
      </c>
      <c r="I6" s="35" t="e">
        <f>_xlfn.XLOOKUP(INT(SUBSTITUTE(I14,"Connecteur ","")),Mesures_Congel!C23:C34,Mesures_Congel!E23:E34)</f>
        <v>#N/A</v>
      </c>
      <c r="J6" s="35" t="e">
        <f>_xlfn.XLOOKUP(INT(SUBSTITUTE(J14,"Connecteur ","")),Mesures_Congel!C23:C34,Mesures_Congel!E23:E34)</f>
        <v>#N/A</v>
      </c>
      <c r="K6" s="35" t="e">
        <f>_xlfn.XLOOKUP(INT(SUBSTITUTE(K14,"Connecteur ","")),Mesures_Congel!C23:C34,Mesures_Congel!E23:E34)</f>
        <v>#N/A</v>
      </c>
      <c r="L6" s="35" t="e">
        <f>_xlfn.XLOOKUP(INT(SUBSTITUTE(L14,"Connecteur ","")),Mesures_Congel!C23:C34,Mesures_Congel!E23:E34)</f>
        <v>#N/A</v>
      </c>
      <c r="M6" s="35" t="e">
        <f>_xlfn.XLOOKUP(INT(SUBSTITUTE(M14,"Connecteur ","")),Mesures_Congel!C23:C34,Mesures_Congel!E23:E34)</f>
        <v>#N/A</v>
      </c>
      <c r="N6" s="35" t="e">
        <f>_xlfn.XLOOKUP(INT(SUBSTITUTE(N14,"Connecteur ","")),Mesures_Congel!C23:C34,Mesures_Congel!E23:E34)</f>
        <v>#N/A</v>
      </c>
      <c r="P6" s="33"/>
    </row>
    <row r="7" spans="1:19" s="27" customFormat="1" x14ac:dyDescent="0.25">
      <c r="P7" s="33"/>
    </row>
    <row r="8" spans="1:19" s="27" customFormat="1" x14ac:dyDescent="0.25">
      <c r="P8" s="33"/>
    </row>
    <row r="9" spans="1:19" s="27" customFormat="1" x14ac:dyDescent="0.25">
      <c r="A9" s="192" t="s">
        <v>95</v>
      </c>
      <c r="B9" s="192"/>
      <c r="C9" s="192"/>
      <c r="D9" s="192"/>
      <c r="E9" s="192"/>
      <c r="F9" s="192"/>
      <c r="G9" s="192"/>
      <c r="H9" s="192"/>
      <c r="I9" s="192"/>
      <c r="J9" s="192"/>
      <c r="K9" s="192"/>
      <c r="L9" s="192"/>
      <c r="M9" s="192"/>
      <c r="N9" s="192"/>
      <c r="P9" s="33"/>
    </row>
    <row r="10" spans="1:19" s="27" customFormat="1" ht="15" customHeight="1" x14ac:dyDescent="0.25">
      <c r="A10" s="33"/>
      <c r="B10" s="34" t="str" cm="1">
        <f t="array" ref="B10:N10">Valeurs_Brutes[#Headers]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4" t="s">
        <v>96</v>
      </c>
      <c r="B11" s="37" cm="1">
        <f t="array" ref="B11">Valeurs_Brutes[Date/Heure]</f>
        <v>0</v>
      </c>
      <c r="C11" s="38" cm="1">
        <f t="array" ref="C11:N11">Valeurs_Brutes[[Connecteur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3" t="s">
        <v>96</v>
      </c>
      <c r="B12" s="39"/>
      <c r="C12" s="40"/>
      <c r="D12" s="40"/>
      <c r="E12" s="40"/>
      <c r="F12" s="40"/>
      <c r="G12" s="40"/>
      <c r="H12" s="40"/>
      <c r="I12" s="40"/>
      <c r="J12" s="40"/>
      <c r="K12" s="40"/>
      <c r="L12" s="40"/>
      <c r="M12" s="40"/>
      <c r="N12" s="40"/>
      <c r="P12" s="33"/>
    </row>
    <row r="13" spans="1:19" s="193"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97</v>
      </c>
      <c r="C15" s="43" t="e" cm="1">
        <f t="array" ref="C15">MAX(Valeurs_Brutes[Connecteur 1]+'Congel_-30°C'!C5+'Congel_-30°C'!C6)</f>
        <v>#N/A</v>
      </c>
      <c r="D15" s="43" t="e" cm="1">
        <f t="array" ref="D15">MAX(Valeurs_Brutes[Connecteur 2]+'Congel_-30°C'!D5+'Congel_-30°C'!D6)</f>
        <v>#N/A</v>
      </c>
      <c r="E15" s="43" t="e" cm="1">
        <f t="array" ref="E15">MAX(Valeurs_Brutes[Connecteur 3]+'Congel_-30°C'!E5+'Congel_-30°C'!E6)</f>
        <v>#N/A</v>
      </c>
      <c r="F15" s="43" t="e" cm="1">
        <f t="array" ref="F15">MAX(Valeurs_Brutes[Connecteur 4]+'Congel_-30°C'!F5+'Congel_-30°C'!F6)</f>
        <v>#N/A</v>
      </c>
      <c r="G15" s="43" t="e" cm="1">
        <f t="array" ref="G15">MAX(Valeurs_Brutes[Connecteur 5]+'Congel_-30°C'!G5+'Congel_-30°C'!G6)</f>
        <v>#N/A</v>
      </c>
      <c r="H15" s="43" t="e" cm="1">
        <f t="array" ref="H15">MAX(Valeurs_Brutes[Connecteur 6]+'Congel_-30°C'!H5+'Congel_-30°C'!H6)</f>
        <v>#N/A</v>
      </c>
      <c r="I15" s="43" t="e" cm="1">
        <f t="array" ref="I15">MAX(Valeurs_Brutes[Connecteur 7]+'Congel_-30°C'!I5+'Congel_-30°C'!I6)</f>
        <v>#N/A</v>
      </c>
      <c r="J15" s="43" t="e" cm="1">
        <f t="array" ref="J15">MAX(Valeurs_Brutes[Connecteur 8]+'Congel_-30°C'!J5+'Congel_-30°C'!J6)</f>
        <v>#N/A</v>
      </c>
      <c r="K15" s="43" t="e" cm="1">
        <f t="array" ref="K15">MAX(Valeurs_Brutes[Connecteur 9]+'Congel_-30°C'!K5+'Congel_-30°C'!K6)</f>
        <v>#N/A</v>
      </c>
      <c r="L15" s="43" t="e" cm="1">
        <f t="array" ref="L15">MAX(Valeurs_Brutes[Connecteur 10]+'Congel_-30°C'!L5+'Congel_-30°C'!L6)</f>
        <v>#N/A</v>
      </c>
      <c r="M15" s="43" t="e" cm="1">
        <f t="array" ref="M15">MAX(Valeurs_Brutes[Connecteur 11]+'Congel_-30°C'!M5+'Congel_-30°C'!M6)</f>
        <v>#N/A</v>
      </c>
      <c r="N15" s="43" t="e" cm="1">
        <f t="array" ref="N15">MAX(Valeurs_Brutes[Connecteur 12]+'Congel_-30°C'!N5+'Congel_-30°C'!N6)</f>
        <v>#N/A</v>
      </c>
      <c r="O15" s="48">
        <f>R15+Mesures_Congel!B20</f>
        <v>-30</v>
      </c>
      <c r="P15" s="33"/>
      <c r="Q15" s="36" t="s">
        <v>7</v>
      </c>
      <c r="R15" s="35">
        <v>-30</v>
      </c>
    </row>
    <row r="16" spans="1:19" s="27" customFormat="1" x14ac:dyDescent="0.25">
      <c r="B16" s="42" t="s">
        <v>98</v>
      </c>
      <c r="C16" s="43" t="e">
        <f ca="1">MAX(OFFSET(INDEX(Valeurs_Brutes[Connecteur 1],1),COUNT(Valeurs_Brutes[Connecteur 1])-30,0,30))+C5+C6</f>
        <v>#REF!</v>
      </c>
      <c r="D16" s="43" t="e">
        <f ca="1">MAX(OFFSET(INDEX(Valeurs_Brutes[Connecteur 2],1),COUNT(Valeurs_Brutes[Connecteur 2])-30,0,30))+D5+D6</f>
        <v>#REF!</v>
      </c>
      <c r="E16" s="43" t="e">
        <f ca="1">MAX(OFFSET(INDEX(Valeurs_Brutes[Connecteur 3],1),COUNT(Valeurs_Brutes[Connecteur 3])-30,0,30))+E5+E6</f>
        <v>#REF!</v>
      </c>
      <c r="F16" s="43" t="e">
        <f ca="1">MAX(OFFSET(INDEX(Valeurs_Brutes[Connecteur 4],1),COUNT(Valeurs_Brutes[Connecteur 4])-30,0,30))+F5+F6</f>
        <v>#REF!</v>
      </c>
      <c r="G16" s="43" t="e">
        <f ca="1">MAX(OFFSET(INDEX(Valeurs_Brutes[Connecteur 5],1),COUNT(Valeurs_Brutes[Connecteur 5])-30,0,30))+G5+G6</f>
        <v>#REF!</v>
      </c>
      <c r="H16" s="43" t="e">
        <f ca="1">MAX(OFFSET(INDEX(Valeurs_Brutes[Connecteur 6],1),COUNT(Valeurs_Brutes[Connecteur 6])-30,0,30))+H5+H6</f>
        <v>#REF!</v>
      </c>
      <c r="I16" s="43" t="e">
        <f ca="1">MAX(OFFSET(INDEX(Valeurs_Brutes[Connecteur 7],1),COUNT(Valeurs_Brutes[Connecteur 7])-30,0,30))+I5+I6</f>
        <v>#REF!</v>
      </c>
      <c r="J16" s="43" t="e">
        <f ca="1">MAX(OFFSET(INDEX(Valeurs_Brutes[Connecteur 8],1),COUNT(Valeurs_Brutes[Connecteur 8])-30,0,30))+J5+J6</f>
        <v>#REF!</v>
      </c>
      <c r="K16" s="43" t="e">
        <f ca="1">MAX(OFFSET(INDEX(Valeurs_Brutes[Connecteur 9],1),COUNT(Valeurs_Brutes[Connecteur 9])-30,0,30))+K5+K6</f>
        <v>#REF!</v>
      </c>
      <c r="L16" s="43" t="e">
        <f ca="1">MAX(OFFSET(INDEX(Valeurs_Brutes[Connecteur 10],1),COUNT(Valeurs_Brutes[Connecteur 10])-30,0,30))+L5+L6</f>
        <v>#REF!</v>
      </c>
      <c r="M16" s="43" t="e">
        <f ca="1">MAX(OFFSET(INDEX(Valeurs_Brutes[Connecteur 11],1),COUNT(Valeurs_Brutes[Connecteur 11])-30,0,30))+M5+M6</f>
        <v>#REF!</v>
      </c>
      <c r="N16" s="43" t="e">
        <f ca="1">MAX(OFFSET(INDEX(Valeurs_Brutes[Connecteur 12],1),COUNT(Valeurs_Brutes[Connecteur 12])-30,0,30))+N5+N6</f>
        <v>#REF!</v>
      </c>
      <c r="O16" s="48">
        <f>R15+Mesures_Congel!B20</f>
        <v>-30</v>
      </c>
      <c r="P16" s="33"/>
      <c r="Q16" s="36" t="s">
        <v>99</v>
      </c>
      <c r="R16" s="35" t="str">
        <f>"+" &amp; Mesures_Congel!B20 &amp; "°C"</f>
        <v>+°C</v>
      </c>
    </row>
    <row r="17" spans="2:18" s="27" customFormat="1" x14ac:dyDescent="0.25">
      <c r="B17" s="42" t="s">
        <v>100</v>
      </c>
      <c r="C17" s="43" t="e">
        <f ca="1">MIN(OFFSET(INDEX(Valeurs_Brutes[Connecteur 1],1),COUNT(Valeurs_Brutes[Connecteur 1])-30,0,30))+C5+C6</f>
        <v>#REF!</v>
      </c>
      <c r="D17" s="43" t="e">
        <f ca="1">MIN(OFFSET(INDEX(Valeurs_Brutes[Connecteur 2],1),COUNT(Valeurs_Brutes[Connecteur 2])-30,0,30))+D5+D6</f>
        <v>#REF!</v>
      </c>
      <c r="E17" s="43" t="e">
        <f ca="1">MIN(OFFSET(INDEX(Valeurs_Brutes[Connecteur 3],1),COUNT(Valeurs_Brutes[Connecteur 3])-30,0,30))+E5+E6</f>
        <v>#REF!</v>
      </c>
      <c r="F17" s="43" t="e">
        <f ca="1">MIN(OFFSET(INDEX(Valeurs_Brutes[Connecteur 4],1),COUNT(Valeurs_Brutes[Connecteur 4])-30,0,30))+F5+F6</f>
        <v>#REF!</v>
      </c>
      <c r="G17" s="43" t="e">
        <f ca="1">MIN(OFFSET(INDEX(Valeurs_Brutes[Connecteur 5],1),COUNT(Valeurs_Brutes[Connecteur 5])-30,0,30))+G5+G6</f>
        <v>#REF!</v>
      </c>
      <c r="H17" s="43" t="e">
        <f ca="1">MIN(OFFSET(INDEX(Valeurs_Brutes[Connecteur 6],1),COUNT(Valeurs_Brutes[Connecteur 6])-30,0,30))+H5+H6</f>
        <v>#REF!</v>
      </c>
      <c r="I17" s="43" t="e">
        <f ca="1">MIN(OFFSET(INDEX(Valeurs_Brutes[Connecteur 7],1),COUNT(Valeurs_Brutes[Connecteur 7])-30,0,30))+I5+I6</f>
        <v>#REF!</v>
      </c>
      <c r="J17" s="43" t="e">
        <f ca="1">MIN(OFFSET(INDEX(Valeurs_Brutes[Connecteur 8],1),COUNT(Valeurs_Brutes[Connecteur 8])-30,0,30))+J5+J6</f>
        <v>#REF!</v>
      </c>
      <c r="K17" s="43" t="e">
        <f ca="1">MIN(OFFSET(INDEX(Valeurs_Brutes[Connecteur 9],1),COUNT(Valeurs_Brutes[Connecteur 9])-30,0,30))+K5+K6</f>
        <v>#REF!</v>
      </c>
      <c r="L17" s="43" t="e">
        <f ca="1">MIN(OFFSET(INDEX(Valeurs_Brutes[Connecteur 10],1),COUNT(Valeurs_Brutes[Connecteur 10])-30,0,30))+L5+L6</f>
        <v>#REF!</v>
      </c>
      <c r="M17" s="43" t="e">
        <f ca="1">MIN(OFFSET(INDEX(Valeurs_Brutes[Connecteur 11],1),COUNT(Valeurs_Brutes[Connecteur 11])-30,0,30))+M5+M6</f>
        <v>#REF!</v>
      </c>
      <c r="N17" s="43" t="e">
        <f ca="1">MIN(OFFSET(INDEX(Valeurs_Brutes[Connecteur 12],1),COUNT(Valeurs_Brutes[Connecteur 12])-30,0,30))+N5+N6</f>
        <v>#REF!</v>
      </c>
      <c r="O17" s="48">
        <f>R15 - Mesures_Congel!B20</f>
        <v>-30</v>
      </c>
      <c r="P17" s="33"/>
      <c r="Q17" s="36" t="s">
        <v>101</v>
      </c>
      <c r="R17" s="35" t="str">
        <f>"-" &amp; Mesures_Congel!B20 &amp; "°C"</f>
        <v>-°C</v>
      </c>
    </row>
    <row r="18" spans="2:18" s="27" customFormat="1" x14ac:dyDescent="0.25">
      <c r="B18" s="42" t="s">
        <v>102</v>
      </c>
      <c r="C18" s="43" t="e">
        <f ca="1">AVERAGE(OFFSET(INDEX(Valeurs_Brutes[Connecteur 1],1),COUNT(Valeurs_Brutes[Connecteur 1])-30,0,30))+C5+C6</f>
        <v>#REF!</v>
      </c>
      <c r="D18" s="43" t="e">
        <f ca="1">AVERAGE(OFFSET(INDEX(Valeurs_Brutes[Connecteur 2],1),COUNT(Valeurs_Brutes[Connecteur 2])-30,0,30))+D5+D6</f>
        <v>#REF!</v>
      </c>
      <c r="E18" s="43" t="e">
        <f ca="1">AVERAGE(OFFSET(INDEX(Valeurs_Brutes[Connecteur 3],1),COUNT(Valeurs_Brutes[Connecteur 3])-30,0,30))+E5+E6</f>
        <v>#REF!</v>
      </c>
      <c r="F18" s="43" t="e">
        <f ca="1">AVERAGE(OFFSET(INDEX(Valeurs_Brutes[Connecteur 4],1),COUNT(Valeurs_Brutes[Connecteur 4])-30,0,30))+F5+F6</f>
        <v>#REF!</v>
      </c>
      <c r="G18" s="43" t="e">
        <f ca="1">AVERAGE(OFFSET(INDEX(Valeurs_Brutes[Connecteur 5],1),COUNT(Valeurs_Brutes[Connecteur 5])-30,0,30))+G5+G6</f>
        <v>#REF!</v>
      </c>
      <c r="H18" s="43" t="e">
        <f ca="1">AVERAGE(OFFSET(INDEX(Valeurs_Brutes[Connecteur 6],1),COUNT(Valeurs_Brutes[Connecteur 6])-30,0,30))+H5+H6</f>
        <v>#REF!</v>
      </c>
      <c r="I18" s="43" t="e">
        <f ca="1">AVERAGE(OFFSET(INDEX(Valeurs_Brutes[Connecteur 7],1),COUNT(Valeurs_Brutes[Connecteur 7])-30,0,30))+I5+I6</f>
        <v>#REF!</v>
      </c>
      <c r="J18" s="43" t="e">
        <f ca="1">AVERAGE(OFFSET(INDEX(Valeurs_Brutes[Connecteur 8],1),COUNT(Valeurs_Brutes[Connecteur 8])-30,0,30))+J5+J6</f>
        <v>#REF!</v>
      </c>
      <c r="K18" s="43" t="e">
        <f ca="1">AVERAGE(OFFSET(INDEX(Valeurs_Brutes[Connecteur 9],1),COUNT(Valeurs_Brutes[Connecteur 9])-30,0,30))+K5+K6</f>
        <v>#REF!</v>
      </c>
      <c r="L18" s="43" t="e">
        <f ca="1">AVERAGE(OFFSET(INDEX(Valeurs_Brutes[Connecteur 10],1),COUNT(Valeurs_Brutes[Connecteur 10])-30,0,30))+L5+L6</f>
        <v>#REF!</v>
      </c>
      <c r="M18" s="43" t="e">
        <f ca="1">AVERAGE(OFFSET(INDEX(Valeurs_Brutes[Connecteur 11],1),COUNT(Valeurs_Brutes[Connecteur 11])-30,0,30))+M5+M6</f>
        <v>#REF!</v>
      </c>
      <c r="N18" s="43" t="e">
        <f ca="1">AVERAGE(OFFSET(INDEX(Valeurs_Brutes[Connecteur 12],1),COUNT(Valeurs_Brutes[Connecteur 12])-30,0,30))+N5+N6</f>
        <v>#REF!</v>
      </c>
      <c r="O18" s="44"/>
      <c r="P18" s="33"/>
    </row>
    <row r="19" spans="2:18" s="27" customFormat="1" x14ac:dyDescent="0.25">
      <c r="B19" s="42" t="s">
        <v>103</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104</v>
      </c>
      <c r="C20" s="194" t="e">
        <f ca="1">ABS(MAX(C16:N16)- MIN(C17:N17))</f>
        <v>#REF!</v>
      </c>
      <c r="D20" s="194"/>
      <c r="E20" s="194"/>
      <c r="F20" s="194"/>
      <c r="G20" s="194"/>
      <c r="H20" s="194"/>
      <c r="I20" s="194"/>
      <c r="J20" s="194"/>
      <c r="K20" s="194"/>
      <c r="L20" s="194"/>
      <c r="M20" s="194"/>
      <c r="N20" s="194"/>
      <c r="O20" s="194"/>
      <c r="P20" s="33"/>
    </row>
    <row r="21" spans="2:18" s="27" customFormat="1" x14ac:dyDescent="0.25">
      <c r="B21" s="42" t="s">
        <v>105</v>
      </c>
      <c r="C21" s="194" t="e">
        <f ca="1">AVERAGE(C18:N18)</f>
        <v>#REF!</v>
      </c>
      <c r="D21" s="194"/>
      <c r="E21" s="194"/>
      <c r="F21" s="194"/>
      <c r="G21" s="194"/>
      <c r="H21" s="194"/>
      <c r="I21" s="194"/>
      <c r="J21" s="194"/>
      <c r="K21" s="194"/>
      <c r="L21" s="194"/>
      <c r="M21" s="194"/>
      <c r="N21" s="194"/>
      <c r="O21" s="194"/>
      <c r="P21" s="33"/>
    </row>
    <row r="22" spans="2:18" s="27" customFormat="1" x14ac:dyDescent="0.25">
      <c r="B22" s="36" t="s">
        <v>106</v>
      </c>
      <c r="C22" s="46" t="e">
        <f ca="1">STDEV(OFFSET(INDEX(Valeurs_Brutes[Connecteur 1],1),COUNT(Valeurs_Brutes[Connecteur 1])-30,0,30))+C5+C6</f>
        <v>#REF!</v>
      </c>
      <c r="D22" s="46" t="e">
        <f ca="1">STDEV(OFFSET(INDEX(Valeurs_Brutes[Connecteur 2],1),COUNT(Valeurs_Brutes[Connecteur 2])-30,0,30))+D5+D6</f>
        <v>#REF!</v>
      </c>
      <c r="E22" s="46" t="e">
        <f ca="1">STDEV(OFFSET(INDEX(Valeurs_Brutes[Connecteur 3],1),COUNT(Valeurs_Brutes[Connecteur 3])-30,0,30))+E5+E6</f>
        <v>#REF!</v>
      </c>
      <c r="F22" s="46" t="e">
        <f ca="1">STDEV(OFFSET(INDEX(Valeurs_Brutes[Connecteur 4],1),COUNT(Valeurs_Brutes[Connecteur 4])-30,0,30))+F5+F6</f>
        <v>#REF!</v>
      </c>
      <c r="G22" s="46" t="e">
        <f ca="1">STDEV(OFFSET(INDEX(Valeurs_Brutes[Connecteur 5],1),COUNT(Valeurs_Brutes[Connecteur 5])-30,0,30))+G5+G6</f>
        <v>#REF!</v>
      </c>
      <c r="H22" s="46" t="e">
        <f ca="1">STDEV(OFFSET(INDEX(Valeurs_Brutes[Connecteur 6],1),COUNT(Valeurs_Brutes[Connecteur 6])-30,0,30))+H5+H6</f>
        <v>#REF!</v>
      </c>
      <c r="I22" s="46" t="e">
        <f ca="1">STDEV(OFFSET(INDEX(Valeurs_Brutes[Connecteur 7],1),COUNT(Valeurs_Brutes[Connecteur 7])-30,0,30))+I5+I6</f>
        <v>#REF!</v>
      </c>
      <c r="J22" s="46" t="e">
        <f ca="1">STDEV(OFFSET(INDEX(Valeurs_Brutes[Connecteur 8],1),COUNT(Valeurs_Brutes[Connecteur 8])-30,0,30))+J5+J6</f>
        <v>#REF!</v>
      </c>
      <c r="K22" s="46" t="e">
        <f ca="1">STDEV(OFFSET(INDEX(Valeurs_Brutes[Connecteur 9],1),COUNT(Valeurs_Brutes[Connecteur 9])-30,0,30))+K5+K6</f>
        <v>#REF!</v>
      </c>
      <c r="L22" s="46" t="e">
        <f ca="1">STDEV(OFFSET(INDEX(Valeurs_Brutes[Connecteur 10],1),COUNT(Valeurs_Brutes[Connecteur 10])-30,0,30))+L5+L6</f>
        <v>#REF!</v>
      </c>
      <c r="M22" s="46" t="e">
        <f ca="1">STDEV(OFFSET(INDEX(Valeurs_Brutes[Connecteur 11],1),COUNT(Valeurs_Brutes[Connecteur 11])-30,0,30))+M5+M6</f>
        <v>#REF!</v>
      </c>
      <c r="N22" s="46" t="e">
        <f ca="1">STDEV(OFFSET(INDEX(Valeurs_Brutes[Connecteur 12],1),COUNT(Valeurs_Brutes[Connecteur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JDATkula8ogZ3PM7IS/ual4cgP5a8uj9QNWqWb+G45sF3iHesIyK9sL/3IoZ/no0emIiCTzRghExqBom+ZvFgw==" saltValue="lHS5fSktscgGy4kxamB2gA==" spinCount="100000" sheet="1" objects="1" scenarios="1" autoFilter="0"/>
  <mergeCells count="5">
    <mergeCell ref="A1:S3"/>
    <mergeCell ref="A9:N9"/>
    <mergeCell ref="A13:XFD13"/>
    <mergeCell ref="C20:O20"/>
    <mergeCell ref="C21:O21"/>
  </mergeCells>
  <conditionalFormatting sqref="C15:N15">
    <cfRule type="cellIs" dxfId="51" priority="3" operator="greaterThan">
      <formula>$O$15</formula>
    </cfRule>
  </conditionalFormatting>
  <conditionalFormatting sqref="C16:N16">
    <cfRule type="cellIs" dxfId="50" priority="2" operator="greaterThan">
      <formula>$O$16</formula>
    </cfRule>
  </conditionalFormatting>
  <conditionalFormatting sqref="C17:N17">
    <cfRule type="cellIs" dxfId="49" priority="1" operator="lessThan">
      <formula>$O$17</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8"/>
  <sheetViews>
    <sheetView view="pageLayout" topLeftCell="A253" zoomScale="70" zoomScaleNormal="60" zoomScaleSheetLayoutView="77" zoomScalePageLayoutView="70" workbookViewId="0">
      <selection activeCell="B4" sqref="B4"/>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144</v>
      </c>
      <c r="C5" s="88"/>
      <c r="D5" s="88"/>
      <c r="E5" s="88"/>
      <c r="F5" s="88"/>
      <c r="G5" s="88"/>
      <c r="H5" s="88"/>
      <c r="I5" s="89"/>
    </row>
    <row r="10" spans="2:9" ht="21" x14ac:dyDescent="0.25">
      <c r="C10" s="196" t="s">
        <v>145</v>
      </c>
      <c r="D10" s="196"/>
      <c r="E10" s="197">
        <f>Mesures_Congel!D5</f>
        <v>0</v>
      </c>
      <c r="F10" s="197"/>
    </row>
    <row r="11" spans="2:9" ht="21" x14ac:dyDescent="0.25">
      <c r="C11" s="90"/>
      <c r="D11" s="90"/>
      <c r="E11" s="91"/>
      <c r="F11" s="91"/>
    </row>
    <row r="12" spans="2:9" x14ac:dyDescent="0.25">
      <c r="C12" s="92" t="s">
        <v>1</v>
      </c>
      <c r="D12" s="93">
        <f>Mesures_Congel!C7</f>
        <v>0</v>
      </c>
      <c r="F12" s="92" t="s">
        <v>19</v>
      </c>
      <c r="G12" s="93">
        <f>Mesures_Congel!G7</f>
        <v>0</v>
      </c>
    </row>
    <row r="13" spans="2:9" ht="15.75" x14ac:dyDescent="0.25">
      <c r="C13" s="94" t="s">
        <v>2</v>
      </c>
      <c r="D13" s="95">
        <f>Mesures_Congel!C8</f>
        <v>0</v>
      </c>
      <c r="F13" s="96" t="s">
        <v>20</v>
      </c>
      <c r="G13" s="95">
        <f>Mesures_Congel!G8</f>
        <v>0</v>
      </c>
    </row>
    <row r="14" spans="2:9" ht="15.75" x14ac:dyDescent="0.25">
      <c r="C14" s="97"/>
      <c r="D14" s="98"/>
      <c r="G14" s="99"/>
    </row>
    <row r="15" spans="2:9" ht="15.75" x14ac:dyDescent="0.25">
      <c r="C15" s="100" t="s">
        <v>146</v>
      </c>
      <c r="D15" s="101">
        <f>Mesures_Congel!C14</f>
        <v>0</v>
      </c>
      <c r="F15" s="92" t="s">
        <v>147</v>
      </c>
      <c r="G15" s="102">
        <f>Mesures_Congel!C15</f>
        <v>0</v>
      </c>
    </row>
    <row r="16" spans="2:9" ht="15.75" x14ac:dyDescent="0.25">
      <c r="C16" s="100" t="s">
        <v>148</v>
      </c>
      <c r="D16" s="103">
        <f>Mesures_Congel!G11</f>
        <v>9</v>
      </c>
      <c r="F16" s="92" t="s">
        <v>149</v>
      </c>
      <c r="G16" s="102">
        <f>Mesures_Congel!G12</f>
        <v>0</v>
      </c>
    </row>
    <row r="17" spans="1:9" ht="15.75" x14ac:dyDescent="0.25">
      <c r="C17" s="97"/>
      <c r="D17" s="98"/>
      <c r="F17" s="97"/>
      <c r="G17" s="27"/>
    </row>
    <row r="18" spans="1:9" ht="15.75" x14ac:dyDescent="0.25">
      <c r="C18" s="100" t="s">
        <v>150</v>
      </c>
      <c r="D18" s="140">
        <f>Mesures_Congel!C11</f>
        <v>0</v>
      </c>
      <c r="F18" s="92" t="s">
        <v>151</v>
      </c>
      <c r="G18" s="141">
        <f>Mesures_Congel!G10</f>
        <v>0</v>
      </c>
    </row>
    <row r="19" spans="1:9" ht="15.75" x14ac:dyDescent="0.25">
      <c r="C19" s="94" t="s">
        <v>152</v>
      </c>
      <c r="D19" s="101">
        <f>Mesures_Congel!C10</f>
        <v>0</v>
      </c>
    </row>
    <row r="20" spans="1:9" ht="15.75" x14ac:dyDescent="0.25">
      <c r="C20" s="97"/>
      <c r="D20" s="98"/>
    </row>
    <row r="21" spans="1:9" ht="15.75" x14ac:dyDescent="0.25">
      <c r="C21" s="97"/>
      <c r="D21" s="98"/>
    </row>
    <row r="28" spans="1:9" ht="36" x14ac:dyDescent="0.55000000000000004">
      <c r="A28" s="198" t="s">
        <v>153</v>
      </c>
      <c r="B28" s="198"/>
    </row>
    <row r="30" spans="1:9" x14ac:dyDescent="0.25">
      <c r="A30" s="199" t="s">
        <v>154</v>
      </c>
      <c r="B30" s="199"/>
      <c r="C30" s="199"/>
      <c r="D30" s="199"/>
      <c r="E30" s="199"/>
      <c r="F30" s="199"/>
      <c r="G30" s="199"/>
      <c r="H30" s="199"/>
      <c r="I30" s="199"/>
    </row>
    <row r="31" spans="1:9" x14ac:dyDescent="0.25">
      <c r="A31" s="199"/>
      <c r="B31" s="199"/>
      <c r="C31" s="199"/>
      <c r="D31" s="199"/>
      <c r="E31" s="199"/>
      <c r="F31" s="199"/>
      <c r="G31" s="199"/>
      <c r="H31" s="199"/>
      <c r="I31" s="199"/>
    </row>
    <row r="32" spans="1:9" x14ac:dyDescent="0.25">
      <c r="A32" s="199"/>
      <c r="B32" s="199"/>
      <c r="C32" s="199"/>
      <c r="D32" s="199"/>
      <c r="E32" s="199"/>
      <c r="F32" s="199"/>
      <c r="G32" s="199"/>
      <c r="H32" s="199"/>
      <c r="I32" s="199"/>
    </row>
    <row r="33" spans="1:9" x14ac:dyDescent="0.25">
      <c r="A33" s="199"/>
      <c r="B33" s="199"/>
      <c r="C33" s="199"/>
      <c r="D33" s="199"/>
      <c r="E33" s="199"/>
      <c r="F33" s="199"/>
      <c r="G33" s="199"/>
      <c r="H33" s="199"/>
      <c r="I33" s="199"/>
    </row>
    <row r="34" spans="1:9" x14ac:dyDescent="0.25">
      <c r="A34" s="199"/>
      <c r="B34" s="199"/>
      <c r="C34" s="199"/>
      <c r="D34" s="199"/>
      <c r="E34" s="199"/>
      <c r="F34" s="199"/>
      <c r="G34" s="199"/>
      <c r="H34" s="199"/>
      <c r="I34" s="199"/>
    </row>
    <row r="35" spans="1:9" x14ac:dyDescent="0.25">
      <c r="A35" s="199"/>
      <c r="B35" s="199"/>
      <c r="C35" s="199"/>
      <c r="D35" s="199"/>
      <c r="E35" s="199"/>
      <c r="F35" s="199"/>
      <c r="G35" s="199"/>
      <c r="H35" s="199"/>
      <c r="I35" s="199"/>
    </row>
    <row r="36" spans="1:9" x14ac:dyDescent="0.25">
      <c r="A36" s="199"/>
      <c r="B36" s="199"/>
      <c r="C36" s="199"/>
      <c r="D36" s="199"/>
      <c r="E36" s="199"/>
      <c r="F36" s="199"/>
      <c r="G36" s="199"/>
      <c r="H36" s="199"/>
      <c r="I36" s="199"/>
    </row>
    <row r="37" spans="1:9" x14ac:dyDescent="0.25">
      <c r="A37" s="199"/>
      <c r="B37" s="199"/>
      <c r="C37" s="199"/>
      <c r="D37" s="199"/>
      <c r="E37" s="199"/>
      <c r="F37" s="199"/>
      <c r="G37" s="199"/>
      <c r="H37" s="199"/>
      <c r="I37" s="199"/>
    </row>
    <row r="38" spans="1:9" x14ac:dyDescent="0.25">
      <c r="A38" s="199"/>
      <c r="B38" s="199"/>
      <c r="C38" s="199"/>
      <c r="D38" s="199"/>
      <c r="E38" s="199"/>
      <c r="F38" s="199"/>
      <c r="G38" s="199"/>
      <c r="H38" s="199"/>
      <c r="I38" s="199"/>
    </row>
    <row r="39" spans="1:9" x14ac:dyDescent="0.25">
      <c r="A39" s="199"/>
      <c r="B39" s="199"/>
      <c r="C39" s="199"/>
      <c r="D39" s="199"/>
      <c r="E39" s="199"/>
      <c r="F39" s="199"/>
      <c r="G39" s="199"/>
      <c r="H39" s="199"/>
      <c r="I39" s="199"/>
    </row>
    <row r="40" spans="1:9" x14ac:dyDescent="0.25">
      <c r="A40" s="199"/>
      <c r="B40" s="199"/>
      <c r="C40" s="199"/>
      <c r="D40" s="199"/>
      <c r="E40" s="199"/>
      <c r="F40" s="199"/>
      <c r="G40" s="199"/>
      <c r="H40" s="199"/>
      <c r="I40" s="199"/>
    </row>
    <row r="41" spans="1:9" x14ac:dyDescent="0.25">
      <c r="A41" s="199"/>
      <c r="B41" s="199"/>
      <c r="C41" s="199"/>
      <c r="D41" s="199"/>
      <c r="E41" s="199"/>
      <c r="F41" s="199"/>
      <c r="G41" s="199"/>
      <c r="H41" s="199"/>
      <c r="I41" s="199"/>
    </row>
    <row r="42" spans="1:9" x14ac:dyDescent="0.25">
      <c r="A42" s="199"/>
      <c r="B42" s="199"/>
      <c r="C42" s="199"/>
      <c r="D42" s="199"/>
      <c r="E42" s="199"/>
      <c r="F42" s="199"/>
      <c r="G42" s="199"/>
      <c r="H42" s="199"/>
      <c r="I42" s="199"/>
    </row>
    <row r="43" spans="1:9" x14ac:dyDescent="0.25">
      <c r="A43" s="199"/>
      <c r="B43" s="199"/>
      <c r="C43" s="199"/>
      <c r="D43" s="199"/>
      <c r="E43" s="199"/>
      <c r="F43" s="199"/>
      <c r="G43" s="199"/>
      <c r="H43" s="199"/>
      <c r="I43" s="199"/>
    </row>
    <row r="44" spans="1:9" x14ac:dyDescent="0.25">
      <c r="A44" s="199"/>
      <c r="B44" s="199"/>
      <c r="C44" s="199"/>
      <c r="D44" s="199"/>
      <c r="E44" s="199"/>
      <c r="F44" s="199"/>
      <c r="G44" s="199"/>
      <c r="H44" s="199"/>
      <c r="I44" s="199"/>
    </row>
    <row r="45" spans="1:9" x14ac:dyDescent="0.25">
      <c r="A45" s="199"/>
      <c r="B45" s="199"/>
      <c r="C45" s="199"/>
      <c r="D45" s="199"/>
      <c r="E45" s="199"/>
      <c r="F45" s="199"/>
      <c r="G45" s="199"/>
      <c r="H45" s="199"/>
      <c r="I45" s="199"/>
    </row>
    <row r="46" spans="1:9" x14ac:dyDescent="0.25">
      <c r="A46" s="199"/>
      <c r="B46" s="199"/>
      <c r="C46" s="199"/>
      <c r="D46" s="199"/>
      <c r="E46" s="199"/>
      <c r="F46" s="199"/>
      <c r="G46" s="199"/>
      <c r="H46" s="199"/>
      <c r="I46" s="199"/>
    </row>
    <row r="47" spans="1:9" x14ac:dyDescent="0.25">
      <c r="A47" s="199"/>
      <c r="B47" s="199"/>
      <c r="C47" s="199"/>
      <c r="D47" s="199"/>
      <c r="E47" s="199"/>
      <c r="F47" s="199"/>
      <c r="G47" s="199"/>
      <c r="H47" s="199"/>
      <c r="I47" s="199"/>
    </row>
    <row r="51" spans="2:8" ht="36" x14ac:dyDescent="0.25">
      <c r="C51" s="200" t="s">
        <v>155</v>
      </c>
      <c r="D51" s="200"/>
      <c r="E51" s="200"/>
      <c r="F51" s="200"/>
    </row>
    <row r="52" spans="2:8" ht="20.25" customHeight="1" x14ac:dyDescent="0.25">
      <c r="B52" s="105"/>
    </row>
    <row r="53" spans="2:8" ht="23.25" x14ac:dyDescent="0.25">
      <c r="B53" s="106" t="s">
        <v>156</v>
      </c>
    </row>
    <row r="55" spans="2:8" ht="21" x14ac:dyDescent="0.25">
      <c r="B55" s="107" t="s">
        <v>157</v>
      </c>
      <c r="E55" s="195" t="s">
        <v>158</v>
      </c>
      <c r="F55" s="195"/>
      <c r="G55" s="195"/>
      <c r="H55" s="108"/>
    </row>
    <row r="56" spans="2:8" ht="21" customHeight="1" x14ac:dyDescent="0.25">
      <c r="B56" s="107" t="s">
        <v>159</v>
      </c>
      <c r="E56" s="195" t="s">
        <v>160</v>
      </c>
      <c r="F56" s="195"/>
      <c r="G56" s="195"/>
      <c r="H56" s="195"/>
    </row>
    <row r="57" spans="2:8" ht="21" x14ac:dyDescent="0.25">
      <c r="B57" s="107" t="s">
        <v>161</v>
      </c>
      <c r="E57" s="195" t="s">
        <v>162</v>
      </c>
      <c r="F57" s="195"/>
      <c r="G57" s="108"/>
      <c r="H57" s="108"/>
    </row>
    <row r="59" spans="2:8" ht="23.25" x14ac:dyDescent="0.25">
      <c r="B59" s="106" t="s">
        <v>163</v>
      </c>
    </row>
    <row r="61" spans="2:8" ht="21" x14ac:dyDescent="0.25">
      <c r="B61" s="195" t="s">
        <v>164</v>
      </c>
      <c r="C61" s="195"/>
      <c r="D61" s="195"/>
      <c r="E61" s="195" t="s">
        <v>165</v>
      </c>
      <c r="F61" s="195"/>
      <c r="G61" s="195"/>
    </row>
    <row r="62" spans="2:8" ht="21" x14ac:dyDescent="0.25">
      <c r="B62" s="195" t="s">
        <v>166</v>
      </c>
      <c r="C62" s="195"/>
      <c r="D62" s="195"/>
    </row>
    <row r="64" spans="2:8" ht="21" x14ac:dyDescent="0.25">
      <c r="B64" s="107" t="s">
        <v>167</v>
      </c>
    </row>
    <row r="66" spans="1:10" ht="21" x14ac:dyDescent="0.25">
      <c r="B66" s="195" t="s">
        <v>168</v>
      </c>
      <c r="C66" s="195"/>
      <c r="D66" s="195"/>
      <c r="E66" s="195" t="s">
        <v>169</v>
      </c>
      <c r="F66" s="195"/>
      <c r="G66" s="195"/>
      <c r="H66" s="195"/>
      <c r="I66" s="195"/>
    </row>
    <row r="67" spans="1:10" ht="23.25" x14ac:dyDescent="0.25">
      <c r="B67" s="195" t="s">
        <v>170</v>
      </c>
      <c r="C67" s="195"/>
      <c r="D67" s="195"/>
      <c r="E67" s="195" t="s">
        <v>171</v>
      </c>
      <c r="F67" s="195"/>
      <c r="G67" s="195"/>
      <c r="H67" s="195"/>
      <c r="I67" s="195"/>
    </row>
    <row r="68" spans="1:10" ht="21" x14ac:dyDescent="0.25">
      <c r="B68" s="195" t="s">
        <v>172</v>
      </c>
      <c r="C68" s="195"/>
      <c r="D68" s="195"/>
      <c r="E68" s="195" t="s">
        <v>173</v>
      </c>
      <c r="F68" s="195"/>
      <c r="G68" s="195"/>
      <c r="H68" s="195"/>
      <c r="I68" s="195"/>
    </row>
    <row r="69" spans="1:10" ht="23.25" x14ac:dyDescent="0.25">
      <c r="B69" s="195" t="s">
        <v>174</v>
      </c>
      <c r="C69" s="195"/>
      <c r="D69" s="195"/>
      <c r="E69" s="195" t="s">
        <v>175</v>
      </c>
      <c r="F69" s="195"/>
      <c r="G69" s="195"/>
      <c r="H69" s="195"/>
      <c r="I69" s="108"/>
    </row>
    <row r="72" spans="1:10" ht="21" customHeight="1" x14ac:dyDescent="0.25">
      <c r="A72" s="201" t="s">
        <v>176</v>
      </c>
      <c r="B72" s="201"/>
      <c r="C72" s="201"/>
      <c r="D72" s="201"/>
      <c r="E72" s="201"/>
      <c r="F72" s="201"/>
      <c r="G72" s="201"/>
      <c r="H72" s="201"/>
      <c r="I72" s="201"/>
      <c r="J72" s="201"/>
    </row>
    <row r="73" spans="1:10" ht="21" customHeight="1" x14ac:dyDescent="0.25">
      <c r="A73" s="201"/>
      <c r="B73" s="201"/>
      <c r="C73" s="201"/>
      <c r="D73" s="201"/>
      <c r="E73" s="201"/>
      <c r="F73" s="201"/>
      <c r="G73" s="201"/>
      <c r="H73" s="201"/>
      <c r="I73" s="201"/>
      <c r="J73" s="201"/>
    </row>
    <row r="74" spans="1:10" ht="15" customHeight="1" x14ac:dyDescent="0.25">
      <c r="A74" s="201"/>
      <c r="B74" s="201"/>
      <c r="C74" s="201"/>
      <c r="D74" s="201"/>
      <c r="E74" s="201"/>
      <c r="F74" s="201"/>
      <c r="G74" s="201"/>
      <c r="H74" s="201"/>
      <c r="I74" s="201"/>
      <c r="J74" s="201"/>
    </row>
    <row r="75" spans="1:10" ht="15" customHeight="1" x14ac:dyDescent="0.25">
      <c r="A75" s="201"/>
      <c r="B75" s="201"/>
      <c r="C75" s="201"/>
      <c r="D75" s="201"/>
      <c r="E75" s="201"/>
      <c r="F75" s="201"/>
      <c r="G75" s="201"/>
      <c r="H75" s="201"/>
      <c r="I75" s="201"/>
      <c r="J75" s="201"/>
    </row>
    <row r="76" spans="1:10" x14ac:dyDescent="0.25">
      <c r="A76" s="201"/>
      <c r="B76" s="201"/>
      <c r="C76" s="201"/>
      <c r="D76" s="201"/>
      <c r="E76" s="201"/>
      <c r="F76" s="201"/>
      <c r="G76" s="201"/>
      <c r="H76" s="201"/>
      <c r="I76" s="201"/>
      <c r="J76" s="201"/>
    </row>
    <row r="77" spans="1:10" x14ac:dyDescent="0.25">
      <c r="A77" s="201"/>
      <c r="B77" s="201"/>
      <c r="C77" s="201"/>
      <c r="D77" s="201"/>
      <c r="E77" s="201"/>
      <c r="F77" s="201"/>
      <c r="G77" s="201"/>
      <c r="H77" s="201"/>
      <c r="I77" s="201"/>
      <c r="J77" s="201"/>
    </row>
    <row r="78" spans="1:10" x14ac:dyDescent="0.25">
      <c r="A78" s="201"/>
      <c r="B78" s="201"/>
      <c r="C78" s="201"/>
      <c r="D78" s="201"/>
      <c r="E78" s="201"/>
      <c r="F78" s="201"/>
      <c r="G78" s="201"/>
      <c r="H78" s="201"/>
      <c r="I78" s="201"/>
      <c r="J78" s="201"/>
    </row>
    <row r="79" spans="1:10" x14ac:dyDescent="0.25">
      <c r="A79" s="201"/>
      <c r="B79" s="201"/>
      <c r="C79" s="201"/>
      <c r="D79" s="201"/>
      <c r="E79" s="201"/>
      <c r="F79" s="201"/>
      <c r="G79" s="201"/>
      <c r="H79" s="201"/>
      <c r="I79" s="201"/>
      <c r="J79" s="201"/>
    </row>
    <row r="80" spans="1:10" x14ac:dyDescent="0.25">
      <c r="A80" s="201"/>
      <c r="B80" s="201"/>
      <c r="C80" s="201"/>
      <c r="D80" s="201"/>
      <c r="E80" s="201"/>
      <c r="F80" s="201"/>
      <c r="G80" s="201"/>
      <c r="H80" s="201"/>
      <c r="I80" s="201"/>
      <c r="J80" s="201"/>
    </row>
    <row r="81" spans="1:10" x14ac:dyDescent="0.25">
      <c r="A81" s="201"/>
      <c r="B81" s="201"/>
      <c r="C81" s="201"/>
      <c r="D81" s="201"/>
      <c r="E81" s="201"/>
      <c r="F81" s="201"/>
      <c r="G81" s="201"/>
      <c r="H81" s="201"/>
      <c r="I81" s="201"/>
      <c r="J81" s="201"/>
    </row>
    <row r="85" spans="1:10" ht="36" x14ac:dyDescent="0.25">
      <c r="C85" s="200" t="s">
        <v>177</v>
      </c>
      <c r="D85" s="200"/>
      <c r="E85" s="200"/>
      <c r="F85" s="200"/>
      <c r="G85" s="200"/>
    </row>
    <row r="87" spans="1:10" ht="26.25" x14ac:dyDescent="0.25">
      <c r="B87" s="109" t="s">
        <v>178</v>
      </c>
    </row>
    <row r="89" spans="1:10" ht="21" x14ac:dyDescent="0.25">
      <c r="B89" s="107" t="s">
        <v>179</v>
      </c>
      <c r="C89" s="107"/>
      <c r="E89" s="107"/>
      <c r="F89" s="107"/>
      <c r="G89" s="107"/>
      <c r="H89" s="108"/>
    </row>
    <row r="90" spans="1:10" ht="21" x14ac:dyDescent="0.25">
      <c r="B90" s="107" t="s">
        <v>180</v>
      </c>
      <c r="C90" s="107"/>
      <c r="E90" s="107"/>
      <c r="F90" s="107"/>
      <c r="G90" s="107"/>
      <c r="H90" s="108"/>
    </row>
    <row r="91" spans="1:10" ht="21" x14ac:dyDescent="0.25">
      <c r="B91" s="107" t="s">
        <v>181</v>
      </c>
      <c r="C91" s="107"/>
      <c r="E91" s="107"/>
      <c r="F91" s="107"/>
      <c r="G91" s="107"/>
      <c r="H91" s="108"/>
    </row>
    <row r="92" spans="1:10" ht="21" x14ac:dyDescent="0.25">
      <c r="B92" s="107" t="s">
        <v>182</v>
      </c>
      <c r="C92" s="107"/>
      <c r="E92" s="107"/>
      <c r="F92" s="107"/>
      <c r="G92" s="107"/>
      <c r="H92" s="108"/>
    </row>
    <row r="93" spans="1:10" ht="21" x14ac:dyDescent="0.25">
      <c r="B93" s="110"/>
      <c r="C93" s="110"/>
      <c r="E93" s="107"/>
      <c r="F93" s="107"/>
      <c r="G93" s="107"/>
      <c r="H93" s="108"/>
    </row>
    <row r="94" spans="1:10" ht="17.25" x14ac:dyDescent="0.25">
      <c r="A94" s="111"/>
      <c r="C94" s="202" t="s">
        <v>10</v>
      </c>
      <c r="D94" s="202"/>
      <c r="E94" s="202"/>
      <c r="F94" s="202"/>
      <c r="G94" s="202"/>
      <c r="H94" s="111"/>
      <c r="I94" s="111"/>
    </row>
    <row r="95" spans="1:10" ht="34.5" x14ac:dyDescent="0.25">
      <c r="A95" s="111"/>
      <c r="B95" s="111"/>
      <c r="C95" s="112"/>
      <c r="D95" s="112" t="s">
        <v>16</v>
      </c>
      <c r="E95" s="113" t="s">
        <v>18</v>
      </c>
      <c r="F95" s="113" t="s">
        <v>25</v>
      </c>
      <c r="G95" s="113" t="s">
        <v>26</v>
      </c>
      <c r="H95" s="114"/>
      <c r="I95" s="114"/>
    </row>
    <row r="96" spans="1:10" ht="17.25" x14ac:dyDescent="0.25">
      <c r="A96" s="111"/>
      <c r="B96" s="111"/>
      <c r="C96" s="112" t="str" cm="1">
        <f t="array" ref="C96:C107">Mesures_Congel!A42:A53</f>
        <v xml:space="preserve">Sonde </v>
      </c>
      <c r="D96" s="115" cm="1">
        <f t="array" ref="D96:G107">Mesures_Congel!C42:F53</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2" t="str">
        <v xml:space="preserve">Sonde </v>
      </c>
      <c r="D106" s="115">
        <v>0</v>
      </c>
      <c r="E106" s="115">
        <v>0</v>
      </c>
      <c r="F106" s="115">
        <v>0</v>
      </c>
      <c r="G106" s="115">
        <v>0</v>
      </c>
      <c r="H106" s="111"/>
      <c r="I106" s="111"/>
    </row>
    <row r="107" spans="1:9" ht="17.25" x14ac:dyDescent="0.25">
      <c r="A107" s="111"/>
      <c r="B107" s="111"/>
      <c r="C107" s="112" t="str">
        <v xml:space="preserve">Sonde </v>
      </c>
      <c r="D107" s="115">
        <v>0</v>
      </c>
      <c r="E107" s="115">
        <v>0</v>
      </c>
      <c r="F107" s="115">
        <v>0</v>
      </c>
      <c r="G107" s="115">
        <v>0</v>
      </c>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203" t="s">
        <v>183</v>
      </c>
      <c r="C116" s="203"/>
      <c r="D116" s="203"/>
      <c r="E116" s="203"/>
      <c r="F116" s="203"/>
    </row>
    <row r="118" spans="1:9" ht="26.25" x14ac:dyDescent="0.25">
      <c r="B118" s="109" t="s">
        <v>184</v>
      </c>
    </row>
    <row r="119" spans="1:9" ht="21" x14ac:dyDescent="0.3">
      <c r="E119" s="107" t="s">
        <v>185</v>
      </c>
      <c r="F119" s="107"/>
      <c r="G119" s="116">
        <f>Mesures_Congel!$M$42</f>
        <v>0</v>
      </c>
    </row>
    <row r="120" spans="1:9" ht="21" x14ac:dyDescent="0.3">
      <c r="B120" s="117" t="s">
        <v>186</v>
      </c>
      <c r="C120" s="107" t="s">
        <v>187</v>
      </c>
      <c r="E120" s="107" t="s">
        <v>188</v>
      </c>
      <c r="F120" s="107"/>
      <c r="G120" s="116">
        <f>Mesures_Congel!$N$42</f>
        <v>0</v>
      </c>
    </row>
    <row r="121" spans="1:9" ht="21" x14ac:dyDescent="0.25">
      <c r="B121" s="117" t="s">
        <v>189</v>
      </c>
      <c r="C121" s="110" t="s">
        <v>190</v>
      </c>
      <c r="E121" s="107" t="s">
        <v>191</v>
      </c>
      <c r="F121" s="107"/>
      <c r="G121" s="118">
        <f>Mesures_Congel!$O$42</f>
        <v>0</v>
      </c>
    </row>
    <row r="122" spans="1:9" ht="21" x14ac:dyDescent="0.35">
      <c r="B122" s="119" t="s">
        <v>192</v>
      </c>
      <c r="C122" s="120" t="s">
        <v>193</v>
      </c>
      <c r="E122" s="107" t="s">
        <v>194</v>
      </c>
      <c r="F122" s="107"/>
      <c r="G122" s="121" t="e">
        <f>"±" &amp;  SUBSTITUTE(ROUND(AVERAGE(Mesures_Congel!$D$23:$D$34),2),"-"," ") &amp; "°C"</f>
        <v>#DIV/0!</v>
      </c>
    </row>
    <row r="127" spans="1:9" ht="36" x14ac:dyDescent="0.25">
      <c r="C127" s="200" t="s">
        <v>195</v>
      </c>
      <c r="D127" s="200"/>
      <c r="E127" s="200"/>
      <c r="F127" s="200"/>
    </row>
    <row r="128" spans="1:9" ht="36" x14ac:dyDescent="0.25">
      <c r="B128" s="104"/>
      <c r="C128" s="104"/>
      <c r="D128" s="104"/>
    </row>
    <row r="129" spans="2:9" x14ac:dyDescent="0.25">
      <c r="B129" s="192"/>
      <c r="C129" s="192"/>
      <c r="D129" s="192"/>
      <c r="E129" s="192"/>
      <c r="F129" s="192"/>
      <c r="G129" s="192"/>
      <c r="H129" s="192"/>
      <c r="I129" s="192"/>
    </row>
    <row r="130" spans="2:9" x14ac:dyDescent="0.25">
      <c r="B130" s="192"/>
      <c r="C130" s="192"/>
      <c r="D130" s="192"/>
      <c r="E130" s="192"/>
      <c r="F130" s="192"/>
      <c r="G130" s="192"/>
      <c r="H130" s="192"/>
      <c r="I130" s="192"/>
    </row>
    <row r="131" spans="2:9" x14ac:dyDescent="0.25">
      <c r="B131" s="192"/>
      <c r="C131" s="192"/>
      <c r="D131" s="192"/>
      <c r="E131" s="192"/>
      <c r="F131" s="192"/>
      <c r="G131" s="192"/>
      <c r="H131" s="192"/>
      <c r="I131" s="192"/>
    </row>
    <row r="132" spans="2:9" x14ac:dyDescent="0.25">
      <c r="B132" s="192"/>
      <c r="C132" s="192"/>
      <c r="D132" s="192"/>
      <c r="E132" s="192"/>
      <c r="F132" s="192"/>
      <c r="G132" s="192"/>
      <c r="H132" s="192"/>
      <c r="I132" s="192"/>
    </row>
    <row r="133" spans="2:9" x14ac:dyDescent="0.25">
      <c r="B133" s="192"/>
      <c r="C133" s="192"/>
      <c r="D133" s="192"/>
      <c r="E133" s="192"/>
      <c r="F133" s="192"/>
      <c r="G133" s="192"/>
      <c r="H133" s="192"/>
      <c r="I133" s="192"/>
    </row>
    <row r="134" spans="2:9" x14ac:dyDescent="0.25">
      <c r="B134" s="192"/>
      <c r="C134" s="192"/>
      <c r="D134" s="192"/>
      <c r="E134" s="192"/>
      <c r="F134" s="192"/>
      <c r="G134" s="192"/>
      <c r="H134" s="192"/>
      <c r="I134" s="192"/>
    </row>
    <row r="135" spans="2:9" x14ac:dyDescent="0.25">
      <c r="B135" s="192"/>
      <c r="C135" s="192"/>
      <c r="D135" s="192"/>
      <c r="E135" s="192"/>
      <c r="F135" s="192"/>
      <c r="G135" s="192"/>
      <c r="H135" s="192"/>
      <c r="I135" s="192"/>
    </row>
    <row r="136" spans="2:9" x14ac:dyDescent="0.25">
      <c r="B136" s="192"/>
      <c r="C136" s="192"/>
      <c r="D136" s="192"/>
      <c r="E136" s="192"/>
      <c r="F136" s="192"/>
      <c r="G136" s="192"/>
      <c r="H136" s="192"/>
      <c r="I136" s="192"/>
    </row>
    <row r="137" spans="2:9" x14ac:dyDescent="0.25">
      <c r="B137" s="192"/>
      <c r="C137" s="192"/>
      <c r="D137" s="192"/>
      <c r="E137" s="192"/>
      <c r="F137" s="192"/>
      <c r="G137" s="192"/>
      <c r="H137" s="192"/>
      <c r="I137" s="192"/>
    </row>
    <row r="138" spans="2:9" x14ac:dyDescent="0.25">
      <c r="B138" s="192"/>
      <c r="C138" s="192"/>
      <c r="D138" s="192"/>
      <c r="E138" s="192"/>
      <c r="F138" s="192"/>
      <c r="G138" s="192"/>
      <c r="H138" s="192"/>
      <c r="I138" s="192"/>
    </row>
    <row r="139" spans="2:9" x14ac:dyDescent="0.25">
      <c r="B139" s="192"/>
      <c r="C139" s="192"/>
      <c r="D139" s="192"/>
      <c r="E139" s="192"/>
      <c r="F139" s="192"/>
      <c r="G139" s="192"/>
      <c r="H139" s="192"/>
      <c r="I139" s="192"/>
    </row>
    <row r="140" spans="2:9" x14ac:dyDescent="0.25">
      <c r="B140" s="192"/>
      <c r="C140" s="192"/>
      <c r="D140" s="192"/>
      <c r="E140" s="192"/>
      <c r="F140" s="192"/>
      <c r="G140" s="192"/>
      <c r="H140" s="192"/>
      <c r="I140" s="192"/>
    </row>
    <row r="141" spans="2:9" x14ac:dyDescent="0.25">
      <c r="B141" s="192"/>
      <c r="C141" s="192"/>
      <c r="D141" s="192"/>
      <c r="E141" s="192"/>
      <c r="F141" s="192"/>
      <c r="G141" s="192"/>
      <c r="H141" s="192"/>
      <c r="I141" s="192"/>
    </row>
    <row r="142" spans="2:9" x14ac:dyDescent="0.25">
      <c r="B142" s="192"/>
      <c r="C142" s="192"/>
      <c r="D142" s="192"/>
      <c r="E142" s="192"/>
      <c r="F142" s="192"/>
      <c r="G142" s="192"/>
      <c r="H142" s="192"/>
      <c r="I142" s="192"/>
    </row>
    <row r="143" spans="2:9" x14ac:dyDescent="0.25">
      <c r="B143" s="192"/>
      <c r="C143" s="192"/>
      <c r="D143" s="192"/>
      <c r="E143" s="192"/>
      <c r="F143" s="192"/>
      <c r="G143" s="192"/>
      <c r="H143" s="192"/>
      <c r="I143" s="192"/>
    </row>
    <row r="144" spans="2:9" x14ac:dyDescent="0.25">
      <c r="B144" s="192"/>
      <c r="C144" s="192"/>
      <c r="D144" s="192"/>
      <c r="E144" s="192"/>
      <c r="F144" s="192"/>
      <c r="G144" s="192"/>
      <c r="H144" s="192"/>
      <c r="I144" s="192"/>
    </row>
    <row r="163" spans="1:8" ht="36" x14ac:dyDescent="0.25">
      <c r="C163" s="200" t="s">
        <v>196</v>
      </c>
      <c r="D163" s="200"/>
      <c r="E163" s="200"/>
      <c r="F163" s="200"/>
      <c r="G163" s="200"/>
      <c r="H163" s="200"/>
    </row>
    <row r="167" spans="1:8" x14ac:dyDescent="0.25">
      <c r="A167" s="122" t="str" cm="1">
        <f t="array" ref="A167:C179">Mesures_Congel!A22:C34</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78" spans="1:3" x14ac:dyDescent="0.25">
      <c r="A178" s="122">
        <v>11</v>
      </c>
      <c r="B178" s="123">
        <v>0</v>
      </c>
      <c r="C178" s="124">
        <v>0</v>
      </c>
    </row>
    <row r="179" spans="1:3" x14ac:dyDescent="0.25">
      <c r="A179" s="122">
        <v>12</v>
      </c>
      <c r="B179" s="123">
        <v>0</v>
      </c>
      <c r="C179" s="124">
        <v>0</v>
      </c>
    </row>
    <row r="196" spans="1:9" ht="36" x14ac:dyDescent="0.25">
      <c r="C196" s="200" t="s">
        <v>197</v>
      </c>
      <c r="D196" s="200"/>
      <c r="E196" s="200"/>
      <c r="F196" s="200"/>
      <c r="G196" s="200"/>
      <c r="H196" s="200"/>
    </row>
    <row r="200" spans="1:9" x14ac:dyDescent="0.25">
      <c r="A200" s="122" t="str" cm="1">
        <f t="array" ref="A200:B201">Mesures_Congel!$A$19:$B$20</f>
        <v>Consignes</v>
      </c>
      <c r="B200" s="124">
        <v>-30</v>
      </c>
      <c r="G200" s="204" t="s">
        <v>198</v>
      </c>
      <c r="H200" s="205"/>
      <c r="I200" s="206"/>
    </row>
    <row r="201" spans="1:9" x14ac:dyDescent="0.25">
      <c r="A201" s="122" t="str">
        <v>Tolérances +/-</v>
      </c>
      <c r="B201" s="124">
        <v>0</v>
      </c>
      <c r="G201" s="22" t="s">
        <v>199</v>
      </c>
      <c r="H201" s="22" t="s">
        <v>200</v>
      </c>
      <c r="I201" s="22" t="s">
        <v>201</v>
      </c>
    </row>
    <row r="202" spans="1:9" x14ac:dyDescent="0.25">
      <c r="G202" s="125" t="e" cm="1">
        <f t="array" ref="G202">INDEX(Valeurs_Brutes[Date/Heure], COUNTA(Valeurs_Brutes[Date/Heure])-30)</f>
        <v>#VALUE!</v>
      </c>
      <c r="H202" s="125" cm="1">
        <f t="array" ref="H202">INDEX(Valeurs_Brutes[Date/Heure], COUNTA(Valeurs_Brutes[Date/Heure]))</f>
        <v>0</v>
      </c>
      <c r="I202" s="125" t="e">
        <f>H202-G202</f>
        <v>#VALUE!</v>
      </c>
    </row>
    <row r="205" spans="1:9" ht="23.25" x14ac:dyDescent="0.25">
      <c r="B205" s="207" t="s">
        <v>202</v>
      </c>
      <c r="C205" s="207"/>
    </row>
    <row r="208" spans="1:9" ht="30" x14ac:dyDescent="0.25">
      <c r="B208" s="126" t="s">
        <v>203</v>
      </c>
      <c r="C208" s="127" t="s">
        <v>204</v>
      </c>
      <c r="D208" s="127" t="s">
        <v>119</v>
      </c>
      <c r="E208" s="128" t="s">
        <v>205</v>
      </c>
      <c r="F208" s="127" t="s">
        <v>206</v>
      </c>
    </row>
    <row r="209" spans="1:6" x14ac:dyDescent="0.25">
      <c r="B209" s="129" t="s">
        <v>207</v>
      </c>
      <c r="C209" s="130" t="str">
        <f>B200 &amp; "°C"</f>
        <v>-30°C</v>
      </c>
      <c r="D209" s="130" t="s">
        <v>208</v>
      </c>
      <c r="E209" s="130" t="s">
        <v>208</v>
      </c>
      <c r="F209" s="131" t="s">
        <v>208</v>
      </c>
    </row>
    <row r="210" spans="1:6" x14ac:dyDescent="0.25">
      <c r="B210" s="129" t="s">
        <v>209</v>
      </c>
      <c r="C210" s="130" t="str">
        <f>B200 &amp; "°C"</f>
        <v>-30°C</v>
      </c>
      <c r="D210" s="130" t="s">
        <v>208</v>
      </c>
      <c r="E210" s="130" t="s">
        <v>208</v>
      </c>
      <c r="F210" s="131" t="s">
        <v>208</v>
      </c>
    </row>
    <row r="211" spans="1:6" ht="15" customHeight="1" x14ac:dyDescent="0.25">
      <c r="A211" s="208" t="s">
        <v>210</v>
      </c>
      <c r="B211" s="129" t="s">
        <v>211</v>
      </c>
      <c r="C211" s="132" t="e">
        <f ca="1">MAX('Congel_-30°C'!C16:N16)</f>
        <v>#REF!</v>
      </c>
      <c r="D211" s="130" t="e">
        <f ca="1">_xlfn.XLOOKUP(INT(SUBSTITUTE(E211,"Connecteur ","")),Mesures_Congel!$C$23:$C$34,Mesures_Congel!$A$23:$A$34)</f>
        <v>#REF!</v>
      </c>
      <c r="E211" s="130" t="e" cm="1">
        <f t="array" aca="1" ref="E211" ca="1">_xlfn.XLOOKUP(C211,'Congel_-30°C'!C16:N16,_xlfn.ANCHORARRAY('Congel_-30°C'!C14))</f>
        <v>#REF!</v>
      </c>
      <c r="F211" s="130" t="e">
        <f ca="1">_xlfn.XLOOKUP(INT(SUBSTITUTE(E211,"Connecteur ","")),Mesures_Congel!$C$23:$C$34,Mesures_Congel!$B$23:$B$34)</f>
        <v>#REF!</v>
      </c>
    </row>
    <row r="212" spans="1:6" x14ac:dyDescent="0.25">
      <c r="A212" s="208"/>
      <c r="B212" s="129" t="s">
        <v>212</v>
      </c>
      <c r="C212" s="132" t="e">
        <f ca="1">MIN('Congel_-30°C'!C16:N16)</f>
        <v>#REF!</v>
      </c>
      <c r="D212" s="130" t="e">
        <f ca="1">_xlfn.XLOOKUP(INT(SUBSTITUTE(E212,"Connecteur ","")),Mesures_Congel!$C$23:$C$34,Mesures_Congel!$A$23:$A$34)</f>
        <v>#REF!</v>
      </c>
      <c r="E212" s="130" t="e" cm="1">
        <f t="array" aca="1" ref="E212" ca="1">_xlfn.XLOOKUP(C212,'Congel_-30°C'!C16:N16,_xlfn.ANCHORARRAY('Congel_-30°C'!C14))</f>
        <v>#REF!</v>
      </c>
      <c r="F212" s="131" t="e">
        <f ca="1">_xlfn.XLOOKUP(INT(SUBSTITUTE(E212,"Connecteur ","")),Mesures_Congel!$C$23:$C$34,Mesures_Congel!$B$23:$B$34)</f>
        <v>#REF!</v>
      </c>
    </row>
    <row r="213" spans="1:6" ht="34.5" customHeight="1" x14ac:dyDescent="0.25">
      <c r="A213" s="208"/>
      <c r="B213" s="129" t="s">
        <v>213</v>
      </c>
      <c r="C213" s="132" t="e">
        <f ca="1">MIN('Congel_-30°C'!C17:N17)</f>
        <v>#REF!</v>
      </c>
      <c r="D213" s="130" t="e">
        <f ca="1">_xlfn.XLOOKUP(INT(SUBSTITUTE(E213,"Connecteur ","")),Mesures_Congel!$C$23:$C$34,Mesures_Congel!$A$23:$A$34)</f>
        <v>#REF!</v>
      </c>
      <c r="E213" s="130" t="e" cm="1">
        <f t="array" aca="1" ref="E213" ca="1">_xlfn.XLOOKUP(C213,'Congel_-30°C'!C16:N16,_xlfn.ANCHORARRAY('Congel_-30°C'!C14))</f>
        <v>#REF!</v>
      </c>
      <c r="F213" s="131" t="e">
        <f ca="1">_xlfn.XLOOKUP(INT(SUBSTITUTE(E213,"Connecteur ","")),Mesures_Congel!$C$23:$C$34,Mesures_Congel!$B$23:$B$34)</f>
        <v>#REF!</v>
      </c>
    </row>
    <row r="214" spans="1:6" x14ac:dyDescent="0.25">
      <c r="A214" s="208"/>
      <c r="B214" s="129" t="s">
        <v>214</v>
      </c>
      <c r="C214" s="132" t="e">
        <f ca="1">'Congel_-30°C'!C21</f>
        <v>#REF!</v>
      </c>
      <c r="D214" s="130" t="s">
        <v>208</v>
      </c>
      <c r="E214" s="130" t="s">
        <v>208</v>
      </c>
      <c r="F214" s="131" t="s">
        <v>208</v>
      </c>
    </row>
    <row r="215" spans="1:6" x14ac:dyDescent="0.25">
      <c r="C215" s="89"/>
      <c r="D215" s="89"/>
      <c r="E215" s="89"/>
      <c r="F215" s="89"/>
    </row>
    <row r="226" spans="2:9" ht="36" x14ac:dyDescent="0.25">
      <c r="B226" s="200" t="s">
        <v>215</v>
      </c>
      <c r="C226" s="200"/>
      <c r="D226" s="200"/>
      <c r="E226" s="200"/>
      <c r="F226" s="200"/>
    </row>
    <row r="229" spans="2:9" x14ac:dyDescent="0.25">
      <c r="B229" s="192" t="s">
        <v>216</v>
      </c>
      <c r="C229" s="192"/>
    </row>
    <row r="232" spans="2:9" x14ac:dyDescent="0.25">
      <c r="C232" s="27"/>
      <c r="D232" s="27"/>
      <c r="E232" s="27"/>
      <c r="F232" s="210" t="s">
        <v>198</v>
      </c>
      <c r="G232" s="212"/>
      <c r="H232" s="212"/>
      <c r="I232" s="211"/>
    </row>
    <row r="233" spans="2:9" ht="30" x14ac:dyDescent="0.25">
      <c r="C233" s="36" t="s">
        <v>9</v>
      </c>
      <c r="D233" s="36" t="s">
        <v>12</v>
      </c>
      <c r="E233" s="133" t="s">
        <v>217</v>
      </c>
      <c r="F233" s="36" t="s">
        <v>218</v>
      </c>
      <c r="G233" s="36" t="s">
        <v>219</v>
      </c>
      <c r="H233" s="36" t="s">
        <v>220</v>
      </c>
      <c r="I233" s="36" t="s">
        <v>221</v>
      </c>
    </row>
    <row r="234" spans="2:9" x14ac:dyDescent="0.25">
      <c r="C234" s="38" cm="1">
        <f t="array" ref="C234:E245">Mesures_Congel!$A$23:$C$34</f>
        <v>1</v>
      </c>
      <c r="D234" s="38">
        <v>0</v>
      </c>
      <c r="E234" s="38">
        <v>0</v>
      </c>
      <c r="F234" s="134" t="e" cm="1">
        <f t="array" ref="F234">_xlfn.XLOOKUP(SUBSTITUTE(Congel_PV!E234,Congel_PV!E234,"Connecteur " &amp; Congel_PV!E234),_xlfn.ANCHORARRAY('Congel_-30°C'!C14),'Congel_-30°C'!C17:N17)</f>
        <v>#N/A</v>
      </c>
      <c r="G234" s="134" t="e" cm="1">
        <f t="array" ref="G234">_xlfn.XLOOKUP(SUBSTITUTE(Congel_PV!E234,Congel_PV!E234,"Connecteur " &amp; Congel_PV!E234),_xlfn.ANCHORARRAY('Congel_-30°C'!C14),'Congel_-30°C'!C16:N16)</f>
        <v>#N/A</v>
      </c>
      <c r="H234" s="134" t="e" cm="1">
        <f t="array" ref="H234">_xlfn.XLOOKUP(SUBSTITUTE(Congel_PV!E234,Congel_PV!E234,"Connecteur " &amp; Congel_PV!E234),_xlfn.ANCHORARRAY('Congel_-30°C'!C14),'Congel_-30°C'!C18:N18)</f>
        <v>#N/A</v>
      </c>
      <c r="I234" s="134" t="e" cm="1">
        <f t="array" ref="I234">_xlfn.XLOOKUP(SUBSTITUTE(Congel_PV!E234,Congel_PV!E234,"Connecteur " &amp; Congel_PV!E234),_xlfn.ANCHORARRAY('Congel_-30°C'!C14),'Congel_-30°C'!C19:N19)</f>
        <v>#N/A</v>
      </c>
    </row>
    <row r="235" spans="2:9" x14ac:dyDescent="0.25">
      <c r="C235" s="38">
        <v>2</v>
      </c>
      <c r="D235" s="38">
        <v>0</v>
      </c>
      <c r="E235" s="38">
        <v>0</v>
      </c>
      <c r="F235" s="134" t="e" cm="1">
        <f t="array" ref="F235">_xlfn.XLOOKUP(SUBSTITUTE(Congel_PV!E235,Congel_PV!E235,"Connecteur " &amp; Congel_PV!E235),_xlfn.ANCHORARRAY('Congel_-30°C'!C14),'Congel_-30°C'!C17:N17)</f>
        <v>#N/A</v>
      </c>
      <c r="G235" s="134" t="e" cm="1">
        <f t="array" ref="G235">_xlfn.XLOOKUP(SUBSTITUTE(Congel_PV!E235,Congel_PV!E235,"Connecteur " &amp; Congel_PV!E235),_xlfn.ANCHORARRAY('Congel_-30°C'!C14),'Congel_-30°C'!C16:N16)</f>
        <v>#N/A</v>
      </c>
      <c r="H235" s="134" t="e" cm="1">
        <f t="array" ref="H235">_xlfn.XLOOKUP(SUBSTITUTE(Congel_PV!E235,Congel_PV!E235,"Connecteur " &amp; Congel_PV!E235),_xlfn.ANCHORARRAY('Congel_-30°C'!C14),'Congel_-30°C'!C18:N18)</f>
        <v>#N/A</v>
      </c>
      <c r="I235" s="134" t="e" cm="1">
        <f t="array" ref="I235">_xlfn.XLOOKUP(SUBSTITUTE(Congel_PV!E235,Congel_PV!E235,"Connecteur " &amp; Congel_PV!E235),_xlfn.ANCHORARRAY('Congel_-30°C'!C14),'Congel_-30°C'!C19:N19)</f>
        <v>#N/A</v>
      </c>
    </row>
    <row r="236" spans="2:9" x14ac:dyDescent="0.25">
      <c r="C236" s="38">
        <v>3</v>
      </c>
      <c r="D236" s="38">
        <v>0</v>
      </c>
      <c r="E236" s="38">
        <v>0</v>
      </c>
      <c r="F236" s="134" t="e" cm="1">
        <f t="array" ref="F236">_xlfn.XLOOKUP(SUBSTITUTE(Congel_PV!E236,Congel_PV!E236,"Connecteur " &amp; Congel_PV!E236),_xlfn.ANCHORARRAY('Congel_-30°C'!C14),'Congel_-30°C'!C17:N17)</f>
        <v>#N/A</v>
      </c>
      <c r="G236" s="134" t="e" cm="1">
        <f t="array" ref="G236">_xlfn.XLOOKUP(SUBSTITUTE(Congel_PV!E236,Congel_PV!E236,"Connecteur " &amp; Congel_PV!E236),_xlfn.ANCHORARRAY('Congel_-30°C'!C14),'Congel_-30°C'!C16:N16)</f>
        <v>#N/A</v>
      </c>
      <c r="H236" s="134" t="e" cm="1">
        <f t="array" ref="H236">_xlfn.XLOOKUP(SUBSTITUTE(Congel_PV!E236,Congel_PV!E236,"Connecteur " &amp; Congel_PV!E236),_xlfn.ANCHORARRAY('Congel_-30°C'!C14),'Congel_-30°C'!C18:N18)</f>
        <v>#N/A</v>
      </c>
      <c r="I236" s="134" t="e" cm="1">
        <f t="array" ref="I236">_xlfn.XLOOKUP(SUBSTITUTE(Congel_PV!E236,Congel_PV!E236,"Connecteur " &amp; Congel_PV!E236),_xlfn.ANCHORARRAY('Congel_-30°C'!C14),'Congel_-30°C'!C19:N19)</f>
        <v>#N/A</v>
      </c>
    </row>
    <row r="237" spans="2:9" x14ac:dyDescent="0.25">
      <c r="C237" s="38">
        <v>4</v>
      </c>
      <c r="D237" s="38">
        <v>0</v>
      </c>
      <c r="E237" s="38">
        <v>0</v>
      </c>
      <c r="F237" s="134" t="e" cm="1">
        <f t="array" ref="F237">_xlfn.XLOOKUP(SUBSTITUTE(Congel_PV!E237,Congel_PV!E237,"Connecteur " &amp; Congel_PV!E237),_xlfn.ANCHORARRAY('Congel_-30°C'!C14),'Congel_-30°C'!C17:N17)</f>
        <v>#N/A</v>
      </c>
      <c r="G237" s="134" t="e" cm="1">
        <f t="array" ref="G237">_xlfn.XLOOKUP(SUBSTITUTE(Congel_PV!E237,Congel_PV!E237,"Connecteur " &amp; Congel_PV!E237),_xlfn.ANCHORARRAY('Congel_-30°C'!C14),'Congel_-30°C'!C16:N16)</f>
        <v>#N/A</v>
      </c>
      <c r="H237" s="134" t="e" cm="1">
        <f t="array" ref="H237">_xlfn.XLOOKUP(SUBSTITUTE(Congel_PV!E237,Congel_PV!E237,"Connecteur " &amp; Congel_PV!E237),_xlfn.ANCHORARRAY('Congel_-30°C'!C14),'Congel_-30°C'!C18:N18)</f>
        <v>#N/A</v>
      </c>
      <c r="I237" s="134" t="e" cm="1">
        <f t="array" ref="I237">_xlfn.XLOOKUP(SUBSTITUTE(Congel_PV!E237,Congel_PV!E237,"Connecteur " &amp; Congel_PV!E237),_xlfn.ANCHORARRAY('Congel_-30°C'!C14),'Congel_-30°C'!C19:N19)</f>
        <v>#N/A</v>
      </c>
    </row>
    <row r="238" spans="2:9" x14ac:dyDescent="0.25">
      <c r="C238" s="38">
        <v>5</v>
      </c>
      <c r="D238" s="38">
        <v>0</v>
      </c>
      <c r="E238" s="38">
        <v>0</v>
      </c>
      <c r="F238" s="134" t="e" cm="1">
        <f t="array" ref="F238">_xlfn.XLOOKUP(SUBSTITUTE(Congel_PV!E238,Congel_PV!E238,"Connecteur " &amp; Congel_PV!E238),_xlfn.ANCHORARRAY('Congel_-30°C'!C14),'Congel_-30°C'!C17:N17)</f>
        <v>#N/A</v>
      </c>
      <c r="G238" s="134" t="e" cm="1">
        <f t="array" ref="G238">_xlfn.XLOOKUP(SUBSTITUTE(Congel_PV!E238,Congel_PV!E238,"Connecteur "&amp;Congel_PV!E238),_xlfn.ANCHORARRAY('Congel_-30°C'!C14),'Congel_-30°C'!C16:N16)</f>
        <v>#N/A</v>
      </c>
      <c r="H238" s="134" t="e" cm="1">
        <f t="array" ref="H238">_xlfn.XLOOKUP(SUBSTITUTE(Congel_PV!E238,Congel_PV!E238,"Connecteur " &amp; Congel_PV!E238),_xlfn.ANCHORARRAY('Congel_-30°C'!C14),'Congel_-30°C'!C18:N18)</f>
        <v>#N/A</v>
      </c>
      <c r="I238" s="134" t="e" cm="1">
        <f t="array" ref="I238">_xlfn.XLOOKUP(SUBSTITUTE(Congel_PV!E238,Congel_PV!E238,"Connecteur " &amp; Congel_PV!E238),_xlfn.ANCHORARRAY('Congel_-30°C'!C14),'Congel_-30°C'!C19:N19)</f>
        <v>#N/A</v>
      </c>
    </row>
    <row r="239" spans="2:9" x14ac:dyDescent="0.25">
      <c r="C239" s="38">
        <v>6</v>
      </c>
      <c r="D239" s="38">
        <v>0</v>
      </c>
      <c r="E239" s="38">
        <v>0</v>
      </c>
      <c r="F239" s="134" t="e" cm="1">
        <f t="array" ref="F239">_xlfn.XLOOKUP(SUBSTITUTE(Congel_PV!E239,Congel_PV!E239,"Connecteur " &amp; Congel_PV!E239),_xlfn.ANCHORARRAY('Congel_-30°C'!C14),'Congel_-30°C'!C17:N17)</f>
        <v>#N/A</v>
      </c>
      <c r="G239" s="134" t="e" cm="1">
        <f t="array" ref="G239">_xlfn.XLOOKUP(SUBSTITUTE(Congel_PV!E239,Congel_PV!E239,"Connecteur " &amp; Congel_PV!E239),_xlfn.ANCHORARRAY('Congel_-30°C'!C14),'Congel_-30°C'!C16:N16)</f>
        <v>#N/A</v>
      </c>
      <c r="H239" s="134" t="e" cm="1">
        <f t="array" ref="H239">_xlfn.XLOOKUP(SUBSTITUTE(Congel_PV!E239,Congel_PV!E239,"Connecteur " &amp; Congel_PV!E239),_xlfn.ANCHORARRAY('Congel_-30°C'!C14),'Congel_-30°C'!C18:N18)</f>
        <v>#N/A</v>
      </c>
      <c r="I239" s="134" t="e" cm="1">
        <f t="array" ref="I239">_xlfn.XLOOKUP(SUBSTITUTE(Congel_PV!E239,Congel_PV!E239,"Connecteur " &amp; Congel_PV!E239),_xlfn.ANCHORARRAY('Congel_-30°C'!C14),'Congel_-30°C'!C19:N19)</f>
        <v>#N/A</v>
      </c>
    </row>
    <row r="240" spans="2:9" x14ac:dyDescent="0.25">
      <c r="C240" s="38">
        <v>7</v>
      </c>
      <c r="D240" s="38">
        <v>0</v>
      </c>
      <c r="E240" s="38">
        <v>0</v>
      </c>
      <c r="F240" s="134" t="e" cm="1">
        <f t="array" ref="F240">_xlfn.XLOOKUP(SUBSTITUTE(Congel_PV!E240,Congel_PV!E240,"Connecteur " &amp; Congel_PV!E240),_xlfn.ANCHORARRAY('Congel_-30°C'!C14),'Congel_-30°C'!C17:N17)</f>
        <v>#N/A</v>
      </c>
      <c r="G240" s="134" t="e" cm="1">
        <f t="array" ref="G240">_xlfn.XLOOKUP(SUBSTITUTE(Congel_PV!E240,Congel_PV!E240,"Connecteur " &amp; Congel_PV!E240),_xlfn.ANCHORARRAY('Congel_-30°C'!C14),'Congel_-30°C'!C16:N16)</f>
        <v>#N/A</v>
      </c>
      <c r="H240" s="134" t="e" cm="1">
        <f t="array" ref="H240">_xlfn.XLOOKUP(SUBSTITUTE(Congel_PV!E240,Congel_PV!E240,"Connecteur " &amp; Congel_PV!E240),_xlfn.ANCHORARRAY('Congel_-30°C'!C14),'Congel_-30°C'!C18:N18)</f>
        <v>#N/A</v>
      </c>
      <c r="I240" s="134" t="e" cm="1">
        <f t="array" ref="I240">_xlfn.XLOOKUP(SUBSTITUTE(Congel_PV!E240,Congel_PV!E240,"Connecteur " &amp; Congel_PV!E240),_xlfn.ANCHORARRAY('Congel_-30°C'!C14),'Congel_-30°C'!C19:N19)</f>
        <v>#N/A</v>
      </c>
    </row>
    <row r="241" spans="2:9" x14ac:dyDescent="0.25">
      <c r="C241" s="38">
        <v>8</v>
      </c>
      <c r="D241" s="38">
        <v>0</v>
      </c>
      <c r="E241" s="38">
        <v>0</v>
      </c>
      <c r="F241" s="134" t="e" cm="1">
        <f t="array" ref="F241">_xlfn.XLOOKUP(SUBSTITUTE(Congel_PV!E241,Congel_PV!E241,"Connecteur " &amp; Congel_PV!E241),_xlfn.ANCHORARRAY('Congel_-30°C'!C14),'Congel_-30°C'!C17:N17)</f>
        <v>#N/A</v>
      </c>
      <c r="G241" s="134" t="e" cm="1">
        <f t="array" ref="G241">_xlfn.XLOOKUP(SUBSTITUTE(Congel_PV!E241,Congel_PV!E241,"Connecteur " &amp; Congel_PV!E241),_xlfn.ANCHORARRAY('Congel_-30°C'!C14),'Congel_-30°C'!C16:N16)</f>
        <v>#N/A</v>
      </c>
      <c r="H241" s="134" t="e" cm="1">
        <f t="array" ref="H241">_xlfn.XLOOKUP(SUBSTITUTE(Congel_PV!E241,Congel_PV!E241,"Connecteur " &amp; Congel_PV!E241),_xlfn.ANCHORARRAY('Congel_-30°C'!C14),'Congel_-30°C'!C18:N18)</f>
        <v>#N/A</v>
      </c>
      <c r="I241" s="134" t="e" cm="1">
        <f t="array" ref="I241">_xlfn.XLOOKUP(SUBSTITUTE(Congel_PV!E241,Congel_PV!E241,"Connecteur " &amp; Congel_PV!E241),_xlfn.ANCHORARRAY('Congel_-30°C'!C14),'Congel_-30°C'!C19:N19)</f>
        <v>#N/A</v>
      </c>
    </row>
    <row r="242" spans="2:9" x14ac:dyDescent="0.25">
      <c r="C242" s="38">
        <v>9</v>
      </c>
      <c r="D242" s="38">
        <v>0</v>
      </c>
      <c r="E242" s="38">
        <v>0</v>
      </c>
      <c r="F242" s="134" t="e" cm="1">
        <f t="array" ref="F242">_xlfn.XLOOKUP(SUBSTITUTE(Congel_PV!E242,Congel_PV!E242,"Connecteur " &amp; Congel_PV!E242),_xlfn.ANCHORARRAY('Congel_-30°C'!C14),'Congel_-30°C'!C17:N17)</f>
        <v>#N/A</v>
      </c>
      <c r="G242" s="134" t="e" cm="1">
        <f t="array" ref="G242">_xlfn.XLOOKUP(SUBSTITUTE(Congel_PV!E242,Congel_PV!E242,"Connecteur " &amp; Congel_PV!E242),_xlfn.ANCHORARRAY('Congel_-30°C'!C14),'Congel_-30°C'!C16:N16)</f>
        <v>#N/A</v>
      </c>
      <c r="H242" s="134" t="e" cm="1">
        <f t="array" ref="H242">_xlfn.XLOOKUP(SUBSTITUTE(Congel_PV!E242,Congel_PV!E242,"Connecteur " &amp; Congel_PV!E242),_xlfn.ANCHORARRAY('Congel_-30°C'!C14),'Congel_-30°C'!C18:N18)</f>
        <v>#N/A</v>
      </c>
      <c r="I242" s="134" t="e" cm="1">
        <f t="array" ref="I242">_xlfn.XLOOKUP(SUBSTITUTE(Congel_PV!E242,Congel_PV!E242,"Connecteur " &amp; Congel_PV!E242),_xlfn.ANCHORARRAY('Congel_-30°C'!C14),'Congel_-30°C'!C19:N19)</f>
        <v>#N/A</v>
      </c>
    </row>
    <row r="243" spans="2:9" x14ac:dyDescent="0.25">
      <c r="C243" s="38">
        <v>10</v>
      </c>
      <c r="D243" s="38">
        <v>0</v>
      </c>
      <c r="E243" s="38">
        <v>0</v>
      </c>
      <c r="F243" s="134" t="e" cm="1">
        <f t="array" ref="F243">_xlfn.XLOOKUP(SUBSTITUTE(Congel_PV!E243,Congel_PV!E243,"Connecteur " &amp; Congel_PV!E243),_xlfn.ANCHORARRAY('Congel_-30°C'!C14),'Congel_-30°C'!C17:N17)</f>
        <v>#N/A</v>
      </c>
      <c r="G243" s="134" t="e" cm="1">
        <f t="array" ref="G243">_xlfn.XLOOKUP(SUBSTITUTE(Congel_PV!E243,Congel_PV!E243,"Connecteur " &amp; Congel_PV!E243),_xlfn.ANCHORARRAY('Congel_-30°C'!C14),'Congel_-30°C'!C16:N16)</f>
        <v>#N/A</v>
      </c>
      <c r="H243" s="134" t="e" cm="1">
        <f t="array" ref="H243">_xlfn.XLOOKUP(SUBSTITUTE(Congel_PV!E243,Congel_PV!E243,"Connecteur " &amp; Congel_PV!E243),_xlfn.ANCHORARRAY('Congel_-30°C'!C14),'Congel_-30°C'!C18:N18)</f>
        <v>#N/A</v>
      </c>
      <c r="I243" s="134" t="e" cm="1">
        <f t="array" ref="I243">_xlfn.XLOOKUP(SUBSTITUTE(Congel_PV!E243,Congel_PV!E243,"Connecteur " &amp; Congel_PV!E243),_xlfn.ANCHORARRAY('Congel_-30°C'!C14),'Congel_-30°C'!C19:N19)</f>
        <v>#N/A</v>
      </c>
    </row>
    <row r="244" spans="2:9" x14ac:dyDescent="0.25">
      <c r="C244" s="38">
        <v>11</v>
      </c>
      <c r="D244" s="38">
        <v>0</v>
      </c>
      <c r="E244" s="38">
        <v>0</v>
      </c>
      <c r="F244" s="134" t="e" cm="1">
        <f t="array" ref="F244">_xlfn.XLOOKUP(SUBSTITUTE(Congel_PV!E244,Congel_PV!E244,"Connecteur " &amp; Congel_PV!E244),_xlfn.ANCHORARRAY('Congel_-30°C'!C14),'Congel_-30°C'!C17:N17)</f>
        <v>#N/A</v>
      </c>
      <c r="G244" s="134" t="e" cm="1">
        <f t="array" ref="G244">_xlfn.XLOOKUP(SUBSTITUTE(Congel_PV!E244,Congel_PV!E244,"Connecteur " &amp; Congel_PV!E244),_xlfn.ANCHORARRAY('Congel_-30°C'!C14),'Congel_-30°C'!C16:N16)</f>
        <v>#N/A</v>
      </c>
      <c r="H244" s="134" t="e" cm="1">
        <f t="array" ref="H244">_xlfn.XLOOKUP(SUBSTITUTE(Congel_PV!E244,Congel_PV!E244,"Connecteur " &amp; Congel_PV!E244),_xlfn.ANCHORARRAY('Congel_-30°C'!C14),'Congel_-30°C'!C18:N18)</f>
        <v>#N/A</v>
      </c>
      <c r="I244" s="134" t="e" cm="1">
        <f t="array" ref="I244">_xlfn.XLOOKUP(SUBSTITUTE(Congel_PV!E244,Congel_PV!E244,"Connecteur " &amp; Congel_PV!E244),_xlfn.ANCHORARRAY('Congel_-30°C'!C14),'Congel_-30°C'!C19:N19)</f>
        <v>#N/A</v>
      </c>
    </row>
    <row r="245" spans="2:9" x14ac:dyDescent="0.25">
      <c r="C245" s="38">
        <v>12</v>
      </c>
      <c r="D245" s="38">
        <v>0</v>
      </c>
      <c r="E245" s="38">
        <v>0</v>
      </c>
      <c r="F245" s="134" t="e" cm="1">
        <f t="array" ref="F245">_xlfn.XLOOKUP(SUBSTITUTE(Congel_PV!E245,Congel_PV!E245,"Connecteur " &amp; Congel_PV!E245),_xlfn.ANCHORARRAY('Congel_-30°C'!C14),'Congel_-30°C'!C17:N17)</f>
        <v>#N/A</v>
      </c>
      <c r="G245" s="134" t="e" cm="1">
        <f t="array" ref="G245">_xlfn.XLOOKUP(SUBSTITUTE(Congel_PV!E245,Congel_PV!E245,"Connecteur " &amp; Congel_PV!E245),_xlfn.ANCHORARRAY('Congel_-30°C'!C14),'Congel_-30°C'!C16:N16)</f>
        <v>#N/A</v>
      </c>
      <c r="H245" s="134" t="e" cm="1">
        <f t="array" ref="H245">_xlfn.XLOOKUP(SUBSTITUTE(Congel_PV!E245,Congel_PV!E245,"Connecteur " &amp; Congel_PV!E245),_xlfn.ANCHORARRAY('Congel_-30°C'!C14),'Congel_-30°C'!C18:N18)</f>
        <v>#N/A</v>
      </c>
      <c r="I245" s="134" t="e" cm="1">
        <f t="array" ref="I245">_xlfn.XLOOKUP(SUBSTITUTE(Congel_PV!E245,Congel_PV!E245,"Connecteur " &amp; Congel_PV!E245),_xlfn.ANCHORARRAY('Congel_-30°C'!C14),'Congel_-30°C'!C19:N19)</f>
        <v>#N/A</v>
      </c>
    </row>
    <row r="252" spans="2:9" x14ac:dyDescent="0.25">
      <c r="B252" s="135"/>
    </row>
    <row r="254" spans="2:9" ht="36" x14ac:dyDescent="0.3">
      <c r="C254" s="136" t="s">
        <v>222</v>
      </c>
      <c r="D254" s="137"/>
      <c r="E254" s="137"/>
      <c r="F254" s="137"/>
    </row>
    <row r="257" spans="2:2" x14ac:dyDescent="0.25">
      <c r="B257" t="s">
        <v>223</v>
      </c>
    </row>
    <row r="293" spans="2:8" ht="36" x14ac:dyDescent="0.55000000000000004">
      <c r="G293" s="198" t="s">
        <v>224</v>
      </c>
      <c r="H293" s="198"/>
    </row>
    <row r="297" spans="2:8" ht="23.25" customHeight="1" x14ac:dyDescent="0.25">
      <c r="B297" s="213" t="s">
        <v>225</v>
      </c>
      <c r="C297" s="213"/>
      <c r="D297" s="213"/>
      <c r="E297" s="213"/>
      <c r="F297" s="138" t="e">
        <f ca="1">IF(OR(AVERAGE('Congel_-30°C'!C16:N16)&gt;'Congel_-30°C'!O16,AVERAGE('Congel_-30°C'!C17:N17)&lt;'Congel_-30°C'!O17),"NON CONFORME","CONFORME")</f>
        <v>#REF!</v>
      </c>
      <c r="G297" s="139"/>
    </row>
    <row r="298" spans="2:8" ht="23.25" customHeight="1" x14ac:dyDescent="0.25">
      <c r="B298" s="213"/>
      <c r="C298" s="213"/>
      <c r="D298" s="213"/>
      <c r="E298" s="213"/>
      <c r="F298" s="139"/>
      <c r="G298" s="139"/>
    </row>
    <row r="299" spans="2:8" ht="15" customHeight="1" x14ac:dyDescent="0.25">
      <c r="B299" s="139"/>
      <c r="C299" s="139"/>
      <c r="D299" s="139"/>
      <c r="E299" s="139"/>
      <c r="F299" s="139"/>
      <c r="G299" s="139"/>
    </row>
    <row r="303" spans="2:8" x14ac:dyDescent="0.25">
      <c r="C303" s="129" t="s">
        <v>226</v>
      </c>
      <c r="D303" s="129"/>
      <c r="E303" s="129" t="str">
        <f xml:space="preserve"> "-30°C"</f>
        <v>-30°C</v>
      </c>
    </row>
    <row r="304" spans="2:8" x14ac:dyDescent="0.25">
      <c r="C304" s="209" t="s">
        <v>227</v>
      </c>
      <c r="D304" s="209"/>
      <c r="E304" s="142">
        <f>Mesures_Congel!$B$19</f>
        <v>-30</v>
      </c>
    </row>
    <row r="305" spans="3:5" x14ac:dyDescent="0.25">
      <c r="C305" s="209" t="s">
        <v>228</v>
      </c>
      <c r="D305" s="209"/>
      <c r="E305" s="134" t="e">
        <f ca="1">'Congel_-30°C'!C20</f>
        <v>#REF!</v>
      </c>
    </row>
    <row r="306" spans="3:5" x14ac:dyDescent="0.25">
      <c r="C306" s="209" t="s">
        <v>229</v>
      </c>
      <c r="D306" s="209"/>
      <c r="E306" s="38" t="str">
        <f>"±" &amp; Mesures_Congel!$B$20</f>
        <v>±</v>
      </c>
    </row>
    <row r="307" spans="3:5" x14ac:dyDescent="0.25">
      <c r="C307" s="210" t="s">
        <v>230</v>
      </c>
      <c r="D307" s="211"/>
      <c r="E307" s="38" t="e">
        <f ca="1">IF(F297="CONFORME","OUI","NON")</f>
        <v>#REF!</v>
      </c>
    </row>
    <row r="308" spans="3:5" x14ac:dyDescent="0.25">
      <c r="C308" s="209" t="s">
        <v>231</v>
      </c>
      <c r="D308" s="209"/>
      <c r="E308" s="38">
        <v>2</v>
      </c>
    </row>
  </sheetData>
  <sheetProtection algorithmName="SHA-512" hashValue="2jR5OD0zbFu68m7fXCD+KuZ1S4tJteSNEfTifZZv5+W1f7YFOalSU1J1nVkE9rlXz/Ue4EXyWD92IUU/PI0q5w==" saltValue="mugjhpggSlSE0VQP8dAh+A==" spinCount="100000" sheet="1" objects="1" scenarios="1" autoFilter="0"/>
  <mergeCells count="40">
    <mergeCell ref="C306:D306"/>
    <mergeCell ref="C307:D307"/>
    <mergeCell ref="C308:D308"/>
    <mergeCell ref="B229:C229"/>
    <mergeCell ref="F232:I232"/>
    <mergeCell ref="G293:H293"/>
    <mergeCell ref="B297:E298"/>
    <mergeCell ref="C304:D304"/>
    <mergeCell ref="C305:D305"/>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48" priority="1" operator="containsText" text="NON CONFORME">
      <formula>NOT(ISERROR(SEARCH("NON CONFORME",F297)))</formula>
    </cfRule>
    <cfRule type="containsText" dxfId="47"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F28" sqref="F28"/>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215" t="s">
        <v>107</v>
      </c>
      <c r="C1" s="215"/>
      <c r="D1" s="215"/>
      <c r="E1" s="215"/>
      <c r="F1" s="215"/>
      <c r="G1" s="215"/>
      <c r="H1" s="215"/>
      <c r="I1" s="215"/>
      <c r="J1" s="51"/>
      <c r="K1" s="51"/>
      <c r="L1" s="51"/>
      <c r="M1" s="51"/>
    </row>
    <row r="2" spans="1:13" x14ac:dyDescent="0.25">
      <c r="L2" s="51"/>
      <c r="M2" s="51"/>
    </row>
    <row r="3" spans="1:13" x14ac:dyDescent="0.25">
      <c r="A3" s="216" t="s">
        <v>108</v>
      </c>
      <c r="B3" s="216"/>
      <c r="C3" s="216"/>
      <c r="D3" s="216"/>
      <c r="E3" s="216"/>
      <c r="F3" s="216"/>
      <c r="G3" s="216"/>
      <c r="H3" s="216"/>
      <c r="I3" s="216"/>
    </row>
    <row r="4" spans="1:13" x14ac:dyDescent="0.25">
      <c r="A4" s="214" t="s">
        <v>109</v>
      </c>
      <c r="B4" s="214"/>
      <c r="C4" s="214"/>
      <c r="D4" s="214"/>
      <c r="E4" s="214"/>
      <c r="F4" s="214"/>
      <c r="G4" s="214"/>
      <c r="H4" s="214"/>
      <c r="I4" s="214"/>
    </row>
    <row r="5" spans="1:13" x14ac:dyDescent="0.25">
      <c r="A5" s="214" t="s">
        <v>110</v>
      </c>
      <c r="B5" s="214"/>
      <c r="C5" s="214"/>
      <c r="D5" s="214"/>
      <c r="E5" s="214"/>
      <c r="F5" s="214"/>
      <c r="G5" s="214"/>
      <c r="H5" s="214"/>
      <c r="I5" s="214"/>
    </row>
    <row r="6" spans="1:13" x14ac:dyDescent="0.25">
      <c r="A6" s="214" t="s">
        <v>111</v>
      </c>
      <c r="B6" s="214"/>
      <c r="C6" s="214"/>
      <c r="D6" s="214"/>
      <c r="E6" s="214"/>
      <c r="F6" s="214"/>
      <c r="G6" s="214"/>
      <c r="H6" s="214"/>
      <c r="I6" s="214"/>
    </row>
    <row r="8" spans="1:13" x14ac:dyDescent="0.25">
      <c r="A8" s="214" t="s">
        <v>112</v>
      </c>
      <c r="B8" s="214"/>
      <c r="C8" s="214"/>
      <c r="D8" s="214"/>
      <c r="E8" s="214"/>
      <c r="F8" s="214"/>
      <c r="G8" s="214"/>
      <c r="H8" s="214"/>
      <c r="I8" s="214"/>
    </row>
    <row r="9" spans="1:13" ht="16.5" thickBot="1" x14ac:dyDescent="0.3"/>
    <row r="10" spans="1:13" ht="16.5" thickBot="1" x14ac:dyDescent="0.3">
      <c r="B10" s="53" t="s">
        <v>113</v>
      </c>
      <c r="C10" s="54" t="s">
        <v>114</v>
      </c>
      <c r="D10" s="217"/>
      <c r="E10" s="217"/>
      <c r="F10" s="218"/>
      <c r="G10" s="55" t="e">
        <f>CONCATENATE("Voie ",_xlfn.XLOOKUP(B13,Mesures_Congel!$B$23:$B$34,Mesures_Congel!$C$23:$C$34))</f>
        <v>#N/A</v>
      </c>
      <c r="H10" s="55" t="e">
        <f>CONCATENATE("Voie ",_xlfn.XLOOKUP(B14,Mesures_Congel!$B$23:$B$34,Mesures_Congel!$C$23:$C$34))</f>
        <v>#N/A</v>
      </c>
      <c r="I10" s="55" t="e">
        <f>CONCATENATE("Voie ",_xlfn.XLOOKUP(B15,Mesures_Congel!$B$23:$B$34,Mesures_Congel!$C$23:$C$34))</f>
        <v>#N/A</v>
      </c>
    </row>
    <row r="11" spans="1:13" ht="16.5" thickBot="1" x14ac:dyDescent="0.3">
      <c r="A11" s="51" t="s">
        <v>115</v>
      </c>
      <c r="B11" s="56" t="s">
        <v>116</v>
      </c>
      <c r="C11" s="55" t="s">
        <v>117</v>
      </c>
      <c r="D11" s="217" t="s">
        <v>118</v>
      </c>
      <c r="E11" s="217"/>
      <c r="F11" s="218"/>
      <c r="G11" s="57" t="e">
        <f>_xlfn.XLOOKUP(B13,Mesures_Congel!$B$23:$B$34,Mesures_Congel!$D$23:$D$34)</f>
        <v>#N/A</v>
      </c>
      <c r="H11" s="57" t="e">
        <f>_xlfn.XLOOKUP(B14,Mesures_Congel!$B$23:$B$34,Mesures_Congel!$D$23:$D$34)</f>
        <v>#N/A</v>
      </c>
      <c r="I11" s="57" t="e">
        <f>_xlfn.XLOOKUP(B15,Mesures_Congel!$B$23:$B$34,Mesures_Congel!$D$23:$D$34)</f>
        <v>#N/A</v>
      </c>
    </row>
    <row r="12" spans="1:13" ht="16.5" thickBot="1" x14ac:dyDescent="0.3">
      <c r="A12" s="49" t="s">
        <v>119</v>
      </c>
      <c r="G12" s="58"/>
      <c r="H12" s="58"/>
      <c r="I12" s="58"/>
    </row>
    <row r="13" spans="1:13" ht="17.25" thickTop="1" thickBot="1" x14ac:dyDescent="0.3">
      <c r="A13" s="59">
        <v>11</v>
      </c>
      <c r="B13" s="60">
        <f>_xlfn.XLOOKUP(A13,Mesures_Congel!$A$23:$A$34,Mesures_Congel!$B$23:$B$34)</f>
        <v>0</v>
      </c>
      <c r="C13" s="55" t="e" cm="1">
        <f t="array" ref="C13">_xlfn.XLOOKUP(_xlfn.VALUETOTEXT(B13),SUBSTITUTE(Mesures_Congel!$A$42:$B$53,"Sonde ",""),Mesures_Congel!$C$42:$C$53)</f>
        <v>#VALUE!</v>
      </c>
      <c r="D13" s="217" t="s">
        <v>120</v>
      </c>
      <c r="E13" s="217"/>
      <c r="F13" s="218"/>
      <c r="G13" s="57" t="e">
        <f>_xlfn.XLOOKUP(B13,Mesures_Congel!$B$23:$B$34,Mesures_Congel!$E$23:$E$34)</f>
        <v>#N/A</v>
      </c>
      <c r="H13" s="58"/>
      <c r="I13" s="58"/>
    </row>
    <row r="14" spans="1:13" ht="17.25" thickTop="1" thickBot="1" x14ac:dyDescent="0.3">
      <c r="A14" s="61">
        <v>10</v>
      </c>
      <c r="B14" s="60">
        <f>_xlfn.XLOOKUP(A14,Mesures_Congel!$A$23:$A$34,Mesures_Congel!$B$23:$B$34)</f>
        <v>0</v>
      </c>
      <c r="C14" s="55" t="e" cm="1">
        <f t="array" ref="C14">_xlfn.XLOOKUP(_xlfn.VALUETOTEXT(B14),SUBSTITUTE(Mesures_Congel!$A$42:$B$53,"Sonde ",""),Mesures_Congel!$C$42:$C$53)</f>
        <v>#VALUE!</v>
      </c>
      <c r="D14" s="217" t="s">
        <v>120</v>
      </c>
      <c r="E14" s="217"/>
      <c r="F14" s="217"/>
      <c r="G14" s="62"/>
      <c r="H14" s="57" t="e">
        <f>_xlfn.XLOOKUP(B14,Mesures_Congel!$B$23:$B$34,Mesures_Congel!$E$23:$E$34)</f>
        <v>#N/A</v>
      </c>
      <c r="I14" s="58"/>
    </row>
    <row r="15" spans="1:13" ht="17.25" thickTop="1" thickBot="1" x14ac:dyDescent="0.3">
      <c r="A15" s="61">
        <v>12</v>
      </c>
      <c r="B15" s="60">
        <f>_xlfn.XLOOKUP(A15,Mesures_Congel!$A$23:$A$34,Mesures_Congel!$B$23:$B$34)</f>
        <v>0</v>
      </c>
      <c r="C15" s="55" t="e" cm="1">
        <f t="array" ref="C15">_xlfn.XLOOKUP(_xlfn.VALUETOTEXT(B15),SUBSTITUTE(Mesures_Congel!$A$42:$B$53,"Sonde ",""),Mesures_Congel!$C$42:$C$53)</f>
        <v>#VALUE!</v>
      </c>
      <c r="D15" s="217" t="s">
        <v>120</v>
      </c>
      <c r="E15" s="217"/>
      <c r="F15" s="217"/>
      <c r="G15" s="58"/>
      <c r="H15" s="58"/>
      <c r="I15" s="57" t="e">
        <f>_xlfn.XLOOKUP(B15,Mesures_Congel!$B$23:$B$34,Mesures_Congel!$E$23:$E$34)</f>
        <v>#N/A</v>
      </c>
    </row>
    <row r="16" spans="1:13" ht="16.5" thickTop="1" x14ac:dyDescent="0.25">
      <c r="A16" s="51"/>
      <c r="B16" s="51"/>
      <c r="C16" s="51"/>
      <c r="G16" s="52"/>
      <c r="H16" s="63"/>
      <c r="I16" s="63"/>
      <c r="J16" s="63"/>
      <c r="K16" s="51"/>
    </row>
    <row r="17" spans="1:15" x14ac:dyDescent="0.25">
      <c r="A17" s="214" t="s">
        <v>121</v>
      </c>
      <c r="B17" s="214"/>
      <c r="C17" s="214"/>
      <c r="D17" s="214"/>
      <c r="E17" s="214"/>
      <c r="F17" s="214"/>
      <c r="G17" s="214"/>
      <c r="H17" s="214"/>
      <c r="I17" s="214"/>
    </row>
    <row r="18" spans="1:15" ht="16.5" thickBot="1" x14ac:dyDescent="0.3">
      <c r="A18" s="52"/>
      <c r="B18" s="52"/>
      <c r="C18" s="52"/>
      <c r="D18" s="52"/>
      <c r="E18" s="52"/>
      <c r="F18" s="52"/>
      <c r="G18" s="52"/>
      <c r="H18" s="52"/>
      <c r="I18" s="52"/>
    </row>
    <row r="19" spans="1:15" ht="16.5" thickBot="1" x14ac:dyDescent="0.3">
      <c r="A19" s="219" t="s">
        <v>113</v>
      </c>
      <c r="B19" s="220"/>
      <c r="C19" s="54" t="s">
        <v>114</v>
      </c>
      <c r="H19" s="217"/>
      <c r="I19" s="217"/>
    </row>
    <row r="20" spans="1:15" ht="16.5" thickBot="1" x14ac:dyDescent="0.3">
      <c r="A20" s="221" t="s">
        <v>122</v>
      </c>
      <c r="B20" s="222"/>
      <c r="C20" s="55" t="e">
        <f>C15</f>
        <v>#VALUE!</v>
      </c>
      <c r="D20" s="217" t="s">
        <v>123</v>
      </c>
      <c r="E20" s="217"/>
      <c r="F20" s="217"/>
      <c r="G20" s="64">
        <v>0</v>
      </c>
      <c r="H20" s="65" t="s">
        <v>124</v>
      </c>
    </row>
    <row r="21" spans="1:15" ht="16.5" thickBot="1" x14ac:dyDescent="0.3">
      <c r="A21" s="221" t="s">
        <v>125</v>
      </c>
      <c r="B21" s="222"/>
      <c r="C21" s="66" t="e">
        <f>C14</f>
        <v>#VALUE!</v>
      </c>
      <c r="D21" s="217" t="s">
        <v>123</v>
      </c>
      <c r="E21" s="217"/>
      <c r="F21" s="217"/>
      <c r="G21" s="64">
        <v>0</v>
      </c>
      <c r="H21" s="65" t="s">
        <v>126</v>
      </c>
    </row>
    <row r="22" spans="1:15" ht="16.5" thickBot="1" x14ac:dyDescent="0.3">
      <c r="A22" s="221" t="s">
        <v>127</v>
      </c>
      <c r="B22" s="222"/>
      <c r="C22" s="55" t="e">
        <f>C13</f>
        <v>#VALUE!</v>
      </c>
      <c r="D22" s="217" t="s">
        <v>123</v>
      </c>
      <c r="E22" s="217"/>
      <c r="F22" s="217"/>
      <c r="G22" s="64">
        <v>0</v>
      </c>
      <c r="H22" s="65" t="s">
        <v>128</v>
      </c>
    </row>
    <row r="23" spans="1:15" x14ac:dyDescent="0.25">
      <c r="A23" s="51"/>
      <c r="G23" s="52"/>
      <c r="H23" s="63"/>
      <c r="I23" s="63"/>
      <c r="J23" s="63"/>
      <c r="K23" s="51"/>
    </row>
    <row r="24" spans="1:15" x14ac:dyDescent="0.25">
      <c r="A24" s="227" t="str">
        <f>"TEMPERATURE : -30,0°C    CRITERES D'ACCEPTATION : +/-"&amp; Mesures_Congel!B20 &amp;"°C"</f>
        <v>TEMPERATURE : -30,0°C    CRITERES D'ACCEPTATION : +/-°C</v>
      </c>
      <c r="B24" s="227"/>
      <c r="C24" s="227"/>
      <c r="D24" s="227"/>
      <c r="E24" s="227"/>
      <c r="F24" s="227"/>
      <c r="G24" s="227"/>
      <c r="H24" s="227"/>
      <c r="I24" s="227"/>
      <c r="K24" s="51"/>
    </row>
    <row r="25" spans="1:15" ht="16.5" thickBot="1" x14ac:dyDescent="0.3">
      <c r="A25" s="214"/>
      <c r="B25" s="214"/>
      <c r="C25" s="214"/>
      <c r="D25" s="214"/>
      <c r="E25" s="214"/>
      <c r="F25" s="214"/>
      <c r="G25" s="214"/>
      <c r="H25" s="214"/>
      <c r="I25" s="214"/>
    </row>
    <row r="26" spans="1:15" ht="15.75" customHeight="1" x14ac:dyDescent="0.25">
      <c r="A26" s="223" t="s">
        <v>29</v>
      </c>
      <c r="B26" s="224"/>
      <c r="C26" s="224"/>
      <c r="D26" s="224"/>
      <c r="E26" s="224"/>
      <c r="F26" s="224"/>
      <c r="G26" s="224"/>
      <c r="H26" s="225"/>
      <c r="I26" s="67" t="s">
        <v>129</v>
      </c>
      <c r="K26" s="68"/>
      <c r="L26" s="68"/>
    </row>
    <row r="27" spans="1:15" s="63" customFormat="1" ht="63.75" customHeight="1" x14ac:dyDescent="0.25">
      <c r="A27" s="69" t="s">
        <v>130</v>
      </c>
      <c r="B27" s="70" t="s">
        <v>131</v>
      </c>
      <c r="C27" s="70" t="s">
        <v>132</v>
      </c>
      <c r="D27" s="71" t="s">
        <v>133</v>
      </c>
      <c r="E27" s="72" t="s">
        <v>134</v>
      </c>
      <c r="F27" s="73" t="s">
        <v>135</v>
      </c>
      <c r="G27" s="74" t="s">
        <v>136</v>
      </c>
      <c r="H27" s="70" t="s">
        <v>137</v>
      </c>
      <c r="I27" s="70" t="s">
        <v>138</v>
      </c>
      <c r="J27" s="49"/>
      <c r="K27" s="68"/>
      <c r="L27" s="68"/>
      <c r="N27" s="68"/>
      <c r="O27" s="75"/>
    </row>
    <row r="28" spans="1:15" ht="19.5" thickBot="1" x14ac:dyDescent="0.3">
      <c r="A28" s="76">
        <f>test_propagation</f>
        <v>0</v>
      </c>
      <c r="B28" s="77" t="s">
        <v>139</v>
      </c>
      <c r="C28" s="77" t="str">
        <f>CONCATENATE("Sonde ",B15)</f>
        <v>Sonde 0</v>
      </c>
      <c r="D28" s="78" t="e">
        <f ca="1">AVERAGE(INDIRECT("Valeurs_Brutes["&amp; CONCATENATE("Connecteur ", SUBSTITUTE(I10, "Voie ","")) &amp;"]"))</f>
        <v>#N/A</v>
      </c>
      <c r="E28" s="79" t="e">
        <f ca="1">D28+H11+H14</f>
        <v>#N/A</v>
      </c>
      <c r="F28" s="80">
        <f>Mesures_Congel!M48</f>
        <v>0</v>
      </c>
      <c r="G28" s="80">
        <f>F28+G20</f>
        <v>0</v>
      </c>
      <c r="H28" s="80" t="e">
        <f ca="1">G28-E28</f>
        <v>#N/A</v>
      </c>
      <c r="I28" s="81" t="e">
        <f ca="1">IF(OR(E28&gt;Mesures_Congel!B19+Mesures_Congel!B20,E28&lt;Mesures_Congel!B19-Mesures_Congel!B20),"NON CONFORME","CONFORME")</f>
        <v>#N/A</v>
      </c>
    </row>
    <row r="29" spans="1:15" ht="15.75" customHeight="1" x14ac:dyDescent="0.25">
      <c r="A29" s="223" t="s">
        <v>30</v>
      </c>
      <c r="B29" s="224"/>
      <c r="C29" s="224"/>
      <c r="D29" s="224"/>
      <c r="E29" s="224"/>
      <c r="F29" s="224"/>
      <c r="G29" s="224"/>
      <c r="H29" s="225"/>
      <c r="I29" s="67" t="s">
        <v>129</v>
      </c>
      <c r="K29" s="68"/>
      <c r="L29" s="68"/>
    </row>
    <row r="30" spans="1:15" s="63" customFormat="1" ht="78.75" customHeight="1" x14ac:dyDescent="0.25">
      <c r="A30" s="69" t="s">
        <v>130</v>
      </c>
      <c r="B30" s="70" t="s">
        <v>131</v>
      </c>
      <c r="C30" s="70" t="s">
        <v>132</v>
      </c>
      <c r="D30" s="71" t="s">
        <v>133</v>
      </c>
      <c r="E30" s="72" t="s">
        <v>134</v>
      </c>
      <c r="F30" s="71" t="s">
        <v>135</v>
      </c>
      <c r="G30" s="74" t="s">
        <v>136</v>
      </c>
      <c r="H30" s="70" t="s">
        <v>137</v>
      </c>
      <c r="I30" s="70" t="s">
        <v>138</v>
      </c>
      <c r="J30" s="49"/>
      <c r="K30" s="68"/>
      <c r="L30" s="68"/>
      <c r="N30" s="68"/>
      <c r="O30" s="75"/>
    </row>
    <row r="31" spans="1:15" ht="19.5" thickBot="1" x14ac:dyDescent="0.3">
      <c r="A31" s="76">
        <f>A28</f>
        <v>0</v>
      </c>
      <c r="B31" s="77" t="str">
        <f>B28</f>
        <v>E.LAGASSY</v>
      </c>
      <c r="C31" s="77" t="str">
        <f>CONCATENATE("Sonde ",B14)</f>
        <v>Sonde 0</v>
      </c>
      <c r="D31" s="82" t="e">
        <f ca="1">AVERAGE(INDIRECT("Valeurs_Brutes["&amp; CONCATENATE("Connecteur ", SUBSTITUTE(H10, "Voie ","")) &amp;"]"))</f>
        <v>#N/A</v>
      </c>
      <c r="E31" s="79" t="e">
        <f ca="1">D31+G11+G13</f>
        <v>#N/A</v>
      </c>
      <c r="F31" s="80">
        <f>Mesures_Congel!M49</f>
        <v>0</v>
      </c>
      <c r="G31" s="80">
        <f>F31+G21</f>
        <v>0</v>
      </c>
      <c r="H31" s="80" t="e">
        <f ca="1">G31-E31</f>
        <v>#N/A</v>
      </c>
      <c r="I31" s="81" t="e">
        <f ca="1">IF(OR(E31&gt;Mesures_Congel!B19+Mesures_Congel!B20,E31&lt;Mesures_Congel!B19-Mesures_Congel!B20),"NON CONFORME","CONFORME")</f>
        <v>#N/A</v>
      </c>
    </row>
    <row r="32" spans="1:15" x14ac:dyDescent="0.25">
      <c r="A32" s="223" t="s">
        <v>31</v>
      </c>
      <c r="B32" s="224"/>
      <c r="C32" s="224"/>
      <c r="D32" s="224"/>
      <c r="E32" s="224"/>
      <c r="F32" s="224"/>
      <c r="G32" s="224"/>
      <c r="H32" s="225"/>
      <c r="I32" s="67" t="s">
        <v>129</v>
      </c>
      <c r="K32" s="68"/>
      <c r="L32" s="68"/>
    </row>
    <row r="33" spans="1:15" s="63" customFormat="1" ht="105.75" customHeight="1" x14ac:dyDescent="0.25">
      <c r="A33" s="69" t="s">
        <v>130</v>
      </c>
      <c r="B33" s="70" t="s">
        <v>131</v>
      </c>
      <c r="C33" s="70" t="s">
        <v>132</v>
      </c>
      <c r="D33" s="71" t="s">
        <v>133</v>
      </c>
      <c r="E33" s="72" t="s">
        <v>134</v>
      </c>
      <c r="F33" s="71" t="s">
        <v>135</v>
      </c>
      <c r="G33" s="74" t="s">
        <v>136</v>
      </c>
      <c r="H33" s="70" t="s">
        <v>137</v>
      </c>
      <c r="I33" s="70" t="s">
        <v>138</v>
      </c>
      <c r="J33" s="49"/>
      <c r="K33" s="68"/>
      <c r="L33" s="68"/>
      <c r="N33" s="68"/>
      <c r="O33" s="75"/>
    </row>
    <row r="34" spans="1:15" ht="19.5" thickBot="1" x14ac:dyDescent="0.3">
      <c r="A34" s="76">
        <f>A28</f>
        <v>0</v>
      </c>
      <c r="B34" s="77" t="str">
        <f>B28</f>
        <v>E.LAGASSY</v>
      </c>
      <c r="C34" s="77" t="str">
        <f>CONCATENATE("Sonde ",B13)</f>
        <v>Sonde 0</v>
      </c>
      <c r="D34" s="77" t="e">
        <f ca="1">AVERAGE(INDIRECT("Valeurs_Brutes["&amp; CONCATENATE("Connecteur ", SUBSTITUTE(G10, "Voie ","")) &amp;"]"))</f>
        <v>#N/A</v>
      </c>
      <c r="E34" s="79" t="e">
        <f ca="1">D34+I11+I15</f>
        <v>#N/A</v>
      </c>
      <c r="F34" s="80">
        <f>Mesures_Congel!M50</f>
        <v>0</v>
      </c>
      <c r="G34" s="80">
        <f>F34+G22</f>
        <v>0</v>
      </c>
      <c r="H34" s="80" t="e">
        <f ca="1">G34-E34</f>
        <v>#N/A</v>
      </c>
      <c r="I34" s="81" t="e">
        <f ca="1">IF(OR(E34&gt;Mesures_Congel!B19+Mesures_Congel!B20,E34&lt;Mesures_Congel!B19-Mesures_Congel!B20),"NON CONFORME","CONFORME")</f>
        <v>#N/A</v>
      </c>
    </row>
    <row r="35" spans="1:15" ht="16.5" thickBot="1" x14ac:dyDescent="0.3"/>
    <row r="36" spans="1:15" ht="18.75" customHeight="1" x14ac:dyDescent="0.25">
      <c r="A36" s="226" t="s">
        <v>140</v>
      </c>
      <c r="B36" s="226"/>
      <c r="C36" s="226"/>
      <c r="D36" s="226"/>
      <c r="E36" s="226"/>
      <c r="F36" s="226"/>
      <c r="G36" s="226"/>
      <c r="H36" s="226"/>
      <c r="I36" s="226"/>
      <c r="J36" s="83" t="s">
        <v>141</v>
      </c>
      <c r="K36" s="84">
        <f ca="1">TODAY()</f>
        <v>45323</v>
      </c>
    </row>
    <row r="37" spans="1:15" ht="19.5" thickBot="1" x14ac:dyDescent="0.3">
      <c r="D37" s="85"/>
      <c r="E37" s="85"/>
      <c r="F37" s="85"/>
      <c r="G37" s="85"/>
      <c r="H37" s="85"/>
      <c r="I37" s="49" t="s">
        <v>142</v>
      </c>
      <c r="J37" s="86" t="s">
        <v>143</v>
      </c>
      <c r="K37" s="87">
        <f ca="1">EDATE(K36,6)</f>
        <v>45505</v>
      </c>
    </row>
  </sheetData>
  <sheetProtection algorithmName="SHA-512" hashValue="7+93QTEoCyhoyenW/V/JiCz/pPRYAMw5UkBepohqH05/4T2UE1cQt7qGqvD0dhpiMiHcMT0ZIlKeJ3hj+loyyg==" saltValue="p2rw8hnScudYQ5vtDUrAtQ==" spinCount="100000" sheet="1" objects="1" scenarios="1" autoFilter="0"/>
  <mergeCells count="26">
    <mergeCell ref="A32:H32"/>
    <mergeCell ref="A36:I36"/>
    <mergeCell ref="A22:B22"/>
    <mergeCell ref="D22:F22"/>
    <mergeCell ref="A24:I24"/>
    <mergeCell ref="A25:I25"/>
    <mergeCell ref="A26:H26"/>
    <mergeCell ref="A29:H29"/>
    <mergeCell ref="A19:B19"/>
    <mergeCell ref="H19:I19"/>
    <mergeCell ref="A20:B20"/>
    <mergeCell ref="D20:F20"/>
    <mergeCell ref="A21:B21"/>
    <mergeCell ref="D21:F21"/>
    <mergeCell ref="A17:I17"/>
    <mergeCell ref="B1:I1"/>
    <mergeCell ref="A3:I3"/>
    <mergeCell ref="A4:I4"/>
    <mergeCell ref="A5:I5"/>
    <mergeCell ref="A6:I6"/>
    <mergeCell ref="A8:I8"/>
    <mergeCell ref="D10:F10"/>
    <mergeCell ref="D11:F11"/>
    <mergeCell ref="D13:F13"/>
    <mergeCell ref="D14:F14"/>
    <mergeCell ref="D15:F15"/>
  </mergeCells>
  <conditionalFormatting sqref="I28">
    <cfRule type="containsText" dxfId="46" priority="5" operator="containsText" text="NON CONFORME">
      <formula>NOT(ISERROR(SEARCH("NON CONFORME",I28)))</formula>
    </cfRule>
    <cfRule type="containsText" dxfId="45" priority="6" operator="containsText" text="CONFORME">
      <formula>NOT(ISERROR(SEARCH("CONFORME",I28)))</formula>
    </cfRule>
  </conditionalFormatting>
  <conditionalFormatting sqref="I31">
    <cfRule type="containsText" dxfId="44" priority="3" operator="containsText" text="NON CONFORME">
      <formula>NOT(ISERROR(SEARCH("NON CONFORME",I31)))</formula>
    </cfRule>
    <cfRule type="containsText" dxfId="43" priority="4" operator="containsText" text="CONFORME">
      <formula>NOT(ISERROR(SEARCH("CONFORME",I31)))</formula>
    </cfRule>
  </conditionalFormatting>
  <conditionalFormatting sqref="I34">
    <cfRule type="containsText" dxfId="42" priority="1" operator="containsText" text="NON CONFORME">
      <formula>NOT(ISERROR(SEARCH("NON CONFORME",I34)))</formula>
    </cfRule>
    <cfRule type="containsText" dxfId="41" priority="2" operator="containsText" text="CONFORME">
      <formula>NOT(ISERROR(SEARCH("CONFORME",I34)))</formula>
    </cfRule>
  </conditionalFormatting>
  <pageMargins left="0.7" right="0.7" top="0.75" bottom="0.75" header="0.3" footer="0.3"/>
  <pageSetup paperSize="9" scale="26"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3"/>
  <sheetViews>
    <sheetView topLeftCell="A4" workbookViewId="0">
      <selection activeCell="M16" sqref="M16"/>
    </sheetView>
  </sheetViews>
  <sheetFormatPr baseColWidth="10" defaultRowHeight="15" x14ac:dyDescent="0.25"/>
  <cols>
    <col min="1" max="1" width="13.5703125" bestFit="1" customWidth="1"/>
    <col min="2" max="2" width="14.7109375" bestFit="1" customWidth="1"/>
    <col min="3" max="3" width="18.85546875" bestFit="1" customWidth="1"/>
    <col min="4" max="4" width="20.42578125" bestFit="1" customWidth="1"/>
    <col min="5" max="5" width="11.5703125" bestFit="1"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1"/>
      <c r="B1" s="1"/>
      <c r="C1" s="1"/>
      <c r="D1" s="1"/>
      <c r="E1" s="1"/>
      <c r="F1" s="1"/>
      <c r="G1" s="1"/>
      <c r="H1" s="1"/>
      <c r="I1" s="1"/>
      <c r="J1" s="1"/>
      <c r="K1" s="1"/>
      <c r="L1" s="1"/>
      <c r="M1" s="1"/>
      <c r="N1" s="1"/>
      <c r="O1" s="1"/>
    </row>
    <row r="2" spans="1:15" x14ac:dyDescent="0.25">
      <c r="A2" s="1"/>
      <c r="B2" s="189" t="s">
        <v>11</v>
      </c>
      <c r="C2" s="190"/>
      <c r="D2" s="190"/>
      <c r="E2" s="190"/>
      <c r="F2" s="190"/>
      <c r="G2" s="190"/>
      <c r="H2" s="190"/>
      <c r="I2" s="190"/>
      <c r="J2" s="190"/>
      <c r="K2" s="190"/>
      <c r="L2" s="1"/>
      <c r="M2" s="1"/>
      <c r="N2" s="1"/>
      <c r="O2" s="1"/>
    </row>
    <row r="3" spans="1:15" x14ac:dyDescent="0.25">
      <c r="A3" s="1"/>
      <c r="B3" s="190"/>
      <c r="C3" s="190"/>
      <c r="D3" s="190"/>
      <c r="E3" s="190"/>
      <c r="F3" s="190"/>
      <c r="G3" s="190"/>
      <c r="H3" s="190"/>
      <c r="I3" s="190"/>
      <c r="J3" s="190"/>
      <c r="K3" s="190"/>
      <c r="L3" s="1"/>
      <c r="M3" s="1"/>
      <c r="N3" s="1"/>
      <c r="O3" s="1"/>
    </row>
    <row r="4" spans="1:15" ht="57" x14ac:dyDescent="0.25">
      <c r="A4" s="1"/>
      <c r="B4" s="2"/>
      <c r="C4" s="2"/>
      <c r="D4" s="2"/>
      <c r="E4" s="2"/>
      <c r="F4" s="2"/>
      <c r="G4" s="2"/>
      <c r="H4" s="2"/>
      <c r="I4" s="2"/>
      <c r="J4" s="2"/>
      <c r="K4" s="2"/>
      <c r="L4" s="1"/>
      <c r="M4" s="1"/>
      <c r="N4" s="1"/>
      <c r="O4" s="1"/>
    </row>
    <row r="5" spans="1:15" x14ac:dyDescent="0.25">
      <c r="A5" s="183" t="s">
        <v>0</v>
      </c>
      <c r="B5" s="183"/>
      <c r="C5" s="183"/>
      <c r="D5" s="165"/>
      <c r="E5" s="1"/>
      <c r="F5" s="1"/>
      <c r="G5" s="1"/>
      <c r="H5" s="1"/>
      <c r="I5" s="1"/>
      <c r="J5" s="1"/>
      <c r="K5" s="1"/>
      <c r="L5" s="1"/>
      <c r="M5" s="1"/>
      <c r="N5" s="1"/>
      <c r="O5" s="24"/>
    </row>
    <row r="6" spans="1:15" x14ac:dyDescent="0.25">
      <c r="A6" s="1"/>
      <c r="B6" s="1"/>
      <c r="C6" s="1"/>
      <c r="D6" s="1"/>
      <c r="E6" s="1"/>
      <c r="F6" s="1"/>
      <c r="G6" s="1"/>
      <c r="H6" s="1"/>
      <c r="I6" s="1"/>
      <c r="J6" s="1"/>
      <c r="K6" s="1"/>
      <c r="L6" s="1"/>
      <c r="M6" s="1"/>
      <c r="N6" s="1"/>
      <c r="O6" s="1"/>
    </row>
    <row r="7" spans="1:15" x14ac:dyDescent="0.25">
      <c r="A7" s="183" t="s">
        <v>1</v>
      </c>
      <c r="B7" s="183"/>
      <c r="C7" s="4"/>
      <c r="D7" s="1"/>
      <c r="E7" s="183" t="s">
        <v>19</v>
      </c>
      <c r="F7" s="183"/>
      <c r="G7" s="4"/>
      <c r="H7" s="1"/>
      <c r="I7" s="1"/>
      <c r="J7" s="1"/>
      <c r="K7" s="1"/>
      <c r="L7" s="1"/>
      <c r="M7" s="1"/>
      <c r="N7" s="1"/>
      <c r="O7" s="5"/>
    </row>
    <row r="8" spans="1:15" x14ac:dyDescent="0.25">
      <c r="A8" s="183" t="s">
        <v>2</v>
      </c>
      <c r="B8" s="183"/>
      <c r="C8" s="6"/>
      <c r="D8" s="1"/>
      <c r="E8" s="183" t="s">
        <v>20</v>
      </c>
      <c r="F8" s="183"/>
      <c r="G8" s="6"/>
      <c r="H8" s="1"/>
      <c r="I8" s="1"/>
      <c r="J8" s="1"/>
      <c r="K8" s="1"/>
      <c r="L8" s="1"/>
      <c r="M8" s="1"/>
      <c r="N8" s="1"/>
      <c r="O8" s="5"/>
    </row>
    <row r="9" spans="1:15" x14ac:dyDescent="0.25">
      <c r="A9" s="1"/>
      <c r="B9" s="1"/>
      <c r="C9" s="1"/>
      <c r="D9" s="1"/>
      <c r="E9" s="1"/>
      <c r="F9" s="1"/>
      <c r="G9" s="1"/>
      <c r="H9" s="1"/>
      <c r="I9" s="1"/>
      <c r="J9" s="1"/>
      <c r="K9" s="1"/>
      <c r="L9" s="1"/>
      <c r="M9" s="1"/>
      <c r="N9" s="1"/>
      <c r="O9" s="5"/>
    </row>
    <row r="10" spans="1:15" x14ac:dyDescent="0.25">
      <c r="A10" s="179" t="s">
        <v>3</v>
      </c>
      <c r="B10" s="180"/>
      <c r="C10" s="7"/>
      <c r="D10" s="1"/>
      <c r="E10" s="179" t="s">
        <v>21</v>
      </c>
      <c r="F10" s="180"/>
      <c r="G10" s="8"/>
      <c r="H10" s="1"/>
      <c r="I10" s="1"/>
      <c r="J10" s="1"/>
      <c r="K10" s="1"/>
      <c r="L10" s="1"/>
      <c r="M10" s="1"/>
      <c r="N10" s="1"/>
      <c r="O10" s="1"/>
    </row>
    <row r="11" spans="1:15" x14ac:dyDescent="0.25">
      <c r="A11" s="179" t="s">
        <v>4</v>
      </c>
      <c r="B11" s="180"/>
      <c r="C11" s="8"/>
      <c r="D11" s="1"/>
      <c r="E11" s="183" t="s">
        <v>22</v>
      </c>
      <c r="F11" s="183"/>
      <c r="G11" s="161">
        <v>9</v>
      </c>
      <c r="H11" s="1"/>
      <c r="I11" s="1"/>
      <c r="J11" s="1"/>
      <c r="K11" s="1"/>
      <c r="L11" s="1"/>
      <c r="M11" s="1"/>
      <c r="N11" s="1"/>
      <c r="O11" s="1"/>
    </row>
    <row r="12" spans="1:15" x14ac:dyDescent="0.25">
      <c r="A12" s="1"/>
      <c r="B12" s="1"/>
      <c r="C12" s="1"/>
      <c r="D12" s="1"/>
      <c r="E12" s="183" t="s">
        <v>23</v>
      </c>
      <c r="F12" s="183"/>
      <c r="G12" s="10"/>
      <c r="H12" s="1"/>
      <c r="I12" s="1"/>
      <c r="J12" s="1"/>
      <c r="K12" s="1"/>
      <c r="L12" s="1"/>
      <c r="M12" s="1"/>
      <c r="N12" s="1"/>
      <c r="O12" s="1"/>
    </row>
    <row r="13" spans="1:15" x14ac:dyDescent="0.25">
      <c r="A13" s="1"/>
      <c r="B13" s="1"/>
      <c r="C13" s="1"/>
      <c r="D13" s="1"/>
      <c r="E13" s="1"/>
      <c r="F13" s="1"/>
      <c r="G13" s="1"/>
      <c r="H13" s="1"/>
      <c r="I13" s="1"/>
      <c r="J13" s="1"/>
      <c r="K13" s="1"/>
      <c r="L13" s="1"/>
      <c r="M13" s="1"/>
      <c r="N13" s="1"/>
      <c r="O13" s="1"/>
    </row>
    <row r="14" spans="1:15" x14ac:dyDescent="0.25">
      <c r="A14" s="179" t="s">
        <v>5</v>
      </c>
      <c r="B14" s="180"/>
      <c r="C14" s="4"/>
      <c r="D14" s="1"/>
      <c r="E14" s="1"/>
      <c r="F14" s="1"/>
      <c r="G14" s="1"/>
      <c r="H14" s="1"/>
      <c r="I14" s="1"/>
      <c r="J14" s="1"/>
      <c r="K14" s="1"/>
      <c r="L14" s="1"/>
      <c r="M14" s="1"/>
      <c r="N14" s="1"/>
      <c r="O14" s="1"/>
    </row>
    <row r="15" spans="1:15" x14ac:dyDescent="0.25">
      <c r="A15" s="179" t="s">
        <v>6</v>
      </c>
      <c r="B15" s="180"/>
      <c r="C15" s="10"/>
      <c r="D15" s="1"/>
      <c r="E15" s="1"/>
      <c r="F15" s="1"/>
      <c r="G15" s="1"/>
      <c r="H15" s="1"/>
      <c r="I15" s="1"/>
      <c r="J15" s="1"/>
      <c r="K15" s="1"/>
      <c r="L15" s="1"/>
      <c r="M15" s="1"/>
      <c r="N15" s="1"/>
      <c r="O15" s="1"/>
    </row>
    <row r="16" spans="1:15"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63">
        <v>50</v>
      </c>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15</v>
      </c>
      <c r="D22" s="13" t="s">
        <v>17</v>
      </c>
      <c r="E22" s="14" t="s">
        <v>24</v>
      </c>
      <c r="F22" s="1"/>
      <c r="G22" s="1"/>
      <c r="H22" s="1"/>
      <c r="I22" s="1"/>
      <c r="J22" s="1"/>
      <c r="K22" s="1"/>
      <c r="L22" s="1"/>
      <c r="M22" s="1"/>
      <c r="N22" s="1"/>
      <c r="O22" s="1"/>
    </row>
    <row r="23" spans="1:15" x14ac:dyDescent="0.25">
      <c r="A23" s="15">
        <v>1</v>
      </c>
      <c r="B23" s="11"/>
      <c r="C23" s="11"/>
      <c r="D23" s="249"/>
      <c r="E23" s="249"/>
      <c r="F23" s="1"/>
      <c r="G23" s="1"/>
      <c r="H23" s="1"/>
      <c r="I23" s="1"/>
      <c r="J23" s="1"/>
      <c r="K23" s="1"/>
      <c r="L23" s="1"/>
      <c r="M23" s="1"/>
      <c r="N23" s="1"/>
      <c r="O23" s="1"/>
    </row>
    <row r="24" spans="1:15" x14ac:dyDescent="0.25">
      <c r="A24" s="19">
        <v>2</v>
      </c>
      <c r="B24" s="11"/>
      <c r="C24" s="11"/>
      <c r="D24" s="249"/>
      <c r="E24" s="249"/>
      <c r="F24" s="1"/>
      <c r="G24" s="1"/>
      <c r="H24" s="1"/>
      <c r="I24" s="1"/>
      <c r="J24" s="1"/>
      <c r="K24" s="1"/>
      <c r="L24" s="1"/>
      <c r="M24" s="1"/>
      <c r="N24" s="1"/>
      <c r="O24" s="1"/>
    </row>
    <row r="25" spans="1:15" x14ac:dyDescent="0.25">
      <c r="A25" s="15">
        <v>3</v>
      </c>
      <c r="B25" s="11"/>
      <c r="C25" s="11"/>
      <c r="D25" s="249"/>
      <c r="E25" s="249"/>
      <c r="F25" s="1"/>
      <c r="G25" s="1"/>
      <c r="H25" s="1"/>
      <c r="I25" s="1"/>
      <c r="J25" s="1"/>
      <c r="K25" s="1"/>
      <c r="L25" s="1"/>
      <c r="M25" s="1"/>
      <c r="N25" s="1"/>
      <c r="O25" s="1"/>
    </row>
    <row r="26" spans="1:15" x14ac:dyDescent="0.25">
      <c r="A26" s="19">
        <v>4</v>
      </c>
      <c r="B26" s="11"/>
      <c r="C26" s="11"/>
      <c r="D26" s="249"/>
      <c r="E26" s="249"/>
      <c r="F26" s="1"/>
      <c r="G26" s="1"/>
      <c r="H26" s="1"/>
      <c r="I26" s="1"/>
      <c r="J26" s="1"/>
      <c r="K26" s="1"/>
      <c r="L26" s="1"/>
      <c r="M26" s="1"/>
      <c r="N26" s="1"/>
      <c r="O26" s="1"/>
    </row>
    <row r="27" spans="1:15" x14ac:dyDescent="0.25">
      <c r="A27" s="15">
        <v>5</v>
      </c>
      <c r="B27" s="11"/>
      <c r="C27" s="11"/>
      <c r="D27" s="249"/>
      <c r="E27" s="249"/>
      <c r="F27" s="1"/>
      <c r="G27" s="1"/>
      <c r="H27" s="1"/>
      <c r="I27" s="1"/>
      <c r="J27" s="1"/>
      <c r="K27" s="1"/>
      <c r="L27" s="1"/>
      <c r="M27" s="1"/>
      <c r="N27" s="1"/>
      <c r="O27" s="1"/>
    </row>
    <row r="28" spans="1:15" x14ac:dyDescent="0.25">
      <c r="A28" s="19">
        <v>6</v>
      </c>
      <c r="B28" s="11"/>
      <c r="C28" s="11"/>
      <c r="D28" s="249"/>
      <c r="E28" s="249"/>
      <c r="F28" s="1"/>
      <c r="G28" s="1"/>
      <c r="H28" s="1"/>
      <c r="I28" s="1"/>
      <c r="J28" s="1"/>
      <c r="K28" s="1"/>
      <c r="L28" s="1"/>
      <c r="M28" s="1"/>
      <c r="N28" s="1"/>
      <c r="O28" s="1"/>
    </row>
    <row r="29" spans="1:15" x14ac:dyDescent="0.25">
      <c r="A29" s="15">
        <v>7</v>
      </c>
      <c r="B29" s="11"/>
      <c r="C29" s="11"/>
      <c r="D29" s="249"/>
      <c r="E29" s="249"/>
      <c r="F29" s="1"/>
      <c r="G29" s="1"/>
      <c r="H29" s="1"/>
      <c r="I29" s="1"/>
      <c r="J29" s="1"/>
      <c r="K29" s="1"/>
      <c r="L29" s="1"/>
      <c r="M29" s="1"/>
      <c r="N29" s="1"/>
      <c r="O29" s="1"/>
    </row>
    <row r="30" spans="1:15" x14ac:dyDescent="0.25">
      <c r="A30" s="19">
        <v>8</v>
      </c>
      <c r="B30" s="11"/>
      <c r="C30" s="11"/>
      <c r="D30" s="249"/>
      <c r="E30" s="249"/>
      <c r="F30" s="1"/>
      <c r="G30" s="1"/>
      <c r="H30" s="1"/>
      <c r="I30" s="1"/>
      <c r="J30" s="1"/>
      <c r="K30" s="1"/>
      <c r="L30" s="1"/>
      <c r="M30" s="1"/>
      <c r="N30" s="1"/>
      <c r="O30" s="1"/>
    </row>
    <row r="31" spans="1:15" x14ac:dyDescent="0.25">
      <c r="A31" s="15">
        <v>9</v>
      </c>
      <c r="B31" s="11"/>
      <c r="C31" s="11"/>
      <c r="D31" s="249"/>
      <c r="E31" s="249"/>
      <c r="F31" s="1"/>
      <c r="G31" s="1"/>
      <c r="H31" s="1"/>
      <c r="I31" s="1"/>
      <c r="J31" s="1"/>
      <c r="K31" s="1"/>
      <c r="L31" s="1"/>
      <c r="M31" s="1"/>
      <c r="N31" s="1"/>
      <c r="O31" s="1"/>
    </row>
    <row r="32" spans="1:15" x14ac:dyDescent="0.25">
      <c r="A32" s="1"/>
      <c r="B32" s="1"/>
      <c r="C32" s="1"/>
      <c r="D32" s="1"/>
      <c r="E32" s="1"/>
      <c r="F32" s="1"/>
      <c r="G32" s="1"/>
      <c r="H32" s="1"/>
      <c r="I32" s="1"/>
      <c r="J32" s="1"/>
    </row>
    <row r="33" spans="1:15" x14ac:dyDescent="0.25">
      <c r="A33" s="1"/>
      <c r="B33" s="1"/>
      <c r="C33" s="1"/>
      <c r="D33" s="1"/>
      <c r="E33" s="1"/>
      <c r="F33" s="1"/>
      <c r="G33" s="1"/>
      <c r="H33" s="1"/>
      <c r="I33" s="1"/>
      <c r="J33" s="1"/>
    </row>
    <row r="34" spans="1:15" x14ac:dyDescent="0.25">
      <c r="A34" s="248"/>
      <c r="B34" s="248"/>
      <c r="C34" s="248"/>
      <c r="D34" s="248"/>
      <c r="E34" s="248"/>
      <c r="F34" s="248"/>
      <c r="G34" s="1"/>
      <c r="H34" s="1"/>
      <c r="I34" s="1"/>
      <c r="J34" s="1"/>
    </row>
    <row r="35" spans="1:15" x14ac:dyDescent="0.25">
      <c r="A35" s="248"/>
      <c r="B35" s="248"/>
      <c r="C35" s="248"/>
      <c r="D35" s="248"/>
      <c r="E35" s="248"/>
      <c r="F35" s="248"/>
      <c r="G35" s="1"/>
      <c r="H35" s="1"/>
      <c r="I35" s="1"/>
      <c r="J35" s="1"/>
      <c r="K35" s="1"/>
      <c r="L35" s="1"/>
      <c r="M35" s="1"/>
      <c r="N35" s="1"/>
      <c r="O35" s="1"/>
    </row>
    <row r="36" spans="1:15" x14ac:dyDescent="0.25">
      <c r="A36" s="248"/>
      <c r="B36" s="248"/>
      <c r="C36" s="248"/>
      <c r="D36" s="248"/>
      <c r="E36" s="248"/>
      <c r="F36" s="248"/>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182" t="s">
        <v>13</v>
      </c>
      <c r="C38" s="182"/>
      <c r="D38" s="1"/>
      <c r="E38" s="1"/>
      <c r="F38" s="1"/>
      <c r="G38" s="1"/>
      <c r="H38" s="1"/>
      <c r="I38" s="1"/>
      <c r="J38" s="1"/>
      <c r="K38" s="1"/>
      <c r="L38" s="182" t="s">
        <v>31</v>
      </c>
      <c r="M38" s="182"/>
      <c r="N38" s="1"/>
      <c r="O38" s="1"/>
    </row>
    <row r="39" spans="1:15" x14ac:dyDescent="0.25">
      <c r="A39" s="1"/>
      <c r="B39" s="1"/>
      <c r="C39" s="1"/>
      <c r="D39" s="1"/>
      <c r="E39" s="1"/>
      <c r="F39" s="1"/>
      <c r="G39" s="1"/>
      <c r="H39" s="1"/>
      <c r="I39" s="1"/>
      <c r="J39" s="1"/>
      <c r="K39" s="1"/>
      <c r="L39" s="1"/>
      <c r="M39" s="1"/>
      <c r="N39" s="1"/>
      <c r="O39" s="1"/>
    </row>
    <row r="40" spans="1:15" x14ac:dyDescent="0.25">
      <c r="A40" s="183" t="s">
        <v>10</v>
      </c>
      <c r="B40" s="183"/>
      <c r="C40" s="184"/>
      <c r="D40" s="184"/>
      <c r="E40" s="184"/>
      <c r="F40" s="185"/>
      <c r="G40" s="1"/>
      <c r="H40" s="1"/>
      <c r="I40" s="1"/>
      <c r="J40" s="1"/>
      <c r="K40" s="183" t="s">
        <v>27</v>
      </c>
      <c r="L40" s="183"/>
      <c r="M40" s="183"/>
      <c r="N40" s="183"/>
      <c r="O40" s="183"/>
    </row>
    <row r="41" spans="1:15" ht="60" x14ac:dyDescent="0.25">
      <c r="A41" s="183"/>
      <c r="B41" s="183"/>
      <c r="C41" s="3" t="s">
        <v>16</v>
      </c>
      <c r="D41" s="20" t="s">
        <v>18</v>
      </c>
      <c r="E41" s="20" t="s">
        <v>25</v>
      </c>
      <c r="F41" s="20" t="s">
        <v>26</v>
      </c>
      <c r="G41" s="1"/>
      <c r="H41" s="1"/>
      <c r="I41" s="1"/>
      <c r="J41" s="1"/>
      <c r="K41" s="186"/>
      <c r="L41" s="186"/>
      <c r="M41" s="3" t="s">
        <v>33</v>
      </c>
      <c r="N41" s="3" t="s">
        <v>35</v>
      </c>
      <c r="O41" s="3" t="s">
        <v>36</v>
      </c>
    </row>
    <row r="42" spans="1:15" x14ac:dyDescent="0.25">
      <c r="A42" s="179" t="str">
        <f>CONCATENATE("Sonde ", B23)</f>
        <v xml:space="preserve">Sonde </v>
      </c>
      <c r="B42" s="180"/>
      <c r="C42" s="10"/>
      <c r="D42" s="10"/>
      <c r="E42" s="10"/>
      <c r="F42" s="10"/>
      <c r="G42" s="1"/>
      <c r="H42" s="1"/>
      <c r="I42" s="1"/>
      <c r="J42" s="1"/>
      <c r="K42" s="187" t="s">
        <v>28</v>
      </c>
      <c r="L42" s="188"/>
      <c r="M42" s="10"/>
      <c r="N42" s="10"/>
      <c r="O42" s="10"/>
    </row>
    <row r="43" spans="1:15" x14ac:dyDescent="0.25">
      <c r="A43" s="179" t="str">
        <f>"Sonde " &amp; B24</f>
        <v xml:space="preserve">Sonde </v>
      </c>
      <c r="B43" s="180"/>
      <c r="C43" s="10"/>
      <c r="D43" s="10"/>
      <c r="E43" s="10"/>
      <c r="F43" s="10"/>
      <c r="G43" s="1"/>
      <c r="H43" s="1"/>
      <c r="I43" s="1"/>
      <c r="J43" s="1"/>
      <c r="K43" s="1"/>
      <c r="L43" s="1"/>
      <c r="M43" s="1"/>
      <c r="N43" s="1"/>
      <c r="O43" s="1"/>
    </row>
    <row r="44" spans="1:15" x14ac:dyDescent="0.25">
      <c r="A44" s="179" t="str">
        <f>"Sonde " &amp; B25</f>
        <v xml:space="preserve">Sonde </v>
      </c>
      <c r="B44" s="180"/>
      <c r="C44" s="10"/>
      <c r="D44" s="10"/>
      <c r="E44" s="10"/>
      <c r="F44" s="10"/>
      <c r="G44" s="1"/>
      <c r="H44" s="1"/>
      <c r="I44" s="1"/>
      <c r="J44" s="1"/>
      <c r="K44" s="1"/>
      <c r="L44" s="1"/>
      <c r="M44" s="1"/>
      <c r="N44" s="1"/>
      <c r="O44" s="1"/>
    </row>
    <row r="45" spans="1:15" x14ac:dyDescent="0.25">
      <c r="A45" s="179" t="str">
        <f>"Sonde " &amp; B26</f>
        <v xml:space="preserve">Sonde </v>
      </c>
      <c r="B45" s="180"/>
      <c r="C45" s="10"/>
      <c r="D45" s="10"/>
      <c r="E45" s="10"/>
      <c r="F45" s="10"/>
      <c r="G45" s="1"/>
      <c r="H45" s="1"/>
      <c r="I45" s="1"/>
      <c r="J45" s="1"/>
      <c r="K45" s="1"/>
      <c r="L45" s="1"/>
      <c r="M45" s="1"/>
      <c r="N45" s="1"/>
      <c r="O45" s="1"/>
    </row>
    <row r="46" spans="1:15" ht="26.25" x14ac:dyDescent="0.25">
      <c r="A46" s="179" t="str">
        <f>"Sonde " &amp; B27</f>
        <v xml:space="preserve">Sonde </v>
      </c>
      <c r="B46" s="180"/>
      <c r="C46" s="10"/>
      <c r="D46" s="10"/>
      <c r="E46" s="10"/>
      <c r="F46" s="10"/>
      <c r="G46" s="1"/>
      <c r="H46" s="1"/>
      <c r="I46" s="1"/>
      <c r="J46" s="1"/>
      <c r="K46" s="1"/>
      <c r="L46" s="182" t="s">
        <v>32</v>
      </c>
      <c r="M46" s="182"/>
      <c r="N46" s="1"/>
      <c r="O46" s="1"/>
    </row>
    <row r="47" spans="1:15" ht="60" x14ac:dyDescent="0.25">
      <c r="A47" s="179" t="str">
        <f>"Sonde " &amp; B28</f>
        <v xml:space="preserve">Sonde </v>
      </c>
      <c r="B47" s="180"/>
      <c r="C47" s="10"/>
      <c r="D47" s="10"/>
      <c r="E47" s="10"/>
      <c r="F47" s="10"/>
      <c r="G47" s="1"/>
      <c r="H47" s="1"/>
      <c r="I47" s="1"/>
      <c r="J47" s="1"/>
      <c r="K47" s="1"/>
      <c r="L47" s="1"/>
      <c r="M47" s="21" t="s">
        <v>34</v>
      </c>
      <c r="N47" s="1"/>
      <c r="O47" s="1"/>
    </row>
    <row r="48" spans="1:15" x14ac:dyDescent="0.25">
      <c r="A48" s="179" t="str">
        <f>"Sonde " &amp; B29</f>
        <v xml:space="preserve">Sonde </v>
      </c>
      <c r="B48" s="180"/>
      <c r="C48" s="10"/>
      <c r="D48" s="10"/>
      <c r="E48" s="10"/>
      <c r="F48" s="10"/>
      <c r="G48" s="1"/>
      <c r="H48" s="1"/>
      <c r="I48" s="1"/>
      <c r="J48" s="1"/>
      <c r="K48" s="181" t="s">
        <v>29</v>
      </c>
      <c r="L48" s="181"/>
      <c r="M48" s="10"/>
      <c r="N48" s="1"/>
      <c r="O48" s="1"/>
    </row>
    <row r="49" spans="1:15" x14ac:dyDescent="0.25">
      <c r="A49" s="179" t="str">
        <f>"Sonde " &amp; B30</f>
        <v xml:space="preserve">Sonde </v>
      </c>
      <c r="B49" s="180"/>
      <c r="C49" s="10"/>
      <c r="D49" s="10"/>
      <c r="E49" s="10"/>
      <c r="F49" s="10"/>
      <c r="G49" s="1"/>
      <c r="H49" s="1"/>
      <c r="I49" s="1"/>
      <c r="J49" s="1"/>
      <c r="K49" s="181" t="s">
        <v>30</v>
      </c>
      <c r="L49" s="181"/>
      <c r="M49" s="10"/>
      <c r="N49" s="1"/>
      <c r="O49" s="1"/>
    </row>
    <row r="50" spans="1:15" x14ac:dyDescent="0.25">
      <c r="A50" s="179" t="str">
        <f>"Sonde " &amp; B31</f>
        <v xml:space="preserve">Sonde </v>
      </c>
      <c r="B50" s="180"/>
      <c r="C50" s="10"/>
      <c r="D50" s="10"/>
      <c r="E50" s="10"/>
      <c r="F50" s="10"/>
      <c r="G50" s="1"/>
      <c r="H50" s="1"/>
      <c r="I50" s="1"/>
      <c r="J50" s="1"/>
      <c r="K50" s="181" t="s">
        <v>31</v>
      </c>
      <c r="L50" s="181"/>
      <c r="M50" s="10"/>
      <c r="N50" s="1"/>
      <c r="O50" s="1"/>
    </row>
    <row r="51" spans="1:15" x14ac:dyDescent="0.25">
      <c r="A51" s="1"/>
      <c r="B51" s="1"/>
      <c r="C51" s="1"/>
      <c r="D51" s="1"/>
      <c r="E51" s="1"/>
      <c r="F51" s="1"/>
      <c r="G51" s="1"/>
      <c r="H51" s="1"/>
      <c r="I51" s="1"/>
    </row>
    <row r="52" spans="1:15" x14ac:dyDescent="0.25">
      <c r="A52" s="1"/>
      <c r="B52" s="1"/>
      <c r="C52" s="1"/>
      <c r="D52" s="1"/>
      <c r="E52" s="1"/>
      <c r="F52" s="1"/>
      <c r="G52" s="1"/>
      <c r="H52" s="1"/>
      <c r="I52" s="1"/>
    </row>
    <row r="53" spans="1:15" x14ac:dyDescent="0.25">
      <c r="A53" s="1"/>
      <c r="B53" s="1"/>
      <c r="C53" s="1"/>
      <c r="D53" s="1"/>
      <c r="E53" s="1"/>
      <c r="F53" s="1"/>
      <c r="G53" s="1"/>
      <c r="H53" s="1"/>
      <c r="I53" s="1"/>
    </row>
  </sheetData>
  <sheetProtection algorithmName="SHA-512" hashValue="1/+5paPhlgb4f6RL0CRSSbNyfClfs0Ehmn19Kd6jR1EW9p6nmfXge+vL9CzTxwvPihF9LwESHErGMwL03Dxyhw==" saltValue="d1KcBqmt1SXcBhWyVgWZEA==" spinCount="100000" sheet="1" objects="1" scenarios="1" autoFilter="0"/>
  <protectedRanges>
    <protectedRange sqref="C10" name="Donnees controleur_8"/>
  </protectedRanges>
  <mergeCells count="33">
    <mergeCell ref="A47:B47"/>
    <mergeCell ref="A48:B48"/>
    <mergeCell ref="K48:L48"/>
    <mergeCell ref="A49:B49"/>
    <mergeCell ref="K49:L49"/>
    <mergeCell ref="A50:B50"/>
    <mergeCell ref="K50:L50"/>
    <mergeCell ref="A42:B42"/>
    <mergeCell ref="K42:L42"/>
    <mergeCell ref="A43:B43"/>
    <mergeCell ref="A44:B44"/>
    <mergeCell ref="A45:B45"/>
    <mergeCell ref="A46:B46"/>
    <mergeCell ref="L46:M46"/>
    <mergeCell ref="A15:B15"/>
    <mergeCell ref="B38:C38"/>
    <mergeCell ref="L38:M38"/>
    <mergeCell ref="A40:F40"/>
    <mergeCell ref="K40:O40"/>
    <mergeCell ref="A41:B41"/>
    <mergeCell ref="K41:L41"/>
    <mergeCell ref="A10:B10"/>
    <mergeCell ref="E10:F10"/>
    <mergeCell ref="A11:B11"/>
    <mergeCell ref="E11:F11"/>
    <mergeCell ref="E12:F12"/>
    <mergeCell ref="A14:B14"/>
    <mergeCell ref="B2:K3"/>
    <mergeCell ref="A5:C5"/>
    <mergeCell ref="A7:B7"/>
    <mergeCell ref="E7:F7"/>
    <mergeCell ref="A8:B8"/>
    <mergeCell ref="E8:F8"/>
  </mergeCells>
  <conditionalFormatting sqref="A32:J34 A51:I53 A1:O31 A35:O50">
    <cfRule type="expression" dxfId="40" priority="1">
      <formula>AND(NOT(CELL("protege", A1)), A1="")</formula>
    </cfRule>
  </conditionalFormatting>
  <dataValidations count="3">
    <dataValidation type="list" allowBlank="1" showInputMessage="1" showErrorMessage="1" sqref="C10" xr:uid="{25E045EC-33D2-484B-ADD3-DE8ED1EF285D}">
      <formula1>"BCH , LV"</formula1>
    </dataValidation>
    <dataValidation type="list" showInputMessage="1" showErrorMessage="1" sqref="D16:D17" xr:uid="{5B7E2A97-04E4-4FBF-AE91-355DB11E2DE7}">
      <formula1>$C$15:$C$17</formula1>
    </dataValidation>
    <dataValidation type="list" showErrorMessage="1" promptTitle="Périodicité" prompt="Veuillez choisir" sqref="C15" xr:uid="{EF9E56E7-DAAB-4A20-A7BE-3609228CEFED}">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96" r:id="rId3" name="Button 8">
              <controlPr defaultSize="0" print="0" autoFill="0" autoPict="0" macro="[0]!Realisation_TUS_Etuve_Sechoir">
                <anchor moveWithCells="1" sizeWithCells="1">
                  <from>
                    <xdr:col>8</xdr:col>
                    <xdr:colOff>419100</xdr:colOff>
                    <xdr:row>6</xdr:row>
                    <xdr:rowOff>123825</xdr:rowOff>
                  </from>
                  <to>
                    <xdr:col>12</xdr:col>
                    <xdr:colOff>895350</xdr:colOff>
                    <xdr:row>13</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1"/>
  <sheetViews>
    <sheetView workbookViewId="0">
      <selection activeCell="C8" sqref="C8"/>
    </sheetView>
  </sheetViews>
  <sheetFormatPr baseColWidth="10" defaultRowHeight="15" x14ac:dyDescent="0.25"/>
  <cols>
    <col min="1" max="1" width="15.7109375" bestFit="1" customWidth="1"/>
    <col min="2" max="10" width="15" bestFit="1" customWidth="1"/>
  </cols>
  <sheetData>
    <row r="1" spans="1:10" x14ac:dyDescent="0.25">
      <c r="A1" s="23" t="s">
        <v>37</v>
      </c>
      <c r="B1" t="s">
        <v>38</v>
      </c>
      <c r="C1" t="s">
        <v>39</v>
      </c>
      <c r="D1" t="s">
        <v>40</v>
      </c>
      <c r="E1" t="s">
        <v>41</v>
      </c>
      <c r="F1" t="s">
        <v>42</v>
      </c>
      <c r="G1" t="s">
        <v>43</v>
      </c>
      <c r="H1" t="s">
        <v>44</v>
      </c>
      <c r="I1" t="s">
        <v>45</v>
      </c>
      <c r="J1" t="s">
        <v>46</v>
      </c>
    </row>
  </sheetData>
  <sheetProtection algorithmName="SHA-512" hashValue="uGpLZ7RAhMnXiQdKfrdFrSHVCqg1W7YjIa/g+zpC549tfHqzuWdMfwAIfPEqBjxrhSbKtZJZSbpcnAn44jDBAg==" saltValue="9tokbebHognNDSC+2uWOLw==" spinCount="100000" sheet="1" objects="1" scenarios="1"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workbookViewId="0">
      <selection activeCell="L9" sqref="L9"/>
    </sheetView>
  </sheetViews>
  <sheetFormatPr baseColWidth="10" defaultRowHeight="15" x14ac:dyDescent="0.25"/>
  <cols>
    <col min="2" max="3" width="16.42578125" bestFit="1" customWidth="1"/>
    <col min="4" max="11" width="12.7109375" bestFit="1" customWidth="1"/>
    <col min="12" max="12" width="7.140625" customWidth="1"/>
    <col min="14" max="14" width="15.28515625" bestFit="1" customWidth="1"/>
  </cols>
  <sheetData>
    <row r="1" spans="1:16" s="27" customFormat="1" x14ac:dyDescent="0.25">
      <c r="A1" s="191" t="str">
        <f>"65°C"</f>
        <v>65°C</v>
      </c>
      <c r="B1" s="191"/>
      <c r="C1" s="191"/>
      <c r="D1" s="191"/>
      <c r="E1" s="191"/>
      <c r="F1" s="191"/>
      <c r="G1" s="191"/>
      <c r="H1" s="191"/>
      <c r="I1" s="191"/>
      <c r="J1" s="191"/>
      <c r="K1" s="191"/>
      <c r="L1" s="191"/>
      <c r="M1" s="191"/>
      <c r="N1" s="191"/>
      <c r="O1" s="191"/>
      <c r="P1" s="191"/>
    </row>
    <row r="2" spans="1:16" s="27" customFormat="1" x14ac:dyDescent="0.25">
      <c r="A2" s="191"/>
      <c r="B2" s="191"/>
      <c r="C2" s="191"/>
      <c r="D2" s="191"/>
      <c r="E2" s="191"/>
      <c r="F2" s="191"/>
      <c r="G2" s="191"/>
      <c r="H2" s="191"/>
      <c r="I2" s="191"/>
      <c r="J2" s="191"/>
      <c r="K2" s="191"/>
      <c r="L2" s="191"/>
      <c r="M2" s="191"/>
      <c r="N2" s="191"/>
      <c r="O2" s="191"/>
      <c r="P2" s="191"/>
    </row>
    <row r="3" spans="1:16" s="27" customFormat="1" x14ac:dyDescent="0.25">
      <c r="A3" s="191"/>
      <c r="B3" s="191"/>
      <c r="C3" s="191"/>
      <c r="D3" s="191"/>
      <c r="E3" s="191"/>
      <c r="F3" s="191"/>
      <c r="G3" s="191"/>
      <c r="H3" s="191"/>
      <c r="I3" s="191"/>
      <c r="J3" s="191"/>
      <c r="K3" s="191"/>
      <c r="L3" s="191"/>
      <c r="M3" s="191"/>
      <c r="N3" s="191"/>
      <c r="O3" s="191"/>
      <c r="P3" s="191"/>
    </row>
    <row r="4" spans="1:16" s="27" customFormat="1" x14ac:dyDescent="0.25">
      <c r="M4" s="33"/>
    </row>
    <row r="5" spans="1:16" s="27" customFormat="1" x14ac:dyDescent="0.25">
      <c r="B5" s="34" t="s">
        <v>24</v>
      </c>
      <c r="C5" s="35" t="e">
        <f>_xlfn.XLOOKUP(INT(SUBSTITUTE(C14,"Connecteur ","")),Mesures_Sechoir!C23:C31,Mesures_Sechoir!D23:D31)</f>
        <v>#N/A</v>
      </c>
      <c r="D5" s="35" t="e">
        <f>_xlfn.XLOOKUP(INT(SUBSTITUTE(D14,"Connecteur ","")),Mesures_Sechoir!C23:C31,Mesures_Sechoir!D23:D31)</f>
        <v>#N/A</v>
      </c>
      <c r="E5" s="35" t="e">
        <f>_xlfn.XLOOKUP(INT(SUBSTITUTE(E14,"Connecteur ","")),Mesures_Sechoir!C23:C31,Mesures_Sechoir!D23:D31)</f>
        <v>#N/A</v>
      </c>
      <c r="F5" s="35" t="e">
        <f>_xlfn.XLOOKUP(INT(SUBSTITUTE(F14,"Connecteur ","")),Mesures_Sechoir!C23:C31,Mesures_Sechoir!D23:D31)</f>
        <v>#N/A</v>
      </c>
      <c r="G5" s="35" t="e">
        <f>_xlfn.XLOOKUP(INT(SUBSTITUTE(G14,"Connecteur ","")),Mesures_Sechoir!C23:C31,Mesures_Sechoir!D23:D31)</f>
        <v>#N/A</v>
      </c>
      <c r="H5" s="35" t="e">
        <f>_xlfn.XLOOKUP(INT(SUBSTITUTE(H14,"Connecteur ","")),Mesures_Sechoir!C23:C31,Mesures_Sechoir!D23:D31)</f>
        <v>#N/A</v>
      </c>
      <c r="I5" s="35" t="e">
        <f>_xlfn.XLOOKUP(INT(SUBSTITUTE(I14,"Connecteur ","")),Mesures_Sechoir!C23:C31,Mesures_Sechoir!D23:D31)</f>
        <v>#N/A</v>
      </c>
      <c r="J5" s="35" t="e">
        <f>_xlfn.XLOOKUP(INT(SUBSTITUTE(J14,"Connecteur ","")),Mesures_Sechoir!C23:C31,Mesures_Sechoir!D23:D31)</f>
        <v>#N/A</v>
      </c>
      <c r="K5" s="35" t="e">
        <f>_xlfn.XLOOKUP(INT(SUBSTITUTE(K14,"Connecteur ","")),Mesures_Sechoir!C23:C31,Mesures_Sechoir!D23:D31)</f>
        <v>#N/A</v>
      </c>
      <c r="M5" s="33"/>
    </row>
    <row r="6" spans="1:16" s="27" customFormat="1" x14ac:dyDescent="0.25">
      <c r="B6" s="34" t="s">
        <v>94</v>
      </c>
      <c r="C6" s="35" t="e">
        <f>_xlfn.XLOOKUP(INT(SUBSTITUTE(C14,"Connecteur ","")),Mesures_Sechoir!C23:C31,Mesures_Sechoir!E23:E31)</f>
        <v>#N/A</v>
      </c>
      <c r="D6" s="35" t="e">
        <f>_xlfn.XLOOKUP(INT(SUBSTITUTE(D14,"Connecteur ","")),Mesures_Sechoir!C23:C31,Mesures_Sechoir!E23:E31)</f>
        <v>#N/A</v>
      </c>
      <c r="E6" s="35" t="e">
        <f>_xlfn.XLOOKUP(INT(SUBSTITUTE(E14,"Connecteur ","")),Mesures_Sechoir!C23:C31,Mesures_Sechoir!E23:E31)</f>
        <v>#N/A</v>
      </c>
      <c r="F6" s="35" t="e">
        <f>_xlfn.XLOOKUP(INT(SUBSTITUTE(F14,"Connecteur ","")),Mesures_Sechoir!C23:C31,Mesures_Sechoir!E23:E31)</f>
        <v>#N/A</v>
      </c>
      <c r="G6" s="35" t="e">
        <f>_xlfn.XLOOKUP(INT(SUBSTITUTE(G14,"Connecteur ","")),Mesures_Sechoir!C23:C31,Mesures_Sechoir!E23:E31)</f>
        <v>#N/A</v>
      </c>
      <c r="H6" s="35" t="e">
        <f>_xlfn.XLOOKUP(INT(SUBSTITUTE(H14,"Connecteur ","")),Mesures_Sechoir!C23:C31,Mesures_Sechoir!E23:E31)</f>
        <v>#N/A</v>
      </c>
      <c r="I6" s="35" t="e">
        <f>_xlfn.XLOOKUP(INT(SUBSTITUTE(I14,"Connecteur ","")),Mesures_Sechoir!C23:C31,Mesures_Sechoir!E23:E31)</f>
        <v>#N/A</v>
      </c>
      <c r="J6" s="35" t="e">
        <f>_xlfn.XLOOKUP(INT(SUBSTITUTE(J14,"Connecteur ","")),Mesures_Sechoir!C23:C31,Mesures_Sechoir!E23:E31)</f>
        <v>#N/A</v>
      </c>
      <c r="K6" s="35" t="e">
        <f>_xlfn.XLOOKUP(INT(SUBSTITUTE(K14,"Connecteur ","")),Mesures_Sechoir!C23:C31,Mesures_Sechoir!E23:E31)</f>
        <v>#N/A</v>
      </c>
      <c r="M6" s="33"/>
    </row>
    <row r="7" spans="1:16" s="27" customFormat="1" x14ac:dyDescent="0.25">
      <c r="M7" s="33"/>
    </row>
    <row r="8" spans="1:16" s="27" customFormat="1" x14ac:dyDescent="0.25">
      <c r="M8" s="33"/>
    </row>
    <row r="9" spans="1:16" s="27" customFormat="1" x14ac:dyDescent="0.25">
      <c r="A9" s="192" t="s">
        <v>95</v>
      </c>
      <c r="B9" s="192"/>
      <c r="C9" s="192"/>
      <c r="D9" s="192"/>
      <c r="E9" s="192"/>
      <c r="F9" s="192"/>
      <c r="G9" s="192"/>
      <c r="H9" s="192"/>
      <c r="I9" s="192"/>
      <c r="J9" s="192"/>
      <c r="K9" s="192"/>
      <c r="M9" s="33"/>
    </row>
    <row r="10" spans="1:16" s="27" customFormat="1" ht="15" customHeight="1" x14ac:dyDescent="0.25">
      <c r="A10" s="33"/>
      <c r="B10" s="34" t="str" cm="1">
        <f t="array" ref="B10:K10">Valeurs_Brutes_Sechoir_50[#Headers]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4" t="s">
        <v>96</v>
      </c>
      <c r="B11" s="37" cm="1">
        <f t="array" ref="B11">Valeurs_Brutes_Sechoir_50[Date/Heure]</f>
        <v>0</v>
      </c>
      <c r="C11" s="134" cm="1">
        <f t="array" ref="C11:K11">Valeurs_Brutes_Sechoir_50[[Connecteur 1]:[Connecteur 9]]</f>
        <v>0</v>
      </c>
      <c r="D11" s="134">
        <v>0</v>
      </c>
      <c r="E11" s="134">
        <v>0</v>
      </c>
      <c r="F11" s="134">
        <v>0</v>
      </c>
      <c r="G11" s="134">
        <v>0</v>
      </c>
      <c r="H11" s="134">
        <v>0</v>
      </c>
      <c r="I11" s="134">
        <v>0</v>
      </c>
      <c r="J11" s="134">
        <v>0</v>
      </c>
      <c r="K11" s="134">
        <v>0</v>
      </c>
      <c r="M11" s="33"/>
    </row>
    <row r="12" spans="1:16" s="27" customFormat="1" ht="13.5" customHeight="1" x14ac:dyDescent="0.25">
      <c r="A12" s="143" t="s">
        <v>96</v>
      </c>
      <c r="B12" s="39"/>
      <c r="C12" s="250"/>
      <c r="D12" s="250"/>
      <c r="E12" s="250"/>
      <c r="F12" s="250"/>
      <c r="G12" s="250"/>
      <c r="H12" s="250"/>
      <c r="I12" s="250"/>
      <c r="J12" s="250"/>
      <c r="K12" s="250"/>
      <c r="M12" s="33"/>
    </row>
    <row r="13" spans="1:16" s="193" customFormat="1" x14ac:dyDescent="0.25"/>
    <row r="14" spans="1:16" s="27" customFormat="1" x14ac:dyDescent="0.25">
      <c r="C14" s="41" t="str" cm="1">
        <f t="array" ref="C14:K14">Valeurs_Brutes_Sechoir_50[[#Headers],[Connecteur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97</v>
      </c>
      <c r="C15" s="43" t="e" cm="1">
        <f t="array" ref="C15">MAX(Valeurs_Brutes_Sechoir_50[Connecteur 1]+Sechoir_50°C!C5+Sechoir_50°C!C6)</f>
        <v>#N/A</v>
      </c>
      <c r="D15" s="43" t="e" cm="1">
        <f t="array" ref="D15">MAX(Valeurs_Brutes_Sechoir_50[Connecteur 2]+Sechoir_50°C!D5+Sechoir_50°C!D6)</f>
        <v>#N/A</v>
      </c>
      <c r="E15" s="43" t="e" cm="1">
        <f t="array" ref="E15">MAX(Valeurs_Brutes_Sechoir_50[Connecteur 3]+Sechoir_50°C!E5+Sechoir_50°C!E6)</f>
        <v>#N/A</v>
      </c>
      <c r="F15" s="43" t="e" cm="1">
        <f t="array" ref="F15">MAX(Valeurs_Brutes_Sechoir_50[Connecteur 4]+Sechoir_50°C!F5+Sechoir_50°C!F6)</f>
        <v>#N/A</v>
      </c>
      <c r="G15" s="43" t="e" cm="1">
        <f t="array" ref="G15">MAX(Valeurs_Brutes_Sechoir_50[Connecteur 5]+Sechoir_50°C!G5+Sechoir_50°C!G6)</f>
        <v>#N/A</v>
      </c>
      <c r="H15" s="43" t="e" cm="1">
        <f t="array" ref="H15">MAX(Valeurs_Brutes_Sechoir_50[Connecteur 6]+Sechoir_50°C!H5+Sechoir_50°C!H6)</f>
        <v>#N/A</v>
      </c>
      <c r="I15" s="43" t="e" cm="1">
        <f t="array" ref="I15">MAX(Valeurs_Brutes_Sechoir_50[Connecteur 7]+Sechoir_50°C!I5+Sechoir_50°C!I6)</f>
        <v>#N/A</v>
      </c>
      <c r="J15" s="43" t="e" cm="1">
        <f t="array" ref="J15">MAX(Valeurs_Brutes_Sechoir_50[Connecteur 8]+Sechoir_50°C!J5+Sechoir_50°C!J6)</f>
        <v>#N/A</v>
      </c>
      <c r="K15" s="43" t="e" cm="1">
        <f t="array" ref="K15">MAX(Valeurs_Brutes_Sechoir_50[Connecteur 9]+Sechoir_50°C!K5+Sechoir_50°C!K6)</f>
        <v>#N/A</v>
      </c>
      <c r="L15" s="48">
        <f>O15+Mesures_Sechoir!B20</f>
        <v>50</v>
      </c>
      <c r="M15" s="33"/>
      <c r="N15" s="36" t="s">
        <v>7</v>
      </c>
      <c r="O15" s="35">
        <v>50</v>
      </c>
    </row>
    <row r="16" spans="1:16" s="27" customFormat="1" x14ac:dyDescent="0.25">
      <c r="B16" s="42" t="s">
        <v>98</v>
      </c>
      <c r="C16" s="43" t="e">
        <f ca="1">MAX(OFFSET(INDEX(Valeurs_Brutes_Sechoir_50[Connecteur 1],1),COUNT(Valeurs_Brutes_Sechoir_50[Connecteur 1])-30,0,30))+C5+C6</f>
        <v>#REF!</v>
      </c>
      <c r="D16" s="43" t="e">
        <f ca="1">MAX(OFFSET(INDEX(Valeurs_Brutes_Sechoir_50[Connecteur 2],1),COUNT(Valeurs_Brutes_Sechoir_50[Connecteur 2])-30,0,30))+D5+D6</f>
        <v>#REF!</v>
      </c>
      <c r="E16" s="43" t="e">
        <f ca="1">MAX(OFFSET(INDEX(Valeurs_Brutes_Sechoir_50[Connecteur 3],1),COUNT(Valeurs_Brutes_Sechoir_50[Connecteur 3])-30,0,30))+E5+E6</f>
        <v>#REF!</v>
      </c>
      <c r="F16" s="43" t="e">
        <f ca="1">MAX(OFFSET(INDEX(Valeurs_Brutes_Sechoir_50[Connecteur 4],1),COUNT(Valeurs_Brutes_Sechoir_50[Connecteur 4])-30,0,30))+F5+F6</f>
        <v>#REF!</v>
      </c>
      <c r="G16" s="43" t="e">
        <f ca="1">MAX(OFFSET(INDEX(Valeurs_Brutes_Sechoir_50[Connecteur 5],1),COUNT(Valeurs_Brutes_Sechoir_50[Connecteur 5])-30,0,30))+G5+G6</f>
        <v>#REF!</v>
      </c>
      <c r="H16" s="43" t="e">
        <f ca="1">MAX(OFFSET(INDEX(Valeurs_Brutes_Sechoir_50[Connecteur 6],1),COUNT(Valeurs_Brutes_Sechoir_50[Connecteur 6])-30,0,30))+H5+H6</f>
        <v>#REF!</v>
      </c>
      <c r="I16" s="43" t="e">
        <f ca="1">MAX(OFFSET(INDEX(Valeurs_Brutes_Sechoir_50[Connecteur 7],1),COUNT(Valeurs_Brutes_Sechoir_50[Connecteur 7])-30,0,30))+I5+I6</f>
        <v>#REF!</v>
      </c>
      <c r="J16" s="43" t="e">
        <f ca="1">MAX(OFFSET(INDEX(Valeurs_Brutes_Sechoir_50[Connecteur 8],1),COUNT(Valeurs_Brutes_Sechoir_50[Connecteur 8])-30,0,30))+J5+J6</f>
        <v>#REF!</v>
      </c>
      <c r="K16" s="43" t="e">
        <f ca="1">MAX(OFFSET(INDEX(Valeurs_Brutes_Sechoir_50[Connecteur 9],1),COUNT(Valeurs_Brutes_Sechoir_50[Connecteur 9])-30,0,30))+K5+K6</f>
        <v>#REF!</v>
      </c>
      <c r="L16" s="48">
        <f>O15+Mesures_Sechoir!B20</f>
        <v>50</v>
      </c>
      <c r="M16" s="33"/>
      <c r="N16" s="36" t="s">
        <v>99</v>
      </c>
      <c r="O16" s="35" t="str">
        <f>"+" &amp; Mesures_Sechoir!B20 &amp; "°C"</f>
        <v>+°C</v>
      </c>
    </row>
    <row r="17" spans="2:15" s="27" customFormat="1" x14ac:dyDescent="0.25">
      <c r="B17" s="42" t="s">
        <v>100</v>
      </c>
      <c r="C17" s="43" t="e">
        <f ca="1">MIN(OFFSET(INDEX(Valeurs_Brutes_Sechoir_50[Connecteur 1],1),COUNT(Valeurs_Brutes_Sechoir_50[Connecteur 1])-30,0,30))+C5+C6</f>
        <v>#REF!</v>
      </c>
      <c r="D17" s="43" t="e">
        <f ca="1">MIN(OFFSET(INDEX(Valeurs_Brutes_Sechoir_50[Connecteur 2],1),COUNT(Valeurs_Brutes_Sechoir_50[Connecteur 2])-30,0,30))+D5+D6</f>
        <v>#REF!</v>
      </c>
      <c r="E17" s="43" t="e">
        <f ca="1">MIN(OFFSET(INDEX(Valeurs_Brutes_Sechoir_50[Connecteur 3],1),COUNT(Valeurs_Brutes_Sechoir_50[Connecteur 3])-30,0,30))+E5+E6</f>
        <v>#REF!</v>
      </c>
      <c r="F17" s="43" t="e">
        <f ca="1">MIN(OFFSET(INDEX(Valeurs_Brutes_Sechoir_50[Connecteur 4],1),COUNT(Valeurs_Brutes_Sechoir_50[Connecteur 4])-30,0,30))+F5+F6</f>
        <v>#REF!</v>
      </c>
      <c r="G17" s="43" t="e">
        <f ca="1">MIN(OFFSET(INDEX(Valeurs_Brutes_Sechoir_50[Connecteur 5],1),COUNT(Valeurs_Brutes_Sechoir_50[Connecteur 5])-30,0,30))+G5+G6</f>
        <v>#REF!</v>
      </c>
      <c r="H17" s="43" t="e">
        <f ca="1">MIN(OFFSET(INDEX(Valeurs_Brutes_Sechoir_50[Connecteur 6],1),COUNT(Valeurs_Brutes_Sechoir_50[Connecteur 6])-30,0,30))+H5+H6</f>
        <v>#REF!</v>
      </c>
      <c r="I17" s="43" t="e">
        <f ca="1">MIN(OFFSET(INDEX(Valeurs_Brutes_Sechoir_50[Connecteur 7],1),COUNT(Valeurs_Brutes_Sechoir_50[Connecteur 7])-30,0,30))+I5+I6</f>
        <v>#REF!</v>
      </c>
      <c r="J17" s="43" t="e">
        <f ca="1">MIN(OFFSET(INDEX(Valeurs_Brutes_Sechoir_50[Connecteur 8],1),COUNT(Valeurs_Brutes_Sechoir_50[Connecteur 8])-30,0,30))+J5+J6</f>
        <v>#REF!</v>
      </c>
      <c r="K17" s="43" t="e">
        <f ca="1">MIN(OFFSET(INDEX(Valeurs_Brutes_Sechoir_50[Connecteur 9],1),COUNT(Valeurs_Brutes_Sechoir_50[Connecteur 9])-30,0,30))+K5+K6</f>
        <v>#REF!</v>
      </c>
      <c r="L17" s="48">
        <f>O15 - Mesures_Sechoir!B20</f>
        <v>50</v>
      </c>
      <c r="M17" s="33"/>
      <c r="N17" s="36" t="s">
        <v>101</v>
      </c>
      <c r="O17" s="35" t="str">
        <f>"-" &amp; Mesures_Sechoir!B20 &amp; "°C"</f>
        <v>-°C</v>
      </c>
    </row>
    <row r="18" spans="2:15" s="27" customFormat="1" x14ac:dyDescent="0.25">
      <c r="B18" s="42" t="s">
        <v>102</v>
      </c>
      <c r="C18" s="43" t="e">
        <f ca="1">AVERAGE(OFFSET(INDEX(Valeurs_Brutes_Sechoir_50[Connecteur 1],1),COUNT(Valeurs_Brutes_Sechoir_50[Connecteur 1])-30,0,30))+C5+C6</f>
        <v>#REF!</v>
      </c>
      <c r="D18" s="43" t="e">
        <f ca="1">AVERAGE(OFFSET(INDEX(Valeurs_Brutes_Sechoir_50[Connecteur 2],1),COUNT(Valeurs_Brutes_Sechoir_50[Connecteur 2])-30,0,30))+D5+D6</f>
        <v>#REF!</v>
      </c>
      <c r="E18" s="43" t="e">
        <f ca="1">AVERAGE(OFFSET(INDEX(Valeurs_Brutes_Sechoir_50[Connecteur 3],1),COUNT(Valeurs_Brutes_Sechoir_50[Connecteur 3])-30,0,30))+E5+E6</f>
        <v>#REF!</v>
      </c>
      <c r="F18" s="43" t="e">
        <f ca="1">AVERAGE(OFFSET(INDEX(Valeurs_Brutes_Sechoir_50[Connecteur 4],1),COUNT(Valeurs_Brutes_Sechoir_50[Connecteur 4])-30,0,30))+F5+F6</f>
        <v>#REF!</v>
      </c>
      <c r="G18" s="43" t="e">
        <f ca="1">AVERAGE(OFFSET(INDEX(Valeurs_Brutes_Sechoir_50[Connecteur 5],1),COUNT(Valeurs_Brutes_Sechoir_50[Connecteur 5])-30,0,30))+G5+G6</f>
        <v>#REF!</v>
      </c>
      <c r="H18" s="43" t="e">
        <f ca="1">AVERAGE(OFFSET(INDEX(Valeurs_Brutes_Sechoir_50[Connecteur 6],1),COUNT(Valeurs_Brutes_Sechoir_50[Connecteur 6])-30,0,30))+H5+H6</f>
        <v>#REF!</v>
      </c>
      <c r="I18" s="43" t="e">
        <f ca="1">AVERAGE(OFFSET(INDEX(Valeurs_Brutes_Sechoir_50[Connecteur 7],1),COUNT(Valeurs_Brutes_Sechoir_50[Connecteur 7])-30,0,30))+I5+I6</f>
        <v>#REF!</v>
      </c>
      <c r="J18" s="43" t="e">
        <f ca="1">AVERAGE(OFFSET(INDEX(Valeurs_Brutes_Sechoir_50[Connecteur 8],1),COUNT(Valeurs_Brutes_Sechoir_50[Connecteur 8])-30,0,30))+J5+J6</f>
        <v>#REF!</v>
      </c>
      <c r="K18" s="43" t="e">
        <f ca="1">AVERAGE(OFFSET(INDEX(Valeurs_Brutes_Sechoir_50[Connecteur 9],1),COUNT(Valeurs_Brutes_Sechoir_50[Connecteur 9])-30,0,30))+K5+K6</f>
        <v>#REF!</v>
      </c>
      <c r="L18" s="44"/>
      <c r="M18" s="33"/>
    </row>
    <row r="19" spans="2:15" s="27" customFormat="1" x14ac:dyDescent="0.25">
      <c r="B19" s="42" t="s">
        <v>103</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104</v>
      </c>
      <c r="C20" s="194" t="e">
        <f ca="1">ABS(MAX(C16:K16)- MIN(C17:K17))</f>
        <v>#REF!</v>
      </c>
      <c r="D20" s="194"/>
      <c r="E20" s="194"/>
      <c r="F20" s="194"/>
      <c r="G20" s="194"/>
      <c r="H20" s="194"/>
      <c r="I20" s="194"/>
      <c r="J20" s="194"/>
      <c r="K20" s="194"/>
      <c r="L20" s="194"/>
      <c r="M20" s="33"/>
    </row>
    <row r="21" spans="2:15" s="27" customFormat="1" x14ac:dyDescent="0.25">
      <c r="B21" s="42" t="s">
        <v>105</v>
      </c>
      <c r="C21" s="194" t="e">
        <f ca="1">AVERAGE(C18:K18)</f>
        <v>#REF!</v>
      </c>
      <c r="D21" s="194"/>
      <c r="E21" s="194"/>
      <c r="F21" s="194"/>
      <c r="G21" s="194"/>
      <c r="H21" s="194"/>
      <c r="I21" s="194"/>
      <c r="J21" s="194"/>
      <c r="K21" s="194"/>
      <c r="L21" s="194"/>
      <c r="M21" s="33"/>
    </row>
    <row r="22" spans="2:15" s="27" customFormat="1" x14ac:dyDescent="0.25">
      <c r="B22" s="36" t="s">
        <v>106</v>
      </c>
      <c r="C22" s="46" t="e">
        <f ca="1">STDEV(OFFSET(INDEX(Valeurs_Brutes_Sechoir_50[Connecteur 1],1),COUNT(Valeurs_Brutes_Sechoir_50[Connecteur 1])-30,0,30))+C5+C6</f>
        <v>#REF!</v>
      </c>
      <c r="D22" s="46" t="e">
        <f ca="1">STDEV(OFFSET(INDEX(Valeurs_Brutes_Sechoir_50[Connecteur 2],1),COUNT(Valeurs_Brutes_Sechoir_50[Connecteur 2])-30,0,30))+D5+D6</f>
        <v>#REF!</v>
      </c>
      <c r="E22" s="46" t="e">
        <f ca="1">STDEV(OFFSET(INDEX(Valeurs_Brutes_Sechoir_50[Connecteur 3],1),COUNT(Valeurs_Brutes_Sechoir_50[Connecteur 3])-30,0,30))+E5+E6</f>
        <v>#REF!</v>
      </c>
      <c r="F22" s="46" t="e">
        <f ca="1">STDEV(OFFSET(INDEX(Valeurs_Brutes_Sechoir_50[Connecteur 4],1),COUNT(Valeurs_Brutes_Sechoir_50[Connecteur 4])-30,0,30))+F5+F6</f>
        <v>#REF!</v>
      </c>
      <c r="G22" s="46" t="e">
        <f ca="1">STDEV(OFFSET(INDEX(Valeurs_Brutes_Sechoir_50[Connecteur 5],1),COUNT(Valeurs_Brutes_Sechoir_50[Connecteur 5])-30,0,30))+G5+G6</f>
        <v>#REF!</v>
      </c>
      <c r="H22" s="46" t="e">
        <f ca="1">STDEV(OFFSET(INDEX(Valeurs_Brutes_Sechoir_50[Connecteur 6],1),COUNT(Valeurs_Brutes_Sechoir_50[Connecteur 6])-30,0,30))+H5+H6</f>
        <v>#REF!</v>
      </c>
      <c r="I22" s="46" t="e">
        <f ca="1">STDEV(OFFSET(INDEX(Valeurs_Brutes_Sechoir_50[Connecteur 7],1),COUNT(Valeurs_Brutes_Sechoir_50[Connecteur 7])-30,0,30))+I5+I6</f>
        <v>#REF!</v>
      </c>
      <c r="J22" s="46" t="e">
        <f ca="1">STDEV(OFFSET(INDEX(Valeurs_Brutes_Sechoir_50[Connecteur 8],1),COUNT(Valeurs_Brutes_Sechoir_50[Connecteur 8])-30,0,30))+J5+J6</f>
        <v>#REF!</v>
      </c>
      <c r="K22" s="46" t="e">
        <f ca="1">STDEV(OFFSET(INDEX(Valeurs_Brutes_Sechoir_50[Connecteur 9],1),COUNT(Valeurs_Brutes_Sechoir_50[Connecteur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eg0+6nPSO9DPs//oAoUzjWWiYDcBtmWy+RoOCjbLdNLWWJL1/T0bRFf70gyAg59Ohmm/ywrS2jnEDOm4ECrLKw==" saltValue="6oDDPclta3BPJgZ41rK9ew==" spinCount="100000" sheet="1" objects="1" scenarios="1" autoFilter="0"/>
  <mergeCells count="5">
    <mergeCell ref="A1:P3"/>
    <mergeCell ref="A9:K9"/>
    <mergeCell ref="A13:XFD13"/>
    <mergeCell ref="C20:L20"/>
    <mergeCell ref="C21:L21"/>
  </mergeCells>
  <conditionalFormatting sqref="C15:K15">
    <cfRule type="cellIs" dxfId="39" priority="3" operator="greaterThan">
      <formula>$L$15</formula>
    </cfRule>
    <cfRule type="cellIs" dxfId="38" priority="6" operator="greaterThan">
      <formula>$L$15</formula>
    </cfRule>
  </conditionalFormatting>
  <conditionalFormatting sqref="C16:K16">
    <cfRule type="cellIs" dxfId="37" priority="2" operator="greaterThan">
      <formula>$L$16</formula>
    </cfRule>
    <cfRule type="cellIs" dxfId="36" priority="5" operator="greaterThan">
      <formula>$L$16</formula>
    </cfRule>
  </conditionalFormatting>
  <conditionalFormatting sqref="C17:K17">
    <cfRule type="cellIs" dxfId="35" priority="1" operator="lessThan">
      <formula>$L$17</formula>
    </cfRule>
    <cfRule type="cellIs" dxfId="34" priority="4" operator="lessThan">
      <formula>$L$17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8"/>
  <sheetViews>
    <sheetView view="pageLayout" topLeftCell="A19" zoomScale="70" zoomScaleNormal="60" zoomScaleSheetLayoutView="77" zoomScalePageLayoutView="70" workbookViewId="0">
      <selection activeCell="A30" sqref="A30:I47"/>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144</v>
      </c>
      <c r="C5" s="88"/>
      <c r="D5" s="88"/>
      <c r="E5" s="88"/>
      <c r="F5" s="88"/>
      <c r="G5" s="88"/>
      <c r="H5" s="88"/>
      <c r="I5" s="89"/>
    </row>
    <row r="10" spans="2:9" ht="21" x14ac:dyDescent="0.25">
      <c r="C10" s="196" t="s">
        <v>145</v>
      </c>
      <c r="D10" s="196"/>
      <c r="E10" s="197">
        <f>Mesures_Sechoir!D5</f>
        <v>0</v>
      </c>
      <c r="F10" s="197"/>
    </row>
    <row r="11" spans="2:9" ht="21" x14ac:dyDescent="0.25">
      <c r="C11" s="90"/>
      <c r="D11" s="90"/>
      <c r="E11" s="91"/>
      <c r="F11" s="91"/>
    </row>
    <row r="12" spans="2:9" x14ac:dyDescent="0.25">
      <c r="C12" s="92" t="s">
        <v>1</v>
      </c>
      <c r="D12" s="93">
        <f>Mesures_Sechoir!C7</f>
        <v>0</v>
      </c>
      <c r="F12" s="92" t="s">
        <v>19</v>
      </c>
      <c r="G12" s="93">
        <f>Mesures_Sechoir!G7</f>
        <v>0</v>
      </c>
    </row>
    <row r="13" spans="2:9" ht="15.75" x14ac:dyDescent="0.25">
      <c r="C13" s="94" t="s">
        <v>2</v>
      </c>
      <c r="D13" s="95">
        <f>Mesures_Sechoir!C8</f>
        <v>0</v>
      </c>
      <c r="F13" s="96" t="s">
        <v>20</v>
      </c>
      <c r="G13" s="95">
        <f>Mesures_Sechoir!G8</f>
        <v>0</v>
      </c>
    </row>
    <row r="14" spans="2:9" ht="15.75" x14ac:dyDescent="0.25">
      <c r="C14" s="97"/>
      <c r="D14" s="98"/>
      <c r="G14" s="99"/>
    </row>
    <row r="15" spans="2:9" ht="15.75" x14ac:dyDescent="0.25">
      <c r="C15" s="100" t="s">
        <v>146</v>
      </c>
      <c r="D15" s="101">
        <f>Mesures_Sechoir!C14</f>
        <v>0</v>
      </c>
      <c r="F15" s="92" t="s">
        <v>147</v>
      </c>
      <c r="G15" s="102">
        <f>Mesures_Sechoir!C15</f>
        <v>0</v>
      </c>
    </row>
    <row r="16" spans="2:9" ht="15.75" x14ac:dyDescent="0.25">
      <c r="C16" s="100" t="s">
        <v>148</v>
      </c>
      <c r="D16" s="103">
        <f>Mesures_Sechoir!G11</f>
        <v>9</v>
      </c>
      <c r="F16" s="92" t="s">
        <v>149</v>
      </c>
      <c r="G16" s="102">
        <f>Mesures_Sechoir!G12</f>
        <v>0</v>
      </c>
    </row>
    <row r="17" spans="1:9" ht="15.75" x14ac:dyDescent="0.25">
      <c r="C17" s="97"/>
      <c r="D17" s="98"/>
      <c r="F17" s="97"/>
      <c r="G17" s="27"/>
    </row>
    <row r="18" spans="1:9" ht="15.75" x14ac:dyDescent="0.25">
      <c r="C18" s="100" t="s">
        <v>150</v>
      </c>
      <c r="D18" s="140">
        <f>Mesures_Sechoir!C11</f>
        <v>0</v>
      </c>
      <c r="F18" s="92" t="s">
        <v>151</v>
      </c>
      <c r="G18" s="141">
        <f>Mesures_Sechoir!G10</f>
        <v>0</v>
      </c>
    </row>
    <row r="19" spans="1:9" ht="15.75" x14ac:dyDescent="0.25">
      <c r="C19" s="94" t="s">
        <v>152</v>
      </c>
      <c r="D19" s="101">
        <f>Mesures_Sechoir!C10</f>
        <v>0</v>
      </c>
    </row>
    <row r="20" spans="1:9" ht="15.75" x14ac:dyDescent="0.25">
      <c r="C20" s="97"/>
      <c r="D20" s="98"/>
    </row>
    <row r="21" spans="1:9" ht="15.75" x14ac:dyDescent="0.25">
      <c r="C21" s="97"/>
      <c r="D21" s="98"/>
    </row>
    <row r="28" spans="1:9" ht="36" x14ac:dyDescent="0.55000000000000004">
      <c r="A28" s="198" t="s">
        <v>153</v>
      </c>
      <c r="B28" s="198"/>
    </row>
    <row r="30" spans="1:9" x14ac:dyDescent="0.25">
      <c r="A30" s="199" t="s">
        <v>312</v>
      </c>
      <c r="B30" s="199"/>
      <c r="C30" s="199"/>
      <c r="D30" s="199"/>
      <c r="E30" s="199"/>
      <c r="F30" s="199"/>
      <c r="G30" s="199"/>
      <c r="H30" s="199"/>
      <c r="I30" s="199"/>
    </row>
    <row r="31" spans="1:9" x14ac:dyDescent="0.25">
      <c r="A31" s="199"/>
      <c r="B31" s="199"/>
      <c r="C31" s="199"/>
      <c r="D31" s="199"/>
      <c r="E31" s="199"/>
      <c r="F31" s="199"/>
      <c r="G31" s="199"/>
      <c r="H31" s="199"/>
      <c r="I31" s="199"/>
    </row>
    <row r="32" spans="1:9" x14ac:dyDescent="0.25">
      <c r="A32" s="199"/>
      <c r="B32" s="199"/>
      <c r="C32" s="199"/>
      <c r="D32" s="199"/>
      <c r="E32" s="199"/>
      <c r="F32" s="199"/>
      <c r="G32" s="199"/>
      <c r="H32" s="199"/>
      <c r="I32" s="199"/>
    </row>
    <row r="33" spans="1:9" x14ac:dyDescent="0.25">
      <c r="A33" s="199"/>
      <c r="B33" s="199"/>
      <c r="C33" s="199"/>
      <c r="D33" s="199"/>
      <c r="E33" s="199"/>
      <c r="F33" s="199"/>
      <c r="G33" s="199"/>
      <c r="H33" s="199"/>
      <c r="I33" s="199"/>
    </row>
    <row r="34" spans="1:9" x14ac:dyDescent="0.25">
      <c r="A34" s="199"/>
      <c r="B34" s="199"/>
      <c r="C34" s="199"/>
      <c r="D34" s="199"/>
      <c r="E34" s="199"/>
      <c r="F34" s="199"/>
      <c r="G34" s="199"/>
      <c r="H34" s="199"/>
      <c r="I34" s="199"/>
    </row>
    <row r="35" spans="1:9" x14ac:dyDescent="0.25">
      <c r="A35" s="199"/>
      <c r="B35" s="199"/>
      <c r="C35" s="199"/>
      <c r="D35" s="199"/>
      <c r="E35" s="199"/>
      <c r="F35" s="199"/>
      <c r="G35" s="199"/>
      <c r="H35" s="199"/>
      <c r="I35" s="199"/>
    </row>
    <row r="36" spans="1:9" x14ac:dyDescent="0.25">
      <c r="A36" s="199"/>
      <c r="B36" s="199"/>
      <c r="C36" s="199"/>
      <c r="D36" s="199"/>
      <c r="E36" s="199"/>
      <c r="F36" s="199"/>
      <c r="G36" s="199"/>
      <c r="H36" s="199"/>
      <c r="I36" s="199"/>
    </row>
    <row r="37" spans="1:9" x14ac:dyDescent="0.25">
      <c r="A37" s="199"/>
      <c r="B37" s="199"/>
      <c r="C37" s="199"/>
      <c r="D37" s="199"/>
      <c r="E37" s="199"/>
      <c r="F37" s="199"/>
      <c r="G37" s="199"/>
      <c r="H37" s="199"/>
      <c r="I37" s="199"/>
    </row>
    <row r="38" spans="1:9" x14ac:dyDescent="0.25">
      <c r="A38" s="199"/>
      <c r="B38" s="199"/>
      <c r="C38" s="199"/>
      <c r="D38" s="199"/>
      <c r="E38" s="199"/>
      <c r="F38" s="199"/>
      <c r="G38" s="199"/>
      <c r="H38" s="199"/>
      <c r="I38" s="199"/>
    </row>
    <row r="39" spans="1:9" x14ac:dyDescent="0.25">
      <c r="A39" s="199"/>
      <c r="B39" s="199"/>
      <c r="C39" s="199"/>
      <c r="D39" s="199"/>
      <c r="E39" s="199"/>
      <c r="F39" s="199"/>
      <c r="G39" s="199"/>
      <c r="H39" s="199"/>
      <c r="I39" s="199"/>
    </row>
    <row r="40" spans="1:9" x14ac:dyDescent="0.25">
      <c r="A40" s="199"/>
      <c r="B40" s="199"/>
      <c r="C40" s="199"/>
      <c r="D40" s="199"/>
      <c r="E40" s="199"/>
      <c r="F40" s="199"/>
      <c r="G40" s="199"/>
      <c r="H40" s="199"/>
      <c r="I40" s="199"/>
    </row>
    <row r="41" spans="1:9" x14ac:dyDescent="0.25">
      <c r="A41" s="199"/>
      <c r="B41" s="199"/>
      <c r="C41" s="199"/>
      <c r="D41" s="199"/>
      <c r="E41" s="199"/>
      <c r="F41" s="199"/>
      <c r="G41" s="199"/>
      <c r="H41" s="199"/>
      <c r="I41" s="199"/>
    </row>
    <row r="42" spans="1:9" x14ac:dyDescent="0.25">
      <c r="A42" s="199"/>
      <c r="B42" s="199"/>
      <c r="C42" s="199"/>
      <c r="D42" s="199"/>
      <c r="E42" s="199"/>
      <c r="F42" s="199"/>
      <c r="G42" s="199"/>
      <c r="H42" s="199"/>
      <c r="I42" s="199"/>
    </row>
    <row r="43" spans="1:9" x14ac:dyDescent="0.25">
      <c r="A43" s="199"/>
      <c r="B43" s="199"/>
      <c r="C43" s="199"/>
      <c r="D43" s="199"/>
      <c r="E43" s="199"/>
      <c r="F43" s="199"/>
      <c r="G43" s="199"/>
      <c r="H43" s="199"/>
      <c r="I43" s="199"/>
    </row>
    <row r="44" spans="1:9" x14ac:dyDescent="0.25">
      <c r="A44" s="199"/>
      <c r="B44" s="199"/>
      <c r="C44" s="199"/>
      <c r="D44" s="199"/>
      <c r="E44" s="199"/>
      <c r="F44" s="199"/>
      <c r="G44" s="199"/>
      <c r="H44" s="199"/>
      <c r="I44" s="199"/>
    </row>
    <row r="45" spans="1:9" x14ac:dyDescent="0.25">
      <c r="A45" s="199"/>
      <c r="B45" s="199"/>
      <c r="C45" s="199"/>
      <c r="D45" s="199"/>
      <c r="E45" s="199"/>
      <c r="F45" s="199"/>
      <c r="G45" s="199"/>
      <c r="H45" s="199"/>
      <c r="I45" s="199"/>
    </row>
    <row r="46" spans="1:9" x14ac:dyDescent="0.25">
      <c r="A46" s="199"/>
      <c r="B46" s="199"/>
      <c r="C46" s="199"/>
      <c r="D46" s="199"/>
      <c r="E46" s="199"/>
      <c r="F46" s="199"/>
      <c r="G46" s="199"/>
      <c r="H46" s="199"/>
      <c r="I46" s="199"/>
    </row>
    <row r="47" spans="1:9" x14ac:dyDescent="0.25">
      <c r="A47" s="199"/>
      <c r="B47" s="199"/>
      <c r="C47" s="199"/>
      <c r="D47" s="199"/>
      <c r="E47" s="199"/>
      <c r="F47" s="199"/>
      <c r="G47" s="199"/>
      <c r="H47" s="199"/>
      <c r="I47" s="199"/>
    </row>
    <row r="51" spans="2:8" ht="36" x14ac:dyDescent="0.25">
      <c r="C51" s="200" t="s">
        <v>155</v>
      </c>
      <c r="D51" s="200"/>
      <c r="E51" s="200"/>
      <c r="F51" s="200"/>
    </row>
    <row r="52" spans="2:8" ht="20.25" customHeight="1" x14ac:dyDescent="0.25">
      <c r="B52" s="105"/>
    </row>
    <row r="53" spans="2:8" ht="23.25" x14ac:dyDescent="0.25">
      <c r="B53" s="106" t="s">
        <v>156</v>
      </c>
    </row>
    <row r="55" spans="2:8" ht="21" x14ac:dyDescent="0.25">
      <c r="B55" s="107" t="s">
        <v>157</v>
      </c>
      <c r="E55" s="195" t="s">
        <v>158</v>
      </c>
      <c r="F55" s="195"/>
      <c r="G55" s="195"/>
      <c r="H55" s="108"/>
    </row>
    <row r="56" spans="2:8" ht="21" customHeight="1" x14ac:dyDescent="0.25">
      <c r="B56" s="107" t="s">
        <v>159</v>
      </c>
      <c r="E56" s="195" t="s">
        <v>160</v>
      </c>
      <c r="F56" s="195"/>
      <c r="G56" s="195"/>
      <c r="H56" s="195"/>
    </row>
    <row r="57" spans="2:8" ht="21" x14ac:dyDescent="0.25">
      <c r="B57" s="107" t="s">
        <v>161</v>
      </c>
      <c r="E57" s="195" t="s">
        <v>162</v>
      </c>
      <c r="F57" s="195"/>
      <c r="G57" s="108"/>
      <c r="H57" s="108"/>
    </row>
    <row r="59" spans="2:8" ht="23.25" x14ac:dyDescent="0.25">
      <c r="B59" s="106" t="s">
        <v>163</v>
      </c>
    </row>
    <row r="61" spans="2:8" ht="21" x14ac:dyDescent="0.25">
      <c r="B61" s="195" t="s">
        <v>164</v>
      </c>
      <c r="C61" s="195"/>
      <c r="D61" s="195"/>
      <c r="E61" s="195" t="s">
        <v>165</v>
      </c>
      <c r="F61" s="195"/>
      <c r="G61" s="195"/>
    </row>
    <row r="62" spans="2:8" ht="21" x14ac:dyDescent="0.25">
      <c r="B62" s="195" t="s">
        <v>166</v>
      </c>
      <c r="C62" s="195"/>
      <c r="D62" s="195"/>
    </row>
    <row r="64" spans="2:8" ht="21" x14ac:dyDescent="0.25">
      <c r="B64" s="107" t="s">
        <v>167</v>
      </c>
    </row>
    <row r="66" spans="1:10" ht="21" x14ac:dyDescent="0.25">
      <c r="B66" s="195" t="s">
        <v>168</v>
      </c>
      <c r="C66" s="195"/>
      <c r="D66" s="195"/>
      <c r="E66" s="195" t="s">
        <v>169</v>
      </c>
      <c r="F66" s="195"/>
      <c r="G66" s="195"/>
      <c r="H66" s="195"/>
      <c r="I66" s="195"/>
    </row>
    <row r="67" spans="1:10" ht="23.25" x14ac:dyDescent="0.25">
      <c r="B67" s="195" t="s">
        <v>170</v>
      </c>
      <c r="C67" s="195"/>
      <c r="D67" s="195"/>
      <c r="E67" s="195" t="s">
        <v>171</v>
      </c>
      <c r="F67" s="195"/>
      <c r="G67" s="195"/>
      <c r="H67" s="195"/>
      <c r="I67" s="195"/>
    </row>
    <row r="68" spans="1:10" ht="21" x14ac:dyDescent="0.25">
      <c r="B68" s="195" t="s">
        <v>172</v>
      </c>
      <c r="C68" s="195"/>
      <c r="D68" s="195"/>
      <c r="E68" s="195" t="s">
        <v>173</v>
      </c>
      <c r="F68" s="195"/>
      <c r="G68" s="195"/>
      <c r="H68" s="195"/>
      <c r="I68" s="195"/>
    </row>
    <row r="69" spans="1:10" ht="23.25" x14ac:dyDescent="0.25">
      <c r="B69" s="195" t="s">
        <v>174</v>
      </c>
      <c r="C69" s="195"/>
      <c r="D69" s="195"/>
      <c r="E69" s="195" t="s">
        <v>175</v>
      </c>
      <c r="F69" s="195"/>
      <c r="G69" s="195"/>
      <c r="H69" s="195"/>
      <c r="I69" s="108"/>
    </row>
    <row r="72" spans="1:10" ht="21" customHeight="1" x14ac:dyDescent="0.25">
      <c r="A72" s="201" t="s">
        <v>176</v>
      </c>
      <c r="B72" s="201"/>
      <c r="C72" s="201"/>
      <c r="D72" s="201"/>
      <c r="E72" s="201"/>
      <c r="F72" s="201"/>
      <c r="G72" s="201"/>
      <c r="H72" s="201"/>
      <c r="I72" s="201"/>
      <c r="J72" s="201"/>
    </row>
    <row r="73" spans="1:10" ht="21" customHeight="1" x14ac:dyDescent="0.25">
      <c r="A73" s="201"/>
      <c r="B73" s="201"/>
      <c r="C73" s="201"/>
      <c r="D73" s="201"/>
      <c r="E73" s="201"/>
      <c r="F73" s="201"/>
      <c r="G73" s="201"/>
      <c r="H73" s="201"/>
      <c r="I73" s="201"/>
      <c r="J73" s="201"/>
    </row>
    <row r="74" spans="1:10" ht="15" customHeight="1" x14ac:dyDescent="0.25">
      <c r="A74" s="201"/>
      <c r="B74" s="201"/>
      <c r="C74" s="201"/>
      <c r="D74" s="201"/>
      <c r="E74" s="201"/>
      <c r="F74" s="201"/>
      <c r="G74" s="201"/>
      <c r="H74" s="201"/>
      <c r="I74" s="201"/>
      <c r="J74" s="201"/>
    </row>
    <row r="75" spans="1:10" ht="15" customHeight="1" x14ac:dyDescent="0.25">
      <c r="A75" s="201"/>
      <c r="B75" s="201"/>
      <c r="C75" s="201"/>
      <c r="D75" s="201"/>
      <c r="E75" s="201"/>
      <c r="F75" s="201"/>
      <c r="G75" s="201"/>
      <c r="H75" s="201"/>
      <c r="I75" s="201"/>
      <c r="J75" s="201"/>
    </row>
    <row r="76" spans="1:10" x14ac:dyDescent="0.25">
      <c r="A76" s="201"/>
      <c r="B76" s="201"/>
      <c r="C76" s="201"/>
      <c r="D76" s="201"/>
      <c r="E76" s="201"/>
      <c r="F76" s="201"/>
      <c r="G76" s="201"/>
      <c r="H76" s="201"/>
      <c r="I76" s="201"/>
      <c r="J76" s="201"/>
    </row>
    <row r="77" spans="1:10" x14ac:dyDescent="0.25">
      <c r="A77" s="201"/>
      <c r="B77" s="201"/>
      <c r="C77" s="201"/>
      <c r="D77" s="201"/>
      <c r="E77" s="201"/>
      <c r="F77" s="201"/>
      <c r="G77" s="201"/>
      <c r="H77" s="201"/>
      <c r="I77" s="201"/>
      <c r="J77" s="201"/>
    </row>
    <row r="78" spans="1:10" x14ac:dyDescent="0.25">
      <c r="A78" s="201"/>
      <c r="B78" s="201"/>
      <c r="C78" s="201"/>
      <c r="D78" s="201"/>
      <c r="E78" s="201"/>
      <c r="F78" s="201"/>
      <c r="G78" s="201"/>
      <c r="H78" s="201"/>
      <c r="I78" s="201"/>
      <c r="J78" s="201"/>
    </row>
    <row r="79" spans="1:10" x14ac:dyDescent="0.25">
      <c r="A79" s="201"/>
      <c r="B79" s="201"/>
      <c r="C79" s="201"/>
      <c r="D79" s="201"/>
      <c r="E79" s="201"/>
      <c r="F79" s="201"/>
      <c r="G79" s="201"/>
      <c r="H79" s="201"/>
      <c r="I79" s="201"/>
      <c r="J79" s="201"/>
    </row>
    <row r="80" spans="1:10" x14ac:dyDescent="0.25">
      <c r="A80" s="201"/>
      <c r="B80" s="201"/>
      <c r="C80" s="201"/>
      <c r="D80" s="201"/>
      <c r="E80" s="201"/>
      <c r="F80" s="201"/>
      <c r="G80" s="201"/>
      <c r="H80" s="201"/>
      <c r="I80" s="201"/>
      <c r="J80" s="201"/>
    </row>
    <row r="81" spans="1:10" x14ac:dyDescent="0.25">
      <c r="A81" s="201"/>
      <c r="B81" s="201"/>
      <c r="C81" s="201"/>
      <c r="D81" s="201"/>
      <c r="E81" s="201"/>
      <c r="F81" s="201"/>
      <c r="G81" s="201"/>
      <c r="H81" s="201"/>
      <c r="I81" s="201"/>
      <c r="J81" s="201"/>
    </row>
    <row r="85" spans="1:10" ht="36" x14ac:dyDescent="0.25">
      <c r="C85" s="200" t="s">
        <v>177</v>
      </c>
      <c r="D85" s="200"/>
      <c r="E85" s="200"/>
      <c r="F85" s="200"/>
      <c r="G85" s="200"/>
    </row>
    <row r="87" spans="1:10" ht="26.25" x14ac:dyDescent="0.25">
      <c r="B87" s="109" t="s">
        <v>178</v>
      </c>
    </row>
    <row r="89" spans="1:10" ht="21" x14ac:dyDescent="0.25">
      <c r="B89" s="107" t="s">
        <v>179</v>
      </c>
      <c r="C89" s="107"/>
      <c r="E89" s="107"/>
      <c r="F89" s="107"/>
      <c r="G89" s="107"/>
      <c r="H89" s="108"/>
    </row>
    <row r="90" spans="1:10" ht="21" x14ac:dyDescent="0.25">
      <c r="B90" s="107" t="s">
        <v>180</v>
      </c>
      <c r="C90" s="107"/>
      <c r="E90" s="107"/>
      <c r="F90" s="107"/>
      <c r="G90" s="107"/>
      <c r="H90" s="108"/>
    </row>
    <row r="91" spans="1:10" ht="21" x14ac:dyDescent="0.25">
      <c r="B91" s="107" t="s">
        <v>181</v>
      </c>
      <c r="C91" s="107"/>
      <c r="E91" s="107"/>
      <c r="F91" s="107"/>
      <c r="G91" s="107"/>
      <c r="H91" s="108"/>
    </row>
    <row r="92" spans="1:10" ht="21" x14ac:dyDescent="0.25">
      <c r="B92" s="107" t="s">
        <v>182</v>
      </c>
      <c r="C92" s="107"/>
      <c r="E92" s="107"/>
      <c r="F92" s="107"/>
      <c r="G92" s="107"/>
      <c r="H92" s="108"/>
    </row>
    <row r="93" spans="1:10" ht="21" x14ac:dyDescent="0.25">
      <c r="B93" s="110"/>
      <c r="C93" s="110"/>
      <c r="E93" s="107"/>
      <c r="F93" s="107"/>
      <c r="G93" s="107"/>
      <c r="H93" s="108"/>
    </row>
    <row r="94" spans="1:10" ht="17.25" x14ac:dyDescent="0.25">
      <c r="A94" s="111"/>
      <c r="C94" s="202" t="s">
        <v>10</v>
      </c>
      <c r="D94" s="202"/>
      <c r="E94" s="202"/>
      <c r="F94" s="202"/>
      <c r="G94" s="202"/>
      <c r="H94" s="111"/>
      <c r="I94" s="111"/>
    </row>
    <row r="95" spans="1:10" ht="34.5" x14ac:dyDescent="0.25">
      <c r="A95" s="111"/>
      <c r="B95" s="111"/>
      <c r="C95" s="112"/>
      <c r="D95" s="112" t="s">
        <v>16</v>
      </c>
      <c r="E95" s="113" t="s">
        <v>18</v>
      </c>
      <c r="F95" s="113" t="s">
        <v>25</v>
      </c>
      <c r="G95" s="113" t="s">
        <v>26</v>
      </c>
      <c r="H95" s="114"/>
      <c r="I95" s="114"/>
    </row>
    <row r="96" spans="1:10" ht="17.25" x14ac:dyDescent="0.25">
      <c r="A96" s="111"/>
      <c r="B96" s="111"/>
      <c r="C96" s="112" t="str" cm="1">
        <f t="array" ref="C96:C107">Mesures_Sechoir!A42:A53</f>
        <v xml:space="preserve">Sonde </v>
      </c>
      <c r="D96" s="115" cm="1">
        <f t="array" ref="D96:G107">Mesures_Sechoir!C42:F53</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v>0</v>
      </c>
      <c r="D105" s="115">
        <v>0</v>
      </c>
      <c r="E105" s="115">
        <v>0</v>
      </c>
      <c r="F105" s="115">
        <v>0</v>
      </c>
      <c r="G105" s="115">
        <v>0</v>
      </c>
      <c r="H105" s="111"/>
      <c r="I105" s="111"/>
    </row>
    <row r="106" spans="1:9" ht="17.25" x14ac:dyDescent="0.25">
      <c r="A106" s="111"/>
      <c r="B106" s="111"/>
      <c r="C106" s="112">
        <v>0</v>
      </c>
      <c r="D106" s="115">
        <v>0</v>
      </c>
      <c r="E106" s="115">
        <v>0</v>
      </c>
      <c r="F106" s="115">
        <v>0</v>
      </c>
      <c r="G106" s="115">
        <v>0</v>
      </c>
      <c r="H106" s="111"/>
      <c r="I106" s="111"/>
    </row>
    <row r="107" spans="1:9" ht="17.25" x14ac:dyDescent="0.25">
      <c r="A107" s="111"/>
      <c r="B107" s="111"/>
      <c r="C107" s="112">
        <v>0</v>
      </c>
      <c r="D107" s="115">
        <v>0</v>
      </c>
      <c r="E107" s="115">
        <v>0</v>
      </c>
      <c r="F107" s="115">
        <v>0</v>
      </c>
      <c r="G107" s="115">
        <v>0</v>
      </c>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203" t="s">
        <v>183</v>
      </c>
      <c r="C116" s="203"/>
      <c r="D116" s="203"/>
      <c r="E116" s="203"/>
      <c r="F116" s="203"/>
    </row>
    <row r="118" spans="1:9" ht="26.25" x14ac:dyDescent="0.25">
      <c r="B118" s="109" t="s">
        <v>184</v>
      </c>
    </row>
    <row r="119" spans="1:9" ht="21" x14ac:dyDescent="0.3">
      <c r="E119" s="107" t="s">
        <v>185</v>
      </c>
      <c r="F119" s="107"/>
      <c r="G119" s="116">
        <f>Mesures_Sechoir!$M$42</f>
        <v>0</v>
      </c>
    </row>
    <row r="120" spans="1:9" ht="21" x14ac:dyDescent="0.3">
      <c r="B120" s="117" t="s">
        <v>186</v>
      </c>
      <c r="C120" s="107" t="s">
        <v>187</v>
      </c>
      <c r="E120" s="107" t="s">
        <v>188</v>
      </c>
      <c r="F120" s="107"/>
      <c r="G120" s="116">
        <f>Mesures_Sechoir!$N$42</f>
        <v>0</v>
      </c>
    </row>
    <row r="121" spans="1:9" ht="21" x14ac:dyDescent="0.25">
      <c r="B121" s="117" t="s">
        <v>189</v>
      </c>
      <c r="C121" s="110" t="s">
        <v>190</v>
      </c>
      <c r="E121" s="107" t="s">
        <v>191</v>
      </c>
      <c r="F121" s="107"/>
      <c r="G121" s="118">
        <f>Mesures_Sechoir!$O$42</f>
        <v>0</v>
      </c>
    </row>
    <row r="122" spans="1:9" ht="21" x14ac:dyDescent="0.35">
      <c r="B122" s="119" t="s">
        <v>192</v>
      </c>
      <c r="C122" s="120" t="s">
        <v>193</v>
      </c>
      <c r="E122" s="107" t="s">
        <v>194</v>
      </c>
      <c r="F122" s="107"/>
      <c r="G122" s="121" t="e">
        <f>"±" &amp;  SUBSTITUTE(ROUND(AVERAGE(Mesures_Sechoir!$D$23:$D$34),2),"-"," ") &amp; "°C"</f>
        <v>#DIV/0!</v>
      </c>
    </row>
    <row r="127" spans="1:9" ht="36" x14ac:dyDescent="0.25">
      <c r="C127" s="200" t="s">
        <v>195</v>
      </c>
      <c r="D127" s="200"/>
      <c r="E127" s="200"/>
      <c r="F127" s="200"/>
    </row>
    <row r="128" spans="1:9" ht="36" x14ac:dyDescent="0.25">
      <c r="B128" s="104"/>
      <c r="C128" s="104"/>
      <c r="D128" s="104"/>
    </row>
    <row r="129" spans="2:9" x14ac:dyDescent="0.25">
      <c r="B129" s="192"/>
      <c r="C129" s="192"/>
      <c r="D129" s="192"/>
      <c r="E129" s="192"/>
      <c r="F129" s="192"/>
      <c r="G129" s="192"/>
      <c r="H129" s="192"/>
      <c r="I129" s="192"/>
    </row>
    <row r="130" spans="2:9" x14ac:dyDescent="0.25">
      <c r="B130" s="192"/>
      <c r="C130" s="192"/>
      <c r="D130" s="192"/>
      <c r="E130" s="192"/>
      <c r="F130" s="192"/>
      <c r="G130" s="192"/>
      <c r="H130" s="192"/>
      <c r="I130" s="192"/>
    </row>
    <row r="131" spans="2:9" x14ac:dyDescent="0.25">
      <c r="B131" s="192"/>
      <c r="C131" s="192"/>
      <c r="D131" s="192"/>
      <c r="E131" s="192"/>
      <c r="F131" s="192"/>
      <c r="G131" s="192"/>
      <c r="H131" s="192"/>
      <c r="I131" s="192"/>
    </row>
    <row r="132" spans="2:9" x14ac:dyDescent="0.25">
      <c r="B132" s="192"/>
      <c r="C132" s="192"/>
      <c r="D132" s="192"/>
      <c r="E132" s="192"/>
      <c r="F132" s="192"/>
      <c r="G132" s="192"/>
      <c r="H132" s="192"/>
      <c r="I132" s="192"/>
    </row>
    <row r="133" spans="2:9" x14ac:dyDescent="0.25">
      <c r="B133" s="192"/>
      <c r="C133" s="192"/>
      <c r="D133" s="192"/>
      <c r="E133" s="192"/>
      <c r="F133" s="192"/>
      <c r="G133" s="192"/>
      <c r="H133" s="192"/>
      <c r="I133" s="192"/>
    </row>
    <row r="134" spans="2:9" x14ac:dyDescent="0.25">
      <c r="B134" s="192"/>
      <c r="C134" s="192"/>
      <c r="D134" s="192"/>
      <c r="E134" s="192"/>
      <c r="F134" s="192"/>
      <c r="G134" s="192"/>
      <c r="H134" s="192"/>
      <c r="I134" s="192"/>
    </row>
    <row r="135" spans="2:9" x14ac:dyDescent="0.25">
      <c r="B135" s="192"/>
      <c r="C135" s="192"/>
      <c r="D135" s="192"/>
      <c r="E135" s="192"/>
      <c r="F135" s="192"/>
      <c r="G135" s="192"/>
      <c r="H135" s="192"/>
      <c r="I135" s="192"/>
    </row>
    <row r="136" spans="2:9" x14ac:dyDescent="0.25">
      <c r="B136" s="192"/>
      <c r="C136" s="192"/>
      <c r="D136" s="192"/>
      <c r="E136" s="192"/>
      <c r="F136" s="192"/>
      <c r="G136" s="192"/>
      <c r="H136" s="192"/>
      <c r="I136" s="192"/>
    </row>
    <row r="137" spans="2:9" x14ac:dyDescent="0.25">
      <c r="B137" s="192"/>
      <c r="C137" s="192"/>
      <c r="D137" s="192"/>
      <c r="E137" s="192"/>
      <c r="F137" s="192"/>
      <c r="G137" s="192"/>
      <c r="H137" s="192"/>
      <c r="I137" s="192"/>
    </row>
    <row r="138" spans="2:9" x14ac:dyDescent="0.25">
      <c r="B138" s="192"/>
      <c r="C138" s="192"/>
      <c r="D138" s="192"/>
      <c r="E138" s="192"/>
      <c r="F138" s="192"/>
      <c r="G138" s="192"/>
      <c r="H138" s="192"/>
      <c r="I138" s="192"/>
    </row>
    <row r="139" spans="2:9" x14ac:dyDescent="0.25">
      <c r="B139" s="192"/>
      <c r="C139" s="192"/>
      <c r="D139" s="192"/>
      <c r="E139" s="192"/>
      <c r="F139" s="192"/>
      <c r="G139" s="192"/>
      <c r="H139" s="192"/>
      <c r="I139" s="192"/>
    </row>
    <row r="140" spans="2:9" x14ac:dyDescent="0.25">
      <c r="B140" s="192"/>
      <c r="C140" s="192"/>
      <c r="D140" s="192"/>
      <c r="E140" s="192"/>
      <c r="F140" s="192"/>
      <c r="G140" s="192"/>
      <c r="H140" s="192"/>
      <c r="I140" s="192"/>
    </row>
    <row r="141" spans="2:9" x14ac:dyDescent="0.25">
      <c r="B141" s="192"/>
      <c r="C141" s="192"/>
      <c r="D141" s="192"/>
      <c r="E141" s="192"/>
      <c r="F141" s="192"/>
      <c r="G141" s="192"/>
      <c r="H141" s="192"/>
      <c r="I141" s="192"/>
    </row>
    <row r="142" spans="2:9" x14ac:dyDescent="0.25">
      <c r="B142" s="192"/>
      <c r="C142" s="192"/>
      <c r="D142" s="192"/>
      <c r="E142" s="192"/>
      <c r="F142" s="192"/>
      <c r="G142" s="192"/>
      <c r="H142" s="192"/>
      <c r="I142" s="192"/>
    </row>
    <row r="143" spans="2:9" x14ac:dyDescent="0.25">
      <c r="B143" s="192"/>
      <c r="C143" s="192"/>
      <c r="D143" s="192"/>
      <c r="E143" s="192"/>
      <c r="F143" s="192"/>
      <c r="G143" s="192"/>
      <c r="H143" s="192"/>
      <c r="I143" s="192"/>
    </row>
    <row r="144" spans="2:9" x14ac:dyDescent="0.25">
      <c r="B144" s="192"/>
      <c r="C144" s="192"/>
      <c r="D144" s="192"/>
      <c r="E144" s="192"/>
      <c r="F144" s="192"/>
      <c r="G144" s="192"/>
      <c r="H144" s="192"/>
      <c r="I144" s="192"/>
    </row>
    <row r="163" spans="1:8" ht="36" x14ac:dyDescent="0.25">
      <c r="C163" s="200" t="s">
        <v>196</v>
      </c>
      <c r="D163" s="200"/>
      <c r="E163" s="200"/>
      <c r="F163" s="200"/>
      <c r="G163" s="200"/>
      <c r="H163" s="200"/>
    </row>
    <row r="167" spans="1:8" x14ac:dyDescent="0.25">
      <c r="A167" s="122" t="str" cm="1">
        <f t="array" ref="A167:C179">Mesures_Sechoir!A22:C34</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0</v>
      </c>
      <c r="B177" s="123">
        <v>0</v>
      </c>
      <c r="C177" s="124">
        <v>0</v>
      </c>
    </row>
    <row r="178" spans="1:3" x14ac:dyDescent="0.25">
      <c r="A178" s="122">
        <v>0</v>
      </c>
      <c r="B178" s="123">
        <v>0</v>
      </c>
      <c r="C178" s="124">
        <v>0</v>
      </c>
    </row>
    <row r="179" spans="1:3" x14ac:dyDescent="0.25">
      <c r="A179" s="122">
        <v>0</v>
      </c>
      <c r="B179" s="123">
        <v>0</v>
      </c>
      <c r="C179" s="124">
        <v>0</v>
      </c>
    </row>
    <row r="196" spans="1:9" ht="36" x14ac:dyDescent="0.25">
      <c r="C196" s="200" t="s">
        <v>197</v>
      </c>
      <c r="D196" s="200"/>
      <c r="E196" s="200"/>
      <c r="F196" s="200"/>
      <c r="G196" s="200"/>
      <c r="H196" s="200"/>
    </row>
    <row r="200" spans="1:9" x14ac:dyDescent="0.25">
      <c r="A200" s="122" t="str" cm="1">
        <f t="array" ref="A200:B201">Mesures_Sechoir!$A$19:$B$20</f>
        <v>Consignes</v>
      </c>
      <c r="B200" s="124">
        <v>50</v>
      </c>
      <c r="G200" s="204" t="s">
        <v>198</v>
      </c>
      <c r="H200" s="205"/>
      <c r="I200" s="206"/>
    </row>
    <row r="201" spans="1:9" x14ac:dyDescent="0.25">
      <c r="A201" s="122" t="str">
        <v>Tolérances +/-</v>
      </c>
      <c r="B201" s="124">
        <v>0</v>
      </c>
      <c r="G201" s="22" t="s">
        <v>199</v>
      </c>
      <c r="H201" s="22" t="s">
        <v>200</v>
      </c>
      <c r="I201" s="22" t="s">
        <v>201</v>
      </c>
    </row>
    <row r="202" spans="1:9" x14ac:dyDescent="0.25">
      <c r="G202" s="125" t="e" cm="1">
        <f t="array" ref="G202">INDEX(Valeurs_Brutes[Date/Heure], COUNTA(Valeurs_Brutes[Date/Heure])-30)</f>
        <v>#VALUE!</v>
      </c>
      <c r="H202" s="125" cm="1">
        <f t="array" ref="H202">INDEX(Valeurs_Brutes[Date/Heure], COUNTA(Valeurs_Brutes[Date/Heure]))</f>
        <v>0</v>
      </c>
      <c r="I202" s="125" t="e">
        <f>H202-G202</f>
        <v>#VALUE!</v>
      </c>
    </row>
    <row r="205" spans="1:9" ht="23.25" x14ac:dyDescent="0.25">
      <c r="B205" s="207" t="s">
        <v>202</v>
      </c>
      <c r="C205" s="207"/>
    </row>
    <row r="208" spans="1:9" ht="30" x14ac:dyDescent="0.25">
      <c r="B208" s="126" t="s">
        <v>203</v>
      </c>
      <c r="C208" s="127" t="s">
        <v>204</v>
      </c>
      <c r="D208" s="127" t="s">
        <v>119</v>
      </c>
      <c r="E208" s="128" t="s">
        <v>205</v>
      </c>
      <c r="F208" s="127" t="s">
        <v>206</v>
      </c>
    </row>
    <row r="209" spans="1:6" x14ac:dyDescent="0.25">
      <c r="B209" s="129" t="s">
        <v>207</v>
      </c>
      <c r="C209" s="130" t="str">
        <f>B200 &amp; "°C"</f>
        <v>50°C</v>
      </c>
      <c r="D209" s="130" t="s">
        <v>208</v>
      </c>
      <c r="E209" s="130" t="s">
        <v>208</v>
      </c>
      <c r="F209" s="131" t="s">
        <v>208</v>
      </c>
    </row>
    <row r="210" spans="1:6" x14ac:dyDescent="0.25">
      <c r="B210" s="129" t="s">
        <v>209</v>
      </c>
      <c r="C210" s="130" t="str">
        <f>B200 &amp; "°C"</f>
        <v>50°C</v>
      </c>
      <c r="D210" s="130" t="s">
        <v>208</v>
      </c>
      <c r="E210" s="130" t="s">
        <v>208</v>
      </c>
      <c r="F210" s="131" t="s">
        <v>208</v>
      </c>
    </row>
    <row r="211" spans="1:6" ht="15" customHeight="1" x14ac:dyDescent="0.25">
      <c r="A211" s="208" t="s">
        <v>210</v>
      </c>
      <c r="B211" s="129" t="s">
        <v>211</v>
      </c>
      <c r="C211" s="132" t="e">
        <f ca="1">MAX(Sechoir_50°C!C16:N16)</f>
        <v>#REF!</v>
      </c>
      <c r="D211" s="130" t="e">
        <f ca="1">_xlfn.XLOOKUP(INT(SUBSTITUTE(E211,"Connecteur ","")),Mesures_Sechoir!$C$23:$C$34,Mesures_Sechoir!$A$23:$A$34)</f>
        <v>#REF!</v>
      </c>
      <c r="E211" s="130" t="e" cm="1">
        <f t="array" aca="1" ref="E211" ca="1">_xlfn.XLOOKUP(C211,Sechoir_50°C!C16:N16,_xlfn.ANCHORARRAY(Sechoir_50°C!C14))</f>
        <v>#REF!</v>
      </c>
      <c r="F211" s="130" t="e">
        <f ca="1">_xlfn.XLOOKUP(INT(SUBSTITUTE(E211,"Connecteur ","")),Mesures_Sechoir!$C$23:$C$34,Mesures_Sechoir!$B$23:$B$34)</f>
        <v>#REF!</v>
      </c>
    </row>
    <row r="212" spans="1:6" x14ac:dyDescent="0.25">
      <c r="A212" s="208"/>
      <c r="B212" s="129" t="s">
        <v>212</v>
      </c>
      <c r="C212" s="132" t="e">
        <f ca="1">MIN(Sechoir_50°C!C16:N16)</f>
        <v>#REF!</v>
      </c>
      <c r="D212" s="130" t="e">
        <f ca="1">_xlfn.XLOOKUP(INT(SUBSTITUTE(E212,"Connecteur ","")),Mesures_Sechoir!$C$23:$C$34,Mesures_Sechoir!$A$23:$A$34)</f>
        <v>#REF!</v>
      </c>
      <c r="E212" s="130" t="e" cm="1">
        <f t="array" aca="1" ref="E212" ca="1">_xlfn.XLOOKUP(C212,Sechoir_50°C!C16:N16,_xlfn.ANCHORARRAY(Sechoir_50°C!C14))</f>
        <v>#REF!</v>
      </c>
      <c r="F212" s="131" t="e">
        <f ca="1">_xlfn.XLOOKUP(INT(SUBSTITUTE(E212,"Connecteur ","")),Mesures_Sechoir!$C$23:$C$34,Mesures_Sechoir!$B$23:$B$34)</f>
        <v>#REF!</v>
      </c>
    </row>
    <row r="213" spans="1:6" ht="34.5" customHeight="1" x14ac:dyDescent="0.25">
      <c r="A213" s="208"/>
      <c r="B213" s="129" t="s">
        <v>213</v>
      </c>
      <c r="C213" s="132" t="e">
        <f ca="1">MIN(Sechoir_50°C!C17:N17)</f>
        <v>#REF!</v>
      </c>
      <c r="D213" s="130" t="e">
        <f ca="1">_xlfn.XLOOKUP(INT(SUBSTITUTE(E213,"Connecteur ","")),Mesures_Sechoir!$C$23:$C$34,Mesures_Sechoir!$A$23:$A$34)</f>
        <v>#REF!</v>
      </c>
      <c r="E213" s="130" t="e" cm="1">
        <f t="array" aca="1" ref="E213" ca="1">_xlfn.XLOOKUP(C213,Sechoir_50°C!C16:N16,_xlfn.ANCHORARRAY(Sechoir_50°C!C14))</f>
        <v>#REF!</v>
      </c>
      <c r="F213" s="131" t="e">
        <f ca="1">_xlfn.XLOOKUP(INT(SUBSTITUTE(E213,"Connecteur ","")),Mesures_Sechoir!$C$23:$C$34,Mesures_Sechoir!$B$23:$B$34)</f>
        <v>#REF!</v>
      </c>
    </row>
    <row r="214" spans="1:6" x14ac:dyDescent="0.25">
      <c r="A214" s="208"/>
      <c r="B214" s="129" t="s">
        <v>214</v>
      </c>
      <c r="C214" s="132" t="e">
        <f ca="1">Sechoir_50°C!C21</f>
        <v>#REF!</v>
      </c>
      <c r="D214" s="130" t="s">
        <v>208</v>
      </c>
      <c r="E214" s="130" t="s">
        <v>208</v>
      </c>
      <c r="F214" s="131" t="s">
        <v>208</v>
      </c>
    </row>
    <row r="215" spans="1:6" x14ac:dyDescent="0.25">
      <c r="C215" s="89"/>
      <c r="D215" s="89"/>
      <c r="E215" s="89"/>
      <c r="F215" s="89"/>
    </row>
    <row r="226" spans="2:9" ht="36" x14ac:dyDescent="0.25">
      <c r="B226" s="200" t="s">
        <v>215</v>
      </c>
      <c r="C226" s="200"/>
      <c r="D226" s="200"/>
      <c r="E226" s="200"/>
      <c r="F226" s="200"/>
    </row>
    <row r="229" spans="2:9" x14ac:dyDescent="0.25">
      <c r="B229" s="192" t="s">
        <v>216</v>
      </c>
      <c r="C229" s="192"/>
    </row>
    <row r="232" spans="2:9" x14ac:dyDescent="0.25">
      <c r="C232" s="27"/>
      <c r="D232" s="27"/>
      <c r="E232" s="27"/>
      <c r="F232" s="210" t="s">
        <v>198</v>
      </c>
      <c r="G232" s="212"/>
      <c r="H232" s="212"/>
      <c r="I232" s="211"/>
    </row>
    <row r="233" spans="2:9" ht="30" x14ac:dyDescent="0.25">
      <c r="C233" s="36" t="s">
        <v>9</v>
      </c>
      <c r="D233" s="36" t="s">
        <v>12</v>
      </c>
      <c r="E233" s="133" t="s">
        <v>217</v>
      </c>
      <c r="F233" s="36" t="s">
        <v>218</v>
      </c>
      <c r="G233" s="36" t="s">
        <v>219</v>
      </c>
      <c r="H233" s="36" t="s">
        <v>220</v>
      </c>
      <c r="I233" s="36" t="s">
        <v>221</v>
      </c>
    </row>
    <row r="234" spans="2:9" x14ac:dyDescent="0.25">
      <c r="C234" s="38" cm="1">
        <f t="array" ref="C234:E245">Mesures_Sechoir!$A$23:$C$34</f>
        <v>1</v>
      </c>
      <c r="D234" s="38">
        <v>0</v>
      </c>
      <c r="E234" s="38">
        <v>0</v>
      </c>
      <c r="F234" s="134" t="e" cm="1">
        <f t="array" ref="F234">_xlfn.XLOOKUP(SUBSTITUTE(Sechoir_PV!E234,Sechoir_PV!E234,"Connecteur " &amp; Sechoir_PV!E234),_xlfn.ANCHORARRAY(Sechoir_50°C!C14),Sechoir_50°C!C17:N17)</f>
        <v>#VALUE!</v>
      </c>
      <c r="G234" s="134" t="e" cm="1">
        <f t="array" ref="G234">_xlfn.XLOOKUP(SUBSTITUTE(Sechoir_PV!E234,Sechoir_PV!E234,"Connecteur " &amp; Sechoir_PV!E234),_xlfn.ANCHORARRAY(Sechoir_50°C!C14),Sechoir_50°C!C16:N16)</f>
        <v>#VALUE!</v>
      </c>
      <c r="H234" s="134" t="e" cm="1">
        <f t="array" ref="H234">_xlfn.XLOOKUP(SUBSTITUTE(Sechoir_PV!E234,Sechoir_PV!E234,"Connecteur " &amp; Sechoir_PV!E234),_xlfn.ANCHORARRAY(Sechoir_50°C!C14),Sechoir_50°C!C18:N18)</f>
        <v>#VALUE!</v>
      </c>
      <c r="I234" s="134" t="e" cm="1">
        <f t="array" ref="I234">_xlfn.XLOOKUP(SUBSTITUTE(Sechoir_PV!E234,Sechoir_PV!E234,"Connecteur " &amp; Sechoir_PV!E234),_xlfn.ANCHORARRAY(Sechoir_50°C!C14),Sechoir_50°C!C19:N19)</f>
        <v>#VALUE!</v>
      </c>
    </row>
    <row r="235" spans="2:9" x14ac:dyDescent="0.25">
      <c r="C235" s="38">
        <v>2</v>
      </c>
      <c r="D235" s="38">
        <v>0</v>
      </c>
      <c r="E235" s="38">
        <v>0</v>
      </c>
      <c r="F235" s="134" t="e" cm="1">
        <f t="array" ref="F235">_xlfn.XLOOKUP(SUBSTITUTE(Sechoir_PV!E235,Sechoir_PV!E235,"Connecteur " &amp; Sechoir_PV!E235),_xlfn.ANCHORARRAY(Sechoir_50°C!C14),Sechoir_50°C!C17:N17)</f>
        <v>#VALUE!</v>
      </c>
      <c r="G235" s="134" t="e" cm="1">
        <f t="array" ref="G235">_xlfn.XLOOKUP(SUBSTITUTE(Sechoir_PV!E235,Sechoir_PV!E235,"Connecteur " &amp; Sechoir_PV!E235),_xlfn.ANCHORARRAY(Sechoir_50°C!C14),Sechoir_50°C!C16:N16)</f>
        <v>#VALUE!</v>
      </c>
      <c r="H235" s="134" t="e" cm="1">
        <f t="array" ref="H235">_xlfn.XLOOKUP(SUBSTITUTE(Sechoir_PV!E235,Sechoir_PV!E235,"Connecteur " &amp; Sechoir_PV!E235),_xlfn.ANCHORARRAY(Sechoir_50°C!C14),Sechoir_50°C!C18:N18)</f>
        <v>#VALUE!</v>
      </c>
      <c r="I235" s="134" t="e" cm="1">
        <f t="array" ref="I235">_xlfn.XLOOKUP(SUBSTITUTE(Sechoir_PV!E235,Sechoir_PV!E235,"Connecteur " &amp; Sechoir_PV!E235),_xlfn.ANCHORARRAY(Sechoir_50°C!C14),Sechoir_50°C!C19:N19)</f>
        <v>#VALUE!</v>
      </c>
    </row>
    <row r="236" spans="2:9" x14ac:dyDescent="0.25">
      <c r="C236" s="38">
        <v>3</v>
      </c>
      <c r="D236" s="38">
        <v>0</v>
      </c>
      <c r="E236" s="38">
        <v>0</v>
      </c>
      <c r="F236" s="134" t="e" cm="1">
        <f t="array" ref="F236">_xlfn.XLOOKUP(SUBSTITUTE(Sechoir_PV!E236,Sechoir_PV!E236,"Connecteur " &amp; Sechoir_PV!E236),_xlfn.ANCHORARRAY(Sechoir_50°C!C14),Sechoir_50°C!C17:N17)</f>
        <v>#VALUE!</v>
      </c>
      <c r="G236" s="134" t="e" cm="1">
        <f t="array" ref="G236">_xlfn.XLOOKUP(SUBSTITUTE(Sechoir_PV!E236,Sechoir_PV!E236,"Connecteur " &amp; Sechoir_PV!E236),_xlfn.ANCHORARRAY(Sechoir_50°C!C14),Sechoir_50°C!C16:N16)</f>
        <v>#VALUE!</v>
      </c>
      <c r="H236" s="134" t="e" cm="1">
        <f t="array" ref="H236">_xlfn.XLOOKUP(SUBSTITUTE(Sechoir_PV!E236,Sechoir_PV!E236,"Connecteur " &amp; Sechoir_PV!E236),_xlfn.ANCHORARRAY(Sechoir_50°C!C14),Sechoir_50°C!C18:N18)</f>
        <v>#VALUE!</v>
      </c>
      <c r="I236" s="134" t="e" cm="1">
        <f t="array" ref="I236">_xlfn.XLOOKUP(SUBSTITUTE(Sechoir_PV!E236,Sechoir_PV!E236,"Connecteur " &amp; Sechoir_PV!E236),_xlfn.ANCHORARRAY(Sechoir_50°C!C14),Sechoir_50°C!C19:N19)</f>
        <v>#VALUE!</v>
      </c>
    </row>
    <row r="237" spans="2:9" x14ac:dyDescent="0.25">
      <c r="C237" s="38">
        <v>4</v>
      </c>
      <c r="D237" s="38">
        <v>0</v>
      </c>
      <c r="E237" s="38">
        <v>0</v>
      </c>
      <c r="F237" s="134" t="e" cm="1">
        <f t="array" ref="F237">_xlfn.XLOOKUP(SUBSTITUTE(Sechoir_PV!E237,Sechoir_PV!E237,"Connecteur " &amp; Sechoir_PV!E237),_xlfn.ANCHORARRAY(Sechoir_50°C!C14),Sechoir_50°C!C17:N17)</f>
        <v>#VALUE!</v>
      </c>
      <c r="G237" s="134" t="e" cm="1">
        <f t="array" ref="G237">_xlfn.XLOOKUP(SUBSTITUTE(Sechoir_PV!E237,Sechoir_PV!E237,"Connecteur " &amp; Sechoir_PV!E237),_xlfn.ANCHORARRAY(Sechoir_50°C!C14),Sechoir_50°C!C16:N16)</f>
        <v>#VALUE!</v>
      </c>
      <c r="H237" s="134" t="e" cm="1">
        <f t="array" ref="H237">_xlfn.XLOOKUP(SUBSTITUTE(Sechoir_PV!E237,Sechoir_PV!E237,"Connecteur " &amp; Sechoir_PV!E237),_xlfn.ANCHORARRAY(Sechoir_50°C!C14),Sechoir_50°C!C18:N18)</f>
        <v>#VALUE!</v>
      </c>
      <c r="I237" s="134" t="e" cm="1">
        <f t="array" ref="I237">_xlfn.XLOOKUP(SUBSTITUTE(Sechoir_PV!E237,Sechoir_PV!E237,"Connecteur " &amp; Sechoir_PV!E237),_xlfn.ANCHORARRAY(Sechoir_50°C!C14),Sechoir_50°C!C19:N19)</f>
        <v>#VALUE!</v>
      </c>
    </row>
    <row r="238" spans="2:9" x14ac:dyDescent="0.25">
      <c r="C238" s="38">
        <v>5</v>
      </c>
      <c r="D238" s="38">
        <v>0</v>
      </c>
      <c r="E238" s="38">
        <v>0</v>
      </c>
      <c r="F238" s="134" t="e" cm="1">
        <f t="array" ref="F238">_xlfn.XLOOKUP(SUBSTITUTE(Sechoir_PV!E238,Sechoir_PV!E238,"Connecteur " &amp; Sechoir_PV!E238),_xlfn.ANCHORARRAY(Sechoir_50°C!C14),Sechoir_50°C!C17:N17)</f>
        <v>#VALUE!</v>
      </c>
      <c r="G238" s="134" t="e" cm="1">
        <f t="array" ref="G238">_xlfn.XLOOKUP(SUBSTITUTE(Sechoir_PV!E238,Sechoir_PV!E238,"Connecteur "&amp;Sechoir_PV!E238),_xlfn.ANCHORARRAY(Sechoir_50°C!C14),Sechoir_50°C!C16:N16)</f>
        <v>#VALUE!</v>
      </c>
      <c r="H238" s="134" t="e" cm="1">
        <f t="array" ref="H238">_xlfn.XLOOKUP(SUBSTITUTE(Sechoir_PV!E238,Sechoir_PV!E238,"Connecteur " &amp; Sechoir_PV!E238),_xlfn.ANCHORARRAY(Sechoir_50°C!C14),Sechoir_50°C!C18:N18)</f>
        <v>#VALUE!</v>
      </c>
      <c r="I238" s="134" t="e" cm="1">
        <f t="array" ref="I238">_xlfn.XLOOKUP(SUBSTITUTE(Sechoir_PV!E238,Sechoir_PV!E238,"Connecteur " &amp; Sechoir_PV!E238),_xlfn.ANCHORARRAY(Sechoir_50°C!C14),Sechoir_50°C!C19:N19)</f>
        <v>#VALUE!</v>
      </c>
    </row>
    <row r="239" spans="2:9" x14ac:dyDescent="0.25">
      <c r="C239" s="38">
        <v>6</v>
      </c>
      <c r="D239" s="38">
        <v>0</v>
      </c>
      <c r="E239" s="38">
        <v>0</v>
      </c>
      <c r="F239" s="134" t="e" cm="1">
        <f t="array" ref="F239">_xlfn.XLOOKUP(SUBSTITUTE(Sechoir_PV!E239,Sechoir_PV!E239,"Connecteur " &amp; Sechoir_PV!E239),_xlfn.ANCHORARRAY(Sechoir_50°C!C14),Sechoir_50°C!C17:N17)</f>
        <v>#VALUE!</v>
      </c>
      <c r="G239" s="134" t="e" cm="1">
        <f t="array" ref="G239">_xlfn.XLOOKUP(SUBSTITUTE(Sechoir_PV!E239,Sechoir_PV!E239,"Connecteur " &amp; Sechoir_PV!E239),_xlfn.ANCHORARRAY(Sechoir_50°C!C14),Sechoir_50°C!C16:N16)</f>
        <v>#VALUE!</v>
      </c>
      <c r="H239" s="134" t="e" cm="1">
        <f t="array" ref="H239">_xlfn.XLOOKUP(SUBSTITUTE(Sechoir_PV!E239,Sechoir_PV!E239,"Connecteur " &amp; Sechoir_PV!E239),_xlfn.ANCHORARRAY(Sechoir_50°C!C14),Sechoir_50°C!C18:N18)</f>
        <v>#VALUE!</v>
      </c>
      <c r="I239" s="134" t="e" cm="1">
        <f t="array" ref="I239">_xlfn.XLOOKUP(SUBSTITUTE(Sechoir_PV!E239,Sechoir_PV!E239,"Connecteur " &amp; Sechoir_PV!E239),_xlfn.ANCHORARRAY(Sechoir_50°C!C14),Sechoir_50°C!C19:N19)</f>
        <v>#VALUE!</v>
      </c>
    </row>
    <row r="240" spans="2:9" x14ac:dyDescent="0.25">
      <c r="C240" s="38">
        <v>7</v>
      </c>
      <c r="D240" s="38">
        <v>0</v>
      </c>
      <c r="E240" s="38">
        <v>0</v>
      </c>
      <c r="F240" s="134" t="e" cm="1">
        <f t="array" ref="F240">_xlfn.XLOOKUP(SUBSTITUTE(Sechoir_PV!E240,Sechoir_PV!E240,"Connecteur " &amp; Sechoir_PV!E240),_xlfn.ANCHORARRAY(Sechoir_50°C!C14),Sechoir_50°C!C17:N17)</f>
        <v>#VALUE!</v>
      </c>
      <c r="G240" s="134" t="e" cm="1">
        <f t="array" ref="G240">_xlfn.XLOOKUP(SUBSTITUTE(Sechoir_PV!E240,Sechoir_PV!E240,"Connecteur " &amp; Sechoir_PV!E240),_xlfn.ANCHORARRAY(Sechoir_50°C!C14),Sechoir_50°C!C16:N16)</f>
        <v>#VALUE!</v>
      </c>
      <c r="H240" s="134" t="e" cm="1">
        <f t="array" ref="H240">_xlfn.XLOOKUP(SUBSTITUTE(Sechoir_PV!E240,Sechoir_PV!E240,"Connecteur " &amp; Sechoir_PV!E240),_xlfn.ANCHORARRAY(Sechoir_50°C!C14),Sechoir_50°C!C18:N18)</f>
        <v>#VALUE!</v>
      </c>
      <c r="I240" s="134" t="e" cm="1">
        <f t="array" ref="I240">_xlfn.XLOOKUP(SUBSTITUTE(Sechoir_PV!E240,Sechoir_PV!E240,"Connecteur " &amp; Sechoir_PV!E240),_xlfn.ANCHORARRAY(Sechoir_50°C!C14),Sechoir_50°C!C19:N19)</f>
        <v>#VALUE!</v>
      </c>
    </row>
    <row r="241" spans="2:9" x14ac:dyDescent="0.25">
      <c r="C241" s="38">
        <v>8</v>
      </c>
      <c r="D241" s="38">
        <v>0</v>
      </c>
      <c r="E241" s="38">
        <v>0</v>
      </c>
      <c r="F241" s="134" t="e" cm="1">
        <f t="array" ref="F241">_xlfn.XLOOKUP(SUBSTITUTE(Sechoir_PV!E241,Sechoir_PV!E241,"Connecteur " &amp; Sechoir_PV!E241),_xlfn.ANCHORARRAY(Sechoir_50°C!C14),Sechoir_50°C!C17:N17)</f>
        <v>#VALUE!</v>
      </c>
      <c r="G241" s="134" t="e" cm="1">
        <f t="array" ref="G241">_xlfn.XLOOKUP(SUBSTITUTE(Sechoir_PV!E241,Sechoir_PV!E241,"Connecteur " &amp; Sechoir_PV!E241),_xlfn.ANCHORARRAY(Sechoir_50°C!C14),Sechoir_50°C!C16:N16)</f>
        <v>#VALUE!</v>
      </c>
      <c r="H241" s="134" t="e" cm="1">
        <f t="array" ref="H241">_xlfn.XLOOKUP(SUBSTITUTE(Sechoir_PV!E241,Sechoir_PV!E241,"Connecteur " &amp; Sechoir_PV!E241),_xlfn.ANCHORARRAY(Sechoir_50°C!C14),Sechoir_50°C!C18:N18)</f>
        <v>#VALUE!</v>
      </c>
      <c r="I241" s="134" t="e" cm="1">
        <f t="array" ref="I241">_xlfn.XLOOKUP(SUBSTITUTE(Sechoir_PV!E241,Sechoir_PV!E241,"Connecteur " &amp; Sechoir_PV!E241),_xlfn.ANCHORARRAY(Sechoir_50°C!C14),Sechoir_50°C!C19:N19)</f>
        <v>#VALUE!</v>
      </c>
    </row>
    <row r="242" spans="2:9" x14ac:dyDescent="0.25">
      <c r="C242" s="38">
        <v>9</v>
      </c>
      <c r="D242" s="38">
        <v>0</v>
      </c>
      <c r="E242" s="38">
        <v>0</v>
      </c>
      <c r="F242" s="134" t="e" cm="1">
        <f t="array" ref="F242">_xlfn.XLOOKUP(SUBSTITUTE(Sechoir_PV!E242,Sechoir_PV!E242,"Connecteur " &amp; Sechoir_PV!E242),_xlfn.ANCHORARRAY(Sechoir_50°C!C14),Sechoir_50°C!C17:N17)</f>
        <v>#VALUE!</v>
      </c>
      <c r="G242" s="134" t="e" cm="1">
        <f t="array" ref="G242">_xlfn.XLOOKUP(SUBSTITUTE(Sechoir_PV!E242,Sechoir_PV!E242,"Connecteur " &amp; Sechoir_PV!E242),_xlfn.ANCHORARRAY(Sechoir_50°C!C14),Sechoir_50°C!C16:N16)</f>
        <v>#VALUE!</v>
      </c>
      <c r="H242" s="134" t="e" cm="1">
        <f t="array" ref="H242">_xlfn.XLOOKUP(SUBSTITUTE(Sechoir_PV!E242,Sechoir_PV!E242,"Connecteur " &amp; Sechoir_PV!E242),_xlfn.ANCHORARRAY(Sechoir_50°C!C14),Sechoir_50°C!C18:N18)</f>
        <v>#VALUE!</v>
      </c>
      <c r="I242" s="134" t="e" cm="1">
        <f t="array" ref="I242">_xlfn.XLOOKUP(SUBSTITUTE(Sechoir_PV!E242,Sechoir_PV!E242,"Connecteur " &amp; Sechoir_PV!E242),_xlfn.ANCHORARRAY(Sechoir_50°C!C14),Sechoir_50°C!C19:N19)</f>
        <v>#VALUE!</v>
      </c>
    </row>
    <row r="243" spans="2:9" x14ac:dyDescent="0.25">
      <c r="C243" s="38">
        <v>0</v>
      </c>
      <c r="D243" s="38">
        <v>0</v>
      </c>
      <c r="E243" s="38">
        <v>0</v>
      </c>
      <c r="F243" s="134" t="e" cm="1">
        <f t="array" ref="F243">_xlfn.XLOOKUP(SUBSTITUTE(Sechoir_PV!E243,Sechoir_PV!E243,"Connecteur " &amp; Sechoir_PV!E243),_xlfn.ANCHORARRAY(Sechoir_50°C!C14),Sechoir_50°C!C17:N17)</f>
        <v>#VALUE!</v>
      </c>
      <c r="G243" s="134" t="e" cm="1">
        <f t="array" ref="G243">_xlfn.XLOOKUP(SUBSTITUTE(Sechoir_PV!E243,Sechoir_PV!E243,"Connecteur " &amp; Sechoir_PV!E243),_xlfn.ANCHORARRAY(Sechoir_50°C!C14),Sechoir_50°C!C16:N16)</f>
        <v>#VALUE!</v>
      </c>
      <c r="H243" s="134" t="e" cm="1">
        <f t="array" ref="H243">_xlfn.XLOOKUP(SUBSTITUTE(Sechoir_PV!E243,Sechoir_PV!E243,"Connecteur " &amp; Sechoir_PV!E243),_xlfn.ANCHORARRAY(Sechoir_50°C!C14),Sechoir_50°C!C18:N18)</f>
        <v>#VALUE!</v>
      </c>
      <c r="I243" s="134" t="e" cm="1">
        <f t="array" ref="I243">_xlfn.XLOOKUP(SUBSTITUTE(Sechoir_PV!E243,Sechoir_PV!E243,"Connecteur " &amp; Sechoir_PV!E243),_xlfn.ANCHORARRAY(Sechoir_50°C!C14),Sechoir_50°C!C19:N19)</f>
        <v>#VALUE!</v>
      </c>
    </row>
    <row r="244" spans="2:9" x14ac:dyDescent="0.25">
      <c r="C244" s="38">
        <v>0</v>
      </c>
      <c r="D244" s="38">
        <v>0</v>
      </c>
      <c r="E244" s="38">
        <v>0</v>
      </c>
      <c r="F244" s="134" t="e" cm="1">
        <f t="array" ref="F244">_xlfn.XLOOKUP(SUBSTITUTE(Sechoir_PV!E244,Sechoir_PV!E244,"Connecteur " &amp; Sechoir_PV!E244),_xlfn.ANCHORARRAY(Sechoir_50°C!C14),Sechoir_50°C!C17:N17)</f>
        <v>#VALUE!</v>
      </c>
      <c r="G244" s="134" t="e" cm="1">
        <f t="array" ref="G244">_xlfn.XLOOKUP(SUBSTITUTE(Sechoir_PV!E244,Sechoir_PV!E244,"Connecteur " &amp; Sechoir_PV!E244),_xlfn.ANCHORARRAY(Sechoir_50°C!C14),Sechoir_50°C!C16:N16)</f>
        <v>#VALUE!</v>
      </c>
      <c r="H244" s="134" t="e" cm="1">
        <f t="array" ref="H244">_xlfn.XLOOKUP(SUBSTITUTE(Sechoir_PV!E244,Sechoir_PV!E244,"Connecteur " &amp; Sechoir_PV!E244),_xlfn.ANCHORARRAY(Sechoir_50°C!C14),Sechoir_50°C!C18:N18)</f>
        <v>#VALUE!</v>
      </c>
      <c r="I244" s="134" t="e" cm="1">
        <f t="array" ref="I244">_xlfn.XLOOKUP(SUBSTITUTE(Sechoir_PV!E244,Sechoir_PV!E244,"Connecteur " &amp; Sechoir_PV!E244),_xlfn.ANCHORARRAY(Sechoir_50°C!C14),Sechoir_50°C!C19:N19)</f>
        <v>#VALUE!</v>
      </c>
    </row>
    <row r="245" spans="2:9" x14ac:dyDescent="0.25">
      <c r="C245" s="38">
        <v>0</v>
      </c>
      <c r="D245" s="38">
        <v>0</v>
      </c>
      <c r="E245" s="38">
        <v>0</v>
      </c>
      <c r="F245" s="134" t="e" cm="1">
        <f t="array" ref="F245">_xlfn.XLOOKUP(SUBSTITUTE(Sechoir_PV!E245,Sechoir_PV!E245,"Connecteur " &amp; Sechoir_PV!E245),_xlfn.ANCHORARRAY(Sechoir_50°C!C14),Sechoir_50°C!C17:N17)</f>
        <v>#VALUE!</v>
      </c>
      <c r="G245" s="134" t="e" cm="1">
        <f t="array" ref="G245">_xlfn.XLOOKUP(SUBSTITUTE(Sechoir_PV!E245,Sechoir_PV!E245,"Connecteur " &amp; Sechoir_PV!E245),_xlfn.ANCHORARRAY(Sechoir_50°C!C14),Sechoir_50°C!C16:N16)</f>
        <v>#VALUE!</v>
      </c>
      <c r="H245" s="134" t="e" cm="1">
        <f t="array" ref="H245">_xlfn.XLOOKUP(SUBSTITUTE(Sechoir_PV!E245,Sechoir_PV!E245,"Connecteur " &amp; Sechoir_PV!E245),_xlfn.ANCHORARRAY(Sechoir_50°C!C14),Sechoir_50°C!C18:N18)</f>
        <v>#VALUE!</v>
      </c>
      <c r="I245" s="134" t="e" cm="1">
        <f t="array" ref="I245">_xlfn.XLOOKUP(SUBSTITUTE(Sechoir_PV!E245,Sechoir_PV!E245,"Connecteur " &amp; Sechoir_PV!E245),_xlfn.ANCHORARRAY(Sechoir_50°C!C14),Sechoir_50°C!C19:N19)</f>
        <v>#VALUE!</v>
      </c>
    </row>
    <row r="252" spans="2:9" x14ac:dyDescent="0.25">
      <c r="B252" s="135"/>
    </row>
    <row r="254" spans="2:9" ht="36" x14ac:dyDescent="0.3">
      <c r="C254" s="136" t="s">
        <v>222</v>
      </c>
      <c r="D254" s="137"/>
      <c r="E254" s="137"/>
      <c r="F254" s="137"/>
    </row>
    <row r="257" spans="2:2" x14ac:dyDescent="0.25">
      <c r="B257" t="s">
        <v>223</v>
      </c>
    </row>
    <row r="293" spans="2:8" ht="36" x14ac:dyDescent="0.55000000000000004">
      <c r="G293" s="198" t="s">
        <v>224</v>
      </c>
      <c r="H293" s="198"/>
    </row>
    <row r="297" spans="2:8" ht="23.25" customHeight="1" x14ac:dyDescent="0.25">
      <c r="B297" s="213" t="s">
        <v>225</v>
      </c>
      <c r="C297" s="213"/>
      <c r="D297" s="213"/>
      <c r="E297" s="213"/>
      <c r="F297" s="138" t="e">
        <f ca="1">IF(OR(AVERAGE(Sechoir_50°C!C16:N16)&gt;Sechoir_50°C!O16,AVERAGE(Sechoir_50°C!C17:N17)&lt;Sechoir_50°C!O17),"NON CONFORME","CONFORME")</f>
        <v>#REF!</v>
      </c>
      <c r="G297" s="139"/>
    </row>
    <row r="298" spans="2:8" ht="23.25" customHeight="1" x14ac:dyDescent="0.25">
      <c r="B298" s="213"/>
      <c r="C298" s="213"/>
      <c r="D298" s="213"/>
      <c r="E298" s="213"/>
      <c r="F298" s="139"/>
      <c r="G298" s="139"/>
    </row>
    <row r="299" spans="2:8" ht="15" customHeight="1" x14ac:dyDescent="0.25">
      <c r="B299" s="139"/>
      <c r="C299" s="139"/>
      <c r="D299" s="139"/>
      <c r="E299" s="139"/>
      <c r="F299" s="139"/>
      <c r="G299" s="139"/>
    </row>
    <row r="303" spans="2:8" x14ac:dyDescent="0.25">
      <c r="C303" s="129" t="s">
        <v>226</v>
      </c>
      <c r="D303" s="129"/>
      <c r="E303" s="129" t="str">
        <f xml:space="preserve"> "-30°C"</f>
        <v>-30°C</v>
      </c>
    </row>
    <row r="304" spans="2:8" x14ac:dyDescent="0.25">
      <c r="C304" s="209" t="s">
        <v>227</v>
      </c>
      <c r="D304" s="209"/>
      <c r="E304" s="142">
        <f>Mesures_Sechoir!$B$19</f>
        <v>50</v>
      </c>
    </row>
    <row r="305" spans="3:5" x14ac:dyDescent="0.25">
      <c r="C305" s="209" t="s">
        <v>228</v>
      </c>
      <c r="D305" s="209"/>
      <c r="E305" s="134" t="e">
        <f ca="1">Sechoir_50°C!C20</f>
        <v>#REF!</v>
      </c>
    </row>
    <row r="306" spans="3:5" x14ac:dyDescent="0.25">
      <c r="C306" s="209" t="s">
        <v>229</v>
      </c>
      <c r="D306" s="209"/>
      <c r="E306" s="38" t="str">
        <f>"±" &amp; Mesures_Sechoir!$B$20</f>
        <v>±</v>
      </c>
    </row>
    <row r="307" spans="3:5" x14ac:dyDescent="0.25">
      <c r="C307" s="210" t="s">
        <v>230</v>
      </c>
      <c r="D307" s="211"/>
      <c r="E307" s="38" t="e">
        <f ca="1">IF(F297="CONFORME","OUI","NON")</f>
        <v>#REF!</v>
      </c>
    </row>
    <row r="308" spans="3:5" x14ac:dyDescent="0.25">
      <c r="C308" s="209" t="s">
        <v>231</v>
      </c>
      <c r="D308" s="209"/>
      <c r="E308" s="38">
        <v>2</v>
      </c>
    </row>
  </sheetData>
  <sheetProtection algorithmName="SHA-512" hashValue="DWtGlmoMczG26UK8ByAsf2qWmu7sMNy+6JOA4zp+6u9ixD1WTTwZIiVFPSBODqdsOtiurpJdKXO2ZVXSXdPKmQ==" saltValue="S0h2Jjx+GIwQHRgrwL7t0A==" spinCount="100000" sheet="1" objects="1" scenarios="1" autoFilter="0"/>
  <mergeCells count="40">
    <mergeCell ref="C306:D306"/>
    <mergeCell ref="C307:D307"/>
    <mergeCell ref="C308:D308"/>
    <mergeCell ref="B229:C229"/>
    <mergeCell ref="F232:I232"/>
    <mergeCell ref="G293:H293"/>
    <mergeCell ref="B297:E298"/>
    <mergeCell ref="C304:D304"/>
    <mergeCell ref="C305:D305"/>
    <mergeCell ref="C163:H163"/>
    <mergeCell ref="C196:H196"/>
    <mergeCell ref="G200:I200"/>
    <mergeCell ref="B205:C205"/>
    <mergeCell ref="A211:A214"/>
    <mergeCell ref="B226:F226"/>
    <mergeCell ref="A72:J81"/>
    <mergeCell ref="C85:G85"/>
    <mergeCell ref="C94:G94"/>
    <mergeCell ref="B116:F116"/>
    <mergeCell ref="C127:F127"/>
    <mergeCell ref="B129:I144"/>
    <mergeCell ref="B67:D67"/>
    <mergeCell ref="E67:I67"/>
    <mergeCell ref="B68:D68"/>
    <mergeCell ref="E68:I68"/>
    <mergeCell ref="B69:D69"/>
    <mergeCell ref="E69:H69"/>
    <mergeCell ref="E56:H56"/>
    <mergeCell ref="E57:F57"/>
    <mergeCell ref="B61:D61"/>
    <mergeCell ref="E61:G61"/>
    <mergeCell ref="B62:D62"/>
    <mergeCell ref="B66:D66"/>
    <mergeCell ref="E66:I66"/>
    <mergeCell ref="C10:D10"/>
    <mergeCell ref="E10:F10"/>
    <mergeCell ref="A28:B28"/>
    <mergeCell ref="A30:I47"/>
    <mergeCell ref="C51:F51"/>
    <mergeCell ref="E55:G55"/>
  </mergeCells>
  <conditionalFormatting sqref="F297">
    <cfRule type="containsText" dxfId="33" priority="1" operator="containsText" text="NON CONFORME">
      <formula>NOT(ISERROR(SEARCH("NON CONFORME",F297)))</formula>
    </cfRule>
    <cfRule type="containsText" dxfId="32"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2:O56"/>
  <sheetViews>
    <sheetView topLeftCell="A8" workbookViewId="0">
      <selection activeCell="D5" sqref="D5"/>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6.7109375" customWidth="1"/>
    <col min="9" max="9" width="13.140625" customWidth="1"/>
    <col min="11" max="11" width="24.140625" customWidth="1"/>
    <col min="12" max="12" width="18.7109375" customWidth="1"/>
    <col min="13" max="13" width="32.28515625" customWidth="1"/>
  </cols>
  <sheetData>
    <row r="2" spans="1:13" x14ac:dyDescent="0.25">
      <c r="B2" s="189" t="s">
        <v>50</v>
      </c>
      <c r="C2" s="190"/>
      <c r="D2" s="190"/>
      <c r="E2" s="190"/>
      <c r="F2" s="190"/>
      <c r="G2" s="190"/>
      <c r="H2" s="190"/>
      <c r="I2" s="190"/>
      <c r="J2" s="190"/>
      <c r="K2" s="190"/>
    </row>
    <row r="3" spans="1:13" x14ac:dyDescent="0.25">
      <c r="B3" s="190"/>
      <c r="C3" s="190"/>
      <c r="D3" s="190"/>
      <c r="E3" s="190"/>
      <c r="F3" s="190"/>
      <c r="G3" s="190"/>
      <c r="H3" s="190"/>
      <c r="I3" s="190"/>
      <c r="J3" s="190"/>
      <c r="K3" s="190"/>
    </row>
    <row r="4" spans="1:13" ht="57" x14ac:dyDescent="0.25">
      <c r="A4" s="1"/>
      <c r="B4" s="2"/>
      <c r="C4" s="2"/>
      <c r="D4" s="2"/>
      <c r="E4" s="2"/>
      <c r="F4" s="2"/>
      <c r="G4" s="2"/>
    </row>
    <row r="5" spans="1:13" x14ac:dyDescent="0.25">
      <c r="A5" s="183" t="s">
        <v>0</v>
      </c>
      <c r="B5" s="183"/>
      <c r="C5" s="183"/>
      <c r="D5" s="164"/>
      <c r="E5" s="1"/>
      <c r="F5" s="1"/>
    </row>
    <row r="6" spans="1:13" x14ac:dyDescent="0.25">
      <c r="A6" s="1"/>
      <c r="B6" s="1"/>
      <c r="C6" s="1"/>
      <c r="D6" s="1"/>
      <c r="E6" s="1"/>
      <c r="F6" s="1"/>
      <c r="G6" s="1"/>
    </row>
    <row r="7" spans="1:13" x14ac:dyDescent="0.25">
      <c r="A7" s="183" t="s">
        <v>1</v>
      </c>
      <c r="B7" s="183"/>
      <c r="C7" s="4"/>
      <c r="D7" s="1"/>
      <c r="E7" s="183" t="s">
        <v>19</v>
      </c>
      <c r="F7" s="183"/>
      <c r="G7" s="4"/>
      <c r="H7" s="157"/>
      <c r="M7" s="5"/>
    </row>
    <row r="8" spans="1:13" x14ac:dyDescent="0.25">
      <c r="A8" s="183" t="s">
        <v>2</v>
      </c>
      <c r="B8" s="183"/>
      <c r="C8" s="6"/>
      <c r="D8" s="1"/>
      <c r="E8" s="183" t="s">
        <v>20</v>
      </c>
      <c r="F8" s="183"/>
      <c r="G8" s="6"/>
      <c r="M8" s="5"/>
    </row>
    <row r="9" spans="1:13" x14ac:dyDescent="0.25">
      <c r="A9" s="1"/>
      <c r="B9" s="1"/>
      <c r="C9" s="1"/>
      <c r="D9" s="1"/>
      <c r="E9" s="1"/>
      <c r="F9" s="1"/>
      <c r="G9" s="1"/>
      <c r="M9" s="5"/>
    </row>
    <row r="10" spans="1:13" x14ac:dyDescent="0.25">
      <c r="A10" s="179" t="s">
        <v>3</v>
      </c>
      <c r="B10" s="180"/>
      <c r="C10" s="7"/>
      <c r="D10" s="1"/>
      <c r="E10" s="179" t="s">
        <v>21</v>
      </c>
      <c r="F10" s="180"/>
      <c r="G10" s="8"/>
    </row>
    <row r="11" spans="1:13" x14ac:dyDescent="0.25">
      <c r="A11" s="179" t="s">
        <v>4</v>
      </c>
      <c r="B11" s="180"/>
      <c r="C11" s="8"/>
      <c r="D11" s="1"/>
      <c r="E11" s="183" t="s">
        <v>22</v>
      </c>
      <c r="F11" s="183"/>
      <c r="G11" s="161">
        <v>15</v>
      </c>
    </row>
    <row r="12" spans="1:13" x14ac:dyDescent="0.25">
      <c r="A12" s="1"/>
      <c r="B12" s="1"/>
      <c r="C12" s="1"/>
      <c r="D12" s="1"/>
      <c r="E12" s="183" t="s">
        <v>23</v>
      </c>
      <c r="F12" s="183"/>
      <c r="G12" s="10"/>
    </row>
    <row r="13" spans="1:13" x14ac:dyDescent="0.25">
      <c r="A13" s="1"/>
      <c r="B13" s="1"/>
      <c r="C13" s="1"/>
      <c r="D13" s="1"/>
      <c r="E13" s="1"/>
      <c r="F13" s="1"/>
      <c r="G13" s="1"/>
    </row>
    <row r="14" spans="1:13" x14ac:dyDescent="0.25">
      <c r="A14" s="179" t="s">
        <v>5</v>
      </c>
      <c r="B14" s="180"/>
      <c r="C14" s="4"/>
      <c r="D14" s="1"/>
      <c r="E14" s="1"/>
      <c r="F14" s="1"/>
      <c r="G14" s="1"/>
    </row>
    <row r="15" spans="1:13" x14ac:dyDescent="0.25">
      <c r="A15" s="179" t="s">
        <v>6</v>
      </c>
      <c r="B15" s="180"/>
      <c r="C15" s="10"/>
      <c r="D15" s="1"/>
      <c r="E15" s="1"/>
      <c r="F15" s="1"/>
      <c r="G15" s="1"/>
    </row>
    <row r="16" spans="1:13" x14ac:dyDescent="0.25">
      <c r="A16" s="1"/>
      <c r="B16" s="1"/>
      <c r="C16" s="1"/>
      <c r="D16" s="5" t="s">
        <v>14</v>
      </c>
      <c r="E16" s="1"/>
      <c r="F16" s="1"/>
      <c r="G16" s="1"/>
    </row>
    <row r="17" spans="1:9" x14ac:dyDescent="0.25">
      <c r="A17" s="1"/>
      <c r="B17" s="1"/>
      <c r="C17" s="1"/>
      <c r="D17" s="5" t="s">
        <v>232</v>
      </c>
      <c r="E17" s="1"/>
      <c r="F17" s="1"/>
      <c r="G17" s="1"/>
      <c r="H17" s="1"/>
    </row>
    <row r="18" spans="1:9" x14ac:dyDescent="0.25">
      <c r="A18" s="1"/>
      <c r="B18" s="1"/>
      <c r="C18" s="1"/>
      <c r="D18" s="5" t="s">
        <v>233</v>
      </c>
      <c r="E18" s="1"/>
      <c r="F18" s="1"/>
      <c r="G18" s="1"/>
      <c r="H18" s="1"/>
    </row>
    <row r="19" spans="1:9" x14ac:dyDescent="0.25">
      <c r="A19" s="1"/>
      <c r="B19" s="1"/>
      <c r="C19" s="1"/>
      <c r="D19" s="1"/>
      <c r="E19" s="1"/>
    </row>
    <row r="20" spans="1:9" x14ac:dyDescent="0.25">
      <c r="A20" s="3" t="s">
        <v>8</v>
      </c>
      <c r="B20" s="11"/>
      <c r="C20" s="1"/>
      <c r="D20" s="1"/>
      <c r="E20" s="1"/>
      <c r="F20" s="1"/>
      <c r="G20" s="1"/>
    </row>
    <row r="21" spans="1:9" ht="15.75" thickBot="1" x14ac:dyDescent="0.3">
      <c r="A21" s="1"/>
      <c r="B21" s="1"/>
      <c r="C21" s="1"/>
      <c r="D21" s="1"/>
      <c r="E21" s="1"/>
      <c r="F21" s="1"/>
      <c r="G21" s="1"/>
    </row>
    <row r="22" spans="1:9" ht="45.75" thickBot="1" x14ac:dyDescent="0.3">
      <c r="A22" s="12" t="s">
        <v>9</v>
      </c>
      <c r="B22" s="13" t="s">
        <v>12</v>
      </c>
      <c r="C22" s="13" t="s">
        <v>15</v>
      </c>
      <c r="D22" s="25" t="s">
        <v>51</v>
      </c>
      <c r="E22" s="25" t="s">
        <v>52</v>
      </c>
      <c r="F22" s="25" t="s">
        <v>53</v>
      </c>
      <c r="G22" s="26" t="s">
        <v>54</v>
      </c>
      <c r="H22" s="26" t="s">
        <v>55</v>
      </c>
      <c r="I22" s="26" t="s">
        <v>56</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2" spans="1:9" x14ac:dyDescent="0.25">
      <c r="A32" s="19">
        <v>10</v>
      </c>
      <c r="B32" s="11"/>
      <c r="C32" s="11"/>
      <c r="D32" s="18"/>
      <c r="E32" s="18"/>
      <c r="F32" s="18"/>
      <c r="G32" s="18"/>
      <c r="H32" s="18"/>
      <c r="I32" s="18"/>
    </row>
    <row r="33" spans="1:15" x14ac:dyDescent="0.25">
      <c r="A33" s="15">
        <v>11</v>
      </c>
      <c r="B33" s="11"/>
      <c r="C33" s="11"/>
      <c r="D33" s="18"/>
      <c r="E33" s="18"/>
      <c r="F33" s="18"/>
      <c r="G33" s="18"/>
      <c r="H33" s="18"/>
      <c r="I33" s="18"/>
    </row>
    <row r="34" spans="1:15" x14ac:dyDescent="0.25">
      <c r="A34" s="19">
        <v>12</v>
      </c>
      <c r="B34" s="11"/>
      <c r="C34" s="11"/>
      <c r="D34" s="18"/>
      <c r="E34" s="18"/>
      <c r="F34" s="18"/>
      <c r="G34" s="18"/>
      <c r="H34" s="18"/>
      <c r="I34" s="18"/>
    </row>
    <row r="35" spans="1:15" x14ac:dyDescent="0.25">
      <c r="A35" s="19">
        <v>13</v>
      </c>
      <c r="B35" s="11"/>
      <c r="C35" s="11"/>
      <c r="D35" s="18"/>
      <c r="E35" s="18"/>
      <c r="F35" s="18"/>
      <c r="G35" s="18"/>
      <c r="H35" s="18"/>
      <c r="I35" s="18"/>
    </row>
    <row r="40" spans="1:15" ht="26.25" x14ac:dyDescent="0.25">
      <c r="A40" s="1"/>
      <c r="B40" s="182" t="s">
        <v>13</v>
      </c>
      <c r="C40" s="182"/>
      <c r="D40" s="1"/>
      <c r="E40" s="1"/>
      <c r="F40" s="1"/>
      <c r="G40" s="1"/>
      <c r="H40" s="1"/>
      <c r="I40" s="1"/>
      <c r="J40" s="182" t="s">
        <v>31</v>
      </c>
      <c r="K40" s="182"/>
      <c r="L40" s="1"/>
      <c r="M40" s="1"/>
    </row>
    <row r="41" spans="1:15" x14ac:dyDescent="0.25">
      <c r="A41" s="1"/>
      <c r="B41" s="1"/>
      <c r="C41" s="1"/>
      <c r="D41" s="1"/>
      <c r="E41" s="1"/>
      <c r="F41" s="1"/>
      <c r="G41" s="1"/>
      <c r="H41" s="1"/>
      <c r="I41" s="1"/>
      <c r="J41" s="1"/>
      <c r="K41" s="1"/>
      <c r="L41" s="1"/>
      <c r="M41" s="1"/>
      <c r="N41" s="1"/>
      <c r="O41" s="1"/>
    </row>
    <row r="42" spans="1:15" x14ac:dyDescent="0.25">
      <c r="A42" s="179" t="s">
        <v>10</v>
      </c>
      <c r="B42" s="228"/>
      <c r="C42" s="228"/>
      <c r="D42" s="228"/>
      <c r="E42" s="228"/>
      <c r="F42" s="180"/>
      <c r="G42" s="1"/>
      <c r="H42" s="1"/>
      <c r="I42" s="183" t="s">
        <v>27</v>
      </c>
      <c r="J42" s="183"/>
      <c r="K42" s="183"/>
      <c r="L42" s="183"/>
      <c r="M42" s="183"/>
    </row>
    <row r="43" spans="1:15" ht="30" x14ac:dyDescent="0.25">
      <c r="A43" s="183"/>
      <c r="B43" s="183"/>
      <c r="C43" s="3" t="s">
        <v>16</v>
      </c>
      <c r="D43" s="20" t="s">
        <v>18</v>
      </c>
      <c r="E43" s="20" t="s">
        <v>25</v>
      </c>
      <c r="F43" s="20" t="s">
        <v>26</v>
      </c>
      <c r="G43" s="1"/>
      <c r="H43" s="1"/>
      <c r="I43" s="186"/>
      <c r="J43" s="186"/>
      <c r="K43" s="3" t="s">
        <v>33</v>
      </c>
      <c r="L43" s="3" t="s">
        <v>35</v>
      </c>
      <c r="M43" s="3" t="s">
        <v>36</v>
      </c>
    </row>
    <row r="44" spans="1:15" x14ac:dyDescent="0.25">
      <c r="A44" s="179" t="str">
        <f>CONCATENATE("Sonde ", B23)</f>
        <v xml:space="preserve">Sonde </v>
      </c>
      <c r="B44" s="180"/>
      <c r="C44" s="10"/>
      <c r="D44" s="10"/>
      <c r="E44" s="10"/>
      <c r="F44" s="4"/>
      <c r="G44" s="1"/>
      <c r="H44" s="1"/>
      <c r="I44" s="187" t="s">
        <v>28</v>
      </c>
      <c r="J44" s="188"/>
      <c r="K44" s="10"/>
      <c r="L44" s="4"/>
      <c r="M44" s="4"/>
    </row>
    <row r="45" spans="1:15" x14ac:dyDescent="0.25">
      <c r="A45" s="179" t="str">
        <f t="shared" ref="A45:A56" si="0">CONCATENATE("Sonde ", B24)</f>
        <v xml:space="preserve">Sonde </v>
      </c>
      <c r="B45" s="180"/>
      <c r="C45" s="10"/>
      <c r="D45" s="10"/>
      <c r="E45" s="10"/>
      <c r="F45" s="4"/>
      <c r="G45" s="1"/>
      <c r="H45" s="1"/>
      <c r="I45" s="1"/>
      <c r="J45" s="1"/>
      <c r="K45" s="1"/>
      <c r="L45" s="1"/>
      <c r="M45" s="1"/>
    </row>
    <row r="46" spans="1:15" x14ac:dyDescent="0.25">
      <c r="A46" s="179" t="str">
        <f t="shared" si="0"/>
        <v xml:space="preserve">Sonde </v>
      </c>
      <c r="B46" s="180"/>
      <c r="C46" s="10"/>
      <c r="D46" s="10"/>
      <c r="E46" s="10"/>
      <c r="F46" s="4"/>
      <c r="G46" s="1"/>
      <c r="H46" s="1"/>
      <c r="I46" s="1"/>
      <c r="J46" s="1"/>
      <c r="K46" s="1"/>
      <c r="L46" s="1"/>
      <c r="M46" s="1"/>
    </row>
    <row r="47" spans="1:15" x14ac:dyDescent="0.25">
      <c r="A47" s="179" t="str">
        <f t="shared" si="0"/>
        <v xml:space="preserve">Sonde </v>
      </c>
      <c r="B47" s="180"/>
      <c r="C47" s="10"/>
      <c r="D47" s="10"/>
      <c r="E47" s="10"/>
      <c r="F47" s="4"/>
      <c r="G47" s="1"/>
      <c r="H47" s="1"/>
      <c r="I47" s="1"/>
      <c r="J47" s="1"/>
      <c r="K47" s="1"/>
      <c r="L47" s="1"/>
      <c r="M47" s="1"/>
    </row>
    <row r="48" spans="1:15" x14ac:dyDescent="0.25">
      <c r="A48" s="179" t="str">
        <f t="shared" si="0"/>
        <v xml:space="preserve">Sonde </v>
      </c>
      <c r="B48" s="180"/>
      <c r="C48" s="10"/>
      <c r="D48" s="10"/>
      <c r="E48" s="10"/>
      <c r="F48" s="4"/>
      <c r="G48" s="1"/>
      <c r="H48" s="1"/>
      <c r="I48" s="1"/>
      <c r="J48" s="1"/>
    </row>
    <row r="49" spans="1:15" x14ac:dyDescent="0.25">
      <c r="A49" s="179" t="str">
        <f t="shared" si="0"/>
        <v xml:space="preserve">Sonde </v>
      </c>
      <c r="B49" s="180"/>
      <c r="C49" s="10"/>
      <c r="D49" s="10"/>
      <c r="E49" s="10"/>
      <c r="F49" s="4"/>
      <c r="G49" s="1"/>
      <c r="H49" s="1"/>
      <c r="I49" s="1"/>
      <c r="J49" s="1"/>
    </row>
    <row r="50" spans="1:15" x14ac:dyDescent="0.25">
      <c r="A50" s="179" t="str">
        <f t="shared" si="0"/>
        <v xml:space="preserve">Sonde </v>
      </c>
      <c r="B50" s="180"/>
      <c r="C50" s="10"/>
      <c r="D50" s="10"/>
      <c r="E50" s="10"/>
      <c r="F50" s="4"/>
      <c r="G50" s="1"/>
      <c r="H50" s="1"/>
      <c r="I50" s="1"/>
      <c r="J50" s="1"/>
    </row>
    <row r="51" spans="1:15" x14ac:dyDescent="0.25">
      <c r="A51" s="179" t="str">
        <f t="shared" si="0"/>
        <v xml:space="preserve">Sonde </v>
      </c>
      <c r="B51" s="180"/>
      <c r="C51" s="10"/>
      <c r="D51" s="10"/>
      <c r="E51" s="10"/>
      <c r="F51" s="4"/>
      <c r="G51" s="1"/>
      <c r="H51" s="1"/>
      <c r="I51" s="1"/>
      <c r="J51" s="1"/>
    </row>
    <row r="52" spans="1:15" x14ac:dyDescent="0.25">
      <c r="A52" s="179" t="str">
        <f t="shared" si="0"/>
        <v xml:space="preserve">Sonde </v>
      </c>
      <c r="B52" s="180"/>
      <c r="C52" s="10"/>
      <c r="D52" s="10"/>
      <c r="E52" s="10"/>
      <c r="F52" s="4"/>
      <c r="G52" s="1"/>
      <c r="H52" s="1"/>
      <c r="I52" s="1"/>
      <c r="J52" s="1"/>
    </row>
    <row r="53" spans="1:15" x14ac:dyDescent="0.25">
      <c r="A53" s="179" t="str">
        <f t="shared" si="0"/>
        <v xml:space="preserve">Sonde </v>
      </c>
      <c r="B53" s="180"/>
      <c r="C53" s="10"/>
      <c r="D53" s="10"/>
      <c r="E53" s="10"/>
      <c r="F53" s="4"/>
      <c r="G53" s="1"/>
      <c r="H53" s="1"/>
      <c r="I53" s="1"/>
      <c r="J53" s="1"/>
    </row>
    <row r="54" spans="1:15" x14ac:dyDescent="0.25">
      <c r="A54" s="179" t="str">
        <f t="shared" si="0"/>
        <v xml:space="preserve">Sonde </v>
      </c>
      <c r="B54" s="180"/>
      <c r="C54" s="10"/>
      <c r="D54" s="10"/>
      <c r="E54" s="10"/>
      <c r="F54" s="4"/>
      <c r="G54" s="1"/>
      <c r="H54" s="1"/>
      <c r="I54" s="1"/>
      <c r="J54" s="1"/>
      <c r="K54" s="1"/>
      <c r="L54" s="1"/>
      <c r="M54" s="1"/>
    </row>
    <row r="55" spans="1:15" x14ac:dyDescent="0.25">
      <c r="A55" s="179" t="str">
        <f t="shared" si="0"/>
        <v xml:space="preserve">Sonde </v>
      </c>
      <c r="B55" s="180"/>
      <c r="C55" s="10"/>
      <c r="D55" s="10"/>
      <c r="E55" s="10"/>
      <c r="F55" s="4"/>
      <c r="G55" s="1"/>
      <c r="H55" s="1"/>
      <c r="I55" s="1"/>
      <c r="J55" s="1"/>
      <c r="K55" s="1"/>
      <c r="L55" s="1"/>
      <c r="M55" s="1"/>
    </row>
    <row r="56" spans="1:15" x14ac:dyDescent="0.25">
      <c r="A56" s="179" t="str">
        <f t="shared" si="0"/>
        <v xml:space="preserve">Sonde </v>
      </c>
      <c r="B56" s="180"/>
      <c r="C56" s="10"/>
      <c r="D56" s="10"/>
      <c r="E56" s="10"/>
      <c r="F56" s="4"/>
      <c r="G56" s="1"/>
      <c r="H56" s="1"/>
      <c r="I56" s="1"/>
      <c r="J56" s="1"/>
      <c r="K56" s="1"/>
      <c r="L56" s="1"/>
      <c r="M56" s="1"/>
      <c r="N56" s="1"/>
      <c r="O56" s="1"/>
    </row>
  </sheetData>
  <sheetProtection algorithmName="SHA-512" hashValue="kCv/fskPc4qPzzkz35tOLUhdjLGs1Ul1wYSyPiyRO9/FPZ1nEcKf1+DkT6kU5+glZ8LUtFWaKJE5KubkL7w3tg==" saltValue="e+k9p3TUJGuC3aVy8DZJSw==" spinCount="100000" sheet="1" objects="1" scenarios="1" autoFilter="0"/>
  <protectedRanges>
    <protectedRange sqref="C10" name="Donnees controleur"/>
  </protectedRanges>
  <mergeCells count="33">
    <mergeCell ref="A14:B14"/>
    <mergeCell ref="B2:K3"/>
    <mergeCell ref="A5:C5"/>
    <mergeCell ref="A7:B7"/>
    <mergeCell ref="E7:F7"/>
    <mergeCell ref="A8:B8"/>
    <mergeCell ref="E8:F8"/>
    <mergeCell ref="A10:B10"/>
    <mergeCell ref="E10:F10"/>
    <mergeCell ref="A11:B11"/>
    <mergeCell ref="E11:F11"/>
    <mergeCell ref="E12:F12"/>
    <mergeCell ref="A48:B48"/>
    <mergeCell ref="A15:B15"/>
    <mergeCell ref="B40:C40"/>
    <mergeCell ref="J40:K40"/>
    <mergeCell ref="A42:F42"/>
    <mergeCell ref="I42:M42"/>
    <mergeCell ref="A43:B43"/>
    <mergeCell ref="I43:J43"/>
    <mergeCell ref="A44:B44"/>
    <mergeCell ref="I44:J44"/>
    <mergeCell ref="A45:B45"/>
    <mergeCell ref="A46:B46"/>
    <mergeCell ref="A47:B47"/>
    <mergeCell ref="A55:B55"/>
    <mergeCell ref="A56:B56"/>
    <mergeCell ref="A49:B49"/>
    <mergeCell ref="A50:B50"/>
    <mergeCell ref="A51:B51"/>
    <mergeCell ref="A52:B52"/>
    <mergeCell ref="A53:B53"/>
    <mergeCell ref="A54:B54"/>
  </mergeCells>
  <conditionalFormatting sqref="A1:N4 A6:N58 A5:M5">
    <cfRule type="expression" dxfId="31" priority="1">
      <formula>AND(NOT(CELL("protege", A1)), A1="")</formula>
    </cfRule>
  </conditionalFormatting>
  <dataValidations count="2">
    <dataValidation type="list" allowBlank="1" showInputMessage="1" showErrorMessage="1" sqref="C15" xr:uid="{BF2A2463-3FA1-41DE-BA1C-423DBF5686F9}">
      <formula1>$D$16:$D$18</formula1>
    </dataValidation>
    <dataValidation type="list" allowBlank="1" showInputMessage="1" showErrorMessage="1" sqref="C10" xr:uid="{8938F4D2-BB0F-4E12-A34E-6D00BA089B9D}">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lisation_TUS_OMIA">
                <anchor moveWithCells="1" sizeWithCells="1">
                  <from>
                    <xdr:col>7</xdr:col>
                    <xdr:colOff>666750</xdr:colOff>
                    <xdr:row>5</xdr:row>
                    <xdr:rowOff>38100</xdr:rowOff>
                  </from>
                  <to>
                    <xdr:col>10</xdr:col>
                    <xdr:colOff>781050</xdr:colOff>
                    <xdr:row>12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1"/>
  <sheetViews>
    <sheetView workbookViewId="0">
      <selection activeCell="G15" sqref="G15"/>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37</v>
      </c>
      <c r="B1" t="s">
        <v>38</v>
      </c>
      <c r="C1" t="s">
        <v>39</v>
      </c>
      <c r="D1" t="s">
        <v>40</v>
      </c>
      <c r="E1" t="s">
        <v>41</v>
      </c>
      <c r="F1" t="s">
        <v>42</v>
      </c>
      <c r="G1" t="s">
        <v>43</v>
      </c>
      <c r="H1" t="s">
        <v>44</v>
      </c>
      <c r="I1" t="s">
        <v>45</v>
      </c>
      <c r="J1" t="s">
        <v>46</v>
      </c>
      <c r="K1" t="s">
        <v>47</v>
      </c>
      <c r="L1" t="s">
        <v>48</v>
      </c>
      <c r="M1" t="s">
        <v>49</v>
      </c>
      <c r="N1" t="s">
        <v>234</v>
      </c>
    </row>
  </sheetData>
  <sheetProtection algorithmName="SHA-512" hashValue="Z5W5Ba2wkhcprBqe6POEMipYFfzxozFMpzrBD0WD56lmDnSEtYmXn9T+UzfVGoA9NA2612hNf96ey0uvgepoKQ==" saltValue="1AzU5vwrYWJqa+dFaKO/gw==" spinCount="100000" sheet="1" objects="1" scenarios="1" autoFilter="0"/>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1"/>
  <sheetViews>
    <sheetView workbookViewId="0">
      <selection activeCell="G15" sqref="G15"/>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37</v>
      </c>
      <c r="B1" t="s">
        <v>38</v>
      </c>
      <c r="C1" t="s">
        <v>39</v>
      </c>
      <c r="D1" t="s">
        <v>40</v>
      </c>
      <c r="E1" t="s">
        <v>41</v>
      </c>
      <c r="F1" t="s">
        <v>42</v>
      </c>
      <c r="G1" t="s">
        <v>43</v>
      </c>
      <c r="H1" t="s">
        <v>44</v>
      </c>
      <c r="I1" t="s">
        <v>45</v>
      </c>
      <c r="J1" t="s">
        <v>46</v>
      </c>
      <c r="K1" t="s">
        <v>47</v>
      </c>
      <c r="L1" t="s">
        <v>48</v>
      </c>
      <c r="M1" t="s">
        <v>49</v>
      </c>
      <c r="N1" t="s">
        <v>234</v>
      </c>
    </row>
  </sheetData>
  <sheetProtection algorithmName="SHA-512" hashValue="RUMV5k/vlqxqbTAKvP2mSS165RQwBYRCwgLZ5kOK3XgO2m//109anJyTvRm0SpKTCNcyjcB7jeYMD9wNJMTxrQ==" saltValue="r3sqV0coAd3xHC4NYPDryQ==" spinCount="100000" sheet="1" objects="1" scenarios="1"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1"/>
  <sheetViews>
    <sheetView workbookViewId="0">
      <selection activeCell="G15" sqref="G15"/>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37</v>
      </c>
      <c r="B1" t="s">
        <v>38</v>
      </c>
      <c r="C1" t="s">
        <v>39</v>
      </c>
      <c r="D1" t="s">
        <v>40</v>
      </c>
      <c r="E1" t="s">
        <v>41</v>
      </c>
      <c r="F1" t="s">
        <v>42</v>
      </c>
      <c r="G1" t="s">
        <v>43</v>
      </c>
      <c r="H1" t="s">
        <v>44</v>
      </c>
      <c r="I1" t="s">
        <v>45</v>
      </c>
      <c r="J1" t="s">
        <v>46</v>
      </c>
      <c r="K1" t="s">
        <v>47</v>
      </c>
      <c r="L1" t="s">
        <v>48</v>
      </c>
      <c r="M1" t="s">
        <v>49</v>
      </c>
      <c r="N1" t="s">
        <v>234</v>
      </c>
    </row>
  </sheetData>
  <sheetProtection algorithmName="SHA-512" hashValue="Ab0Cd1BC2EuEUqJB17PEBDMa9+uKWQK8ynDxw82x0uI3VIqpt8pCUylXtI7lam9xsuNkLZwU6jhJULU59IA3qg==" saltValue="dGqL7d0EoAqBuoCHCnjqPg==" spinCount="100000" sheet="1" objects="1" scenarios="1"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5"/>
  <sheetViews>
    <sheetView topLeftCell="A30" workbookViewId="0">
      <selection activeCell="J45" sqref="J45"/>
    </sheetView>
  </sheetViews>
  <sheetFormatPr baseColWidth="10" defaultRowHeight="15" x14ac:dyDescent="0.25"/>
  <cols>
    <col min="2" max="2" width="15" bestFit="1" customWidth="1"/>
    <col min="3"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191" t="str">
        <f>"60°C"</f>
        <v>60°C</v>
      </c>
      <c r="B1" s="191"/>
      <c r="C1" s="191"/>
      <c r="D1" s="191"/>
      <c r="E1" s="191"/>
      <c r="F1" s="191"/>
      <c r="G1" s="191"/>
      <c r="H1" s="191"/>
      <c r="I1" s="191"/>
      <c r="J1" s="191"/>
      <c r="K1" s="191"/>
      <c r="L1" s="191"/>
      <c r="M1" s="191"/>
      <c r="N1" s="191"/>
      <c r="O1" s="191"/>
      <c r="P1" s="191"/>
      <c r="Q1" s="191"/>
      <c r="R1" s="191"/>
      <c r="S1" s="191"/>
    </row>
    <row r="2" spans="1:19" s="27" customFormat="1" x14ac:dyDescent="0.25">
      <c r="A2" s="191"/>
      <c r="B2" s="191"/>
      <c r="C2" s="191"/>
      <c r="D2" s="191"/>
      <c r="E2" s="191"/>
      <c r="F2" s="191"/>
      <c r="G2" s="191"/>
      <c r="H2" s="191"/>
      <c r="I2" s="191"/>
      <c r="J2" s="191"/>
      <c r="K2" s="191"/>
      <c r="L2" s="191"/>
      <c r="M2" s="191"/>
      <c r="N2" s="191"/>
      <c r="O2" s="191"/>
      <c r="P2" s="191"/>
      <c r="Q2" s="191"/>
      <c r="R2" s="191"/>
      <c r="S2" s="191"/>
    </row>
    <row r="3" spans="1:19" s="27" customFormat="1" x14ac:dyDescent="0.25">
      <c r="A3" s="191"/>
      <c r="B3" s="191"/>
      <c r="C3" s="191"/>
      <c r="D3" s="191"/>
      <c r="E3" s="191"/>
      <c r="F3" s="191"/>
      <c r="G3" s="191"/>
      <c r="H3" s="191"/>
      <c r="I3" s="191"/>
      <c r="J3" s="191"/>
      <c r="K3" s="191"/>
      <c r="L3" s="191"/>
      <c r="M3" s="191"/>
      <c r="N3" s="191"/>
      <c r="O3" s="191"/>
      <c r="P3" s="191"/>
      <c r="Q3" s="191"/>
      <c r="R3" s="191"/>
      <c r="S3" s="191"/>
    </row>
    <row r="4" spans="1:19" s="27" customFormat="1" x14ac:dyDescent="0.25">
      <c r="P4" s="33"/>
    </row>
    <row r="5" spans="1:19" s="27" customFormat="1" x14ac:dyDescent="0.25">
      <c r="B5" s="34" t="s">
        <v>24</v>
      </c>
      <c r="C5" s="35" t="e">
        <f>_xlfn.XLOOKUP(INT(SUBSTITUTE(C47,"Connecteur ","")),Mesures_Omia!C23:C35,Mesures_Omia!G23:G35)</f>
        <v>#N/A</v>
      </c>
      <c r="D5" s="35" t="e">
        <f>_xlfn.XLOOKUP(INT(SUBSTITUTE(D47,"Connecteur ","")),Mesures_Omia!C23:C35,Mesures_Omia!G23:G35)</f>
        <v>#N/A</v>
      </c>
      <c r="E5" s="35" t="e">
        <f>_xlfn.XLOOKUP(INT(SUBSTITUTE(E47,"Connecteur ","")),Mesures_Omia!C23:C35,Mesures_Omia!G23:G35)</f>
        <v>#N/A</v>
      </c>
      <c r="F5" s="35" t="e">
        <f>_xlfn.XLOOKUP(INT(SUBSTITUTE(F47,"Connecteur ","")),Mesures_Omia!C23:C35,Mesures_Omia!G23:G35)</f>
        <v>#N/A</v>
      </c>
      <c r="G5" s="35" t="e">
        <f>_xlfn.XLOOKUP(INT(SUBSTITUTE(G47,"Connecteur ","")),Mesures_Omia!C23:C35,Mesures_Omia!G23:G35)</f>
        <v>#N/A</v>
      </c>
      <c r="H5" s="35" t="e">
        <f>_xlfn.XLOOKUP(INT(SUBSTITUTE(H47,"Connecteur ","")),Mesures_Omia!C23:C35,Mesures_Omia!G23:G35)</f>
        <v>#N/A</v>
      </c>
      <c r="I5" s="35" t="e">
        <f>_xlfn.XLOOKUP(INT(SUBSTITUTE(I47,"Connecteur ","")),Mesures_Omia!C23:C35,Mesures_Omia!G23:G35)</f>
        <v>#N/A</v>
      </c>
      <c r="J5" s="35" t="e">
        <f>_xlfn.XLOOKUP(INT(SUBSTITUTE(J47,"Connecteur ","")),Mesures_Omia!C23:C35,Mesures_Omia!G23:G35)</f>
        <v>#N/A</v>
      </c>
      <c r="K5" s="35" t="e">
        <f>_xlfn.XLOOKUP(INT(SUBSTITUTE(K47,"Connecteur ","")),Mesures_Omia!C23:C35,Mesures_Omia!G23:G35)</f>
        <v>#N/A</v>
      </c>
      <c r="L5" s="35" t="e">
        <f>_xlfn.XLOOKUP(INT(SUBSTITUTE(L47,"Connecteur ","")),Mesures_Omia!C23:C35,Mesures_Omia!G23:G35)</f>
        <v>#N/A</v>
      </c>
      <c r="M5" s="35" t="e">
        <f>_xlfn.XLOOKUP(INT(SUBSTITUTE(M47,"Connecteur ","")),Mesures_Omia!C23:C35,Mesures_Omia!G23:G35)</f>
        <v>#N/A</v>
      </c>
      <c r="N5" s="35" t="e">
        <f>_xlfn.XLOOKUP(INT(SUBSTITUTE(N47,"Connecteur ","")),Mesures_Omia!C23:C35,Mesures_Omia!G23:G35)</f>
        <v>#N/A</v>
      </c>
      <c r="O5" s="35" t="e">
        <f>_xlfn.XLOOKUP(INT(SUBSTITUTE(O47,"Connecteur ","")),Mesures_Omia!C23:C35,Mesures_Omia!G23:G35)</f>
        <v>#N/A</v>
      </c>
      <c r="P5" s="33"/>
    </row>
    <row r="6" spans="1:19" s="27" customFormat="1" x14ac:dyDescent="0.25">
      <c r="B6" s="34" t="s">
        <v>94</v>
      </c>
      <c r="C6" s="35" t="e">
        <f>_xlfn.XLOOKUP(INT(SUBSTITUTE(C47,"Connecteur ","")),Mesures_Omia!C23:C35,Mesures_Omia!D23:D35)</f>
        <v>#N/A</v>
      </c>
      <c r="D6" s="35" t="e">
        <f>_xlfn.XLOOKUP(INT(SUBSTITUTE(D47,"Connecteur ","")),Mesures_Omia!C23:C35,Mesures_Omia!D23:D35)</f>
        <v>#N/A</v>
      </c>
      <c r="E6" s="35" t="e">
        <f>_xlfn.XLOOKUP(INT(SUBSTITUTE(E47,"Connecteur ","")),Mesures_Omia!C23:C35,Mesures_Omia!D23:D35)</f>
        <v>#N/A</v>
      </c>
      <c r="F6" s="35" t="e">
        <f>_xlfn.XLOOKUP(INT(SUBSTITUTE(F47,"Connecteur ","")),Mesures_Omia!C23:C35,Mesures_Omia!D23:D35)</f>
        <v>#N/A</v>
      </c>
      <c r="G6" s="35" t="e">
        <f>_xlfn.XLOOKUP(INT(SUBSTITUTE(G47,"Connecteur ","")),Mesures_Omia!C23:C35,Mesures_Omia!D23:D35)</f>
        <v>#N/A</v>
      </c>
      <c r="H6" s="35" t="e">
        <f>_xlfn.XLOOKUP(INT(SUBSTITUTE(H47,"Connecteur ","")),Mesures_Omia!C23:C35,Mesures_Omia!D23:D35)</f>
        <v>#N/A</v>
      </c>
      <c r="I6" s="35" t="e">
        <f>_xlfn.XLOOKUP(INT(SUBSTITUTE(I47,"Connecteur ","")),Mesures_Omia!C23:C35,Mesures_Omia!D23:D35)</f>
        <v>#N/A</v>
      </c>
      <c r="J6" s="35" t="e">
        <f>_xlfn.XLOOKUP(INT(SUBSTITUTE(J47,"Connecteur ","")),Mesures_Omia!C23:C35,Mesures_Omia!D23:D35)</f>
        <v>#N/A</v>
      </c>
      <c r="K6" s="35" t="e">
        <f>_xlfn.XLOOKUP(INT(SUBSTITUTE(K47,"Connecteur ","")),Mesures_Omia!C23:C35,Mesures_Omia!D23:D35)</f>
        <v>#N/A</v>
      </c>
      <c r="L6" s="35" t="e">
        <f>_xlfn.XLOOKUP(INT(SUBSTITUTE(L47,"Connecteur ","")),Mesures_Omia!C23:C35,Mesures_Omia!D23:D35)</f>
        <v>#N/A</v>
      </c>
      <c r="M6" s="35" t="e">
        <f>_xlfn.XLOOKUP(INT(SUBSTITUTE(M47,"Connecteur ","")),Mesures_Omia!C23:C35,Mesures_Omia!D23:D35)</f>
        <v>#N/A</v>
      </c>
      <c r="N6" s="35" t="e">
        <f>_xlfn.XLOOKUP(INT(SUBSTITUTE(N47,"Connecteur ","")),Mesures_Omia!C23:C35,Mesures_Omia!D23:D35)</f>
        <v>#N/A</v>
      </c>
      <c r="O6" s="35" t="e">
        <f>_xlfn.XLOOKUP(INT(SUBSTITUTE(O47,"Connecteur ","")),Mesures_Omia!C23:C35,Mesures_Omia!D23:D35)</f>
        <v>#N/A</v>
      </c>
      <c r="P6" s="33"/>
    </row>
    <row r="7" spans="1:19" s="27" customFormat="1" x14ac:dyDescent="0.25">
      <c r="P7" s="33"/>
    </row>
    <row r="8" spans="1:19" s="27" customFormat="1" x14ac:dyDescent="0.25">
      <c r="P8" s="33"/>
    </row>
    <row r="9" spans="1:19" s="27" customFormat="1" x14ac:dyDescent="0.25">
      <c r="A9" s="229" t="s">
        <v>95</v>
      </c>
      <c r="B9" s="229"/>
      <c r="C9" s="229"/>
      <c r="D9" s="229"/>
      <c r="E9" s="229"/>
      <c r="F9" s="229"/>
      <c r="G9" s="229"/>
      <c r="H9" s="229"/>
      <c r="I9" s="229"/>
      <c r="J9" s="229"/>
      <c r="K9" s="229"/>
      <c r="L9" s="229"/>
      <c r="M9" s="229"/>
      <c r="N9" s="229"/>
      <c r="P9" s="33"/>
    </row>
    <row r="10" spans="1:19" s="27" customFormat="1" x14ac:dyDescent="0.25">
      <c r="A10" s="33"/>
      <c r="B10" s="34" t="str">
        <f>Donnees_Brutes_60[[#Headers],[Date/Heure]]</f>
        <v>Date/Heure</v>
      </c>
      <c r="C10" s="36" t="str" cm="1">
        <f t="array" ref="C10:O10">Donnees_Brutes_60[[#Headers],[Connecteur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230" t="s">
        <v>96</v>
      </c>
      <c r="B11" s="145" cm="1">
        <f t="array" ref="B11">Donnees_Brutes_60[Date/Heure]</f>
        <v>0</v>
      </c>
      <c r="C11" s="130" t="e" cm="1">
        <f t="array" ref="C11:O11">Donnees_Brutes_60[[Connecteur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x14ac:dyDescent="0.25">
      <c r="A12" s="230"/>
      <c r="B12" s="145"/>
      <c r="C12" s="130"/>
      <c r="D12" s="130"/>
      <c r="E12" s="130"/>
      <c r="F12" s="130"/>
      <c r="G12" s="130"/>
      <c r="H12" s="130"/>
      <c r="I12" s="130"/>
      <c r="J12" s="130"/>
      <c r="K12" s="130"/>
      <c r="L12" s="130"/>
      <c r="M12" s="130"/>
      <c r="N12" s="130"/>
      <c r="O12" s="130"/>
      <c r="P12" s="33"/>
    </row>
    <row r="13" spans="1:19" x14ac:dyDescent="0.25">
      <c r="A13" s="230"/>
      <c r="B13" s="145"/>
      <c r="C13" s="130"/>
      <c r="D13" s="130"/>
      <c r="E13" s="130"/>
      <c r="F13" s="130"/>
      <c r="G13" s="130"/>
      <c r="H13" s="130"/>
      <c r="I13" s="130"/>
      <c r="J13" s="130"/>
      <c r="K13" s="130"/>
      <c r="L13" s="130"/>
      <c r="M13" s="130"/>
      <c r="N13" s="130"/>
      <c r="O13" s="130"/>
    </row>
    <row r="14" spans="1:19" x14ac:dyDescent="0.25">
      <c r="A14" s="230"/>
      <c r="B14" s="145"/>
      <c r="C14" s="130"/>
      <c r="D14" s="130"/>
      <c r="E14" s="130"/>
      <c r="F14" s="130"/>
      <c r="G14" s="130"/>
      <c r="H14" s="130"/>
      <c r="I14" s="130"/>
      <c r="J14" s="130"/>
      <c r="K14" s="130"/>
      <c r="L14" s="130"/>
      <c r="M14" s="130"/>
      <c r="N14" s="130"/>
      <c r="O14" s="130"/>
    </row>
    <row r="15" spans="1:19" x14ac:dyDescent="0.25">
      <c r="A15" s="230"/>
      <c r="B15" s="145"/>
      <c r="C15" s="130"/>
      <c r="D15" s="130"/>
      <c r="E15" s="130"/>
      <c r="F15" s="130"/>
      <c r="G15" s="130"/>
      <c r="H15" s="130"/>
      <c r="I15" s="130"/>
      <c r="J15" s="130"/>
      <c r="K15" s="130"/>
      <c r="L15" s="130"/>
      <c r="M15" s="130"/>
      <c r="N15" s="130"/>
      <c r="O15" s="130"/>
    </row>
    <row r="16" spans="1:19" x14ac:dyDescent="0.25">
      <c r="A16" s="230"/>
      <c r="B16" s="145"/>
      <c r="C16" s="130"/>
      <c r="D16" s="130"/>
      <c r="E16" s="130"/>
      <c r="F16" s="130"/>
      <c r="G16" s="130"/>
      <c r="H16" s="130"/>
      <c r="I16" s="130"/>
      <c r="J16" s="130"/>
      <c r="K16" s="130"/>
      <c r="L16" s="130"/>
      <c r="M16" s="130"/>
      <c r="N16" s="130"/>
      <c r="O16" s="130"/>
    </row>
    <row r="17" spans="1:16" x14ac:dyDescent="0.25">
      <c r="A17" s="230"/>
      <c r="B17" s="145"/>
      <c r="C17" s="130"/>
      <c r="D17" s="130"/>
      <c r="E17" s="130"/>
      <c r="F17" s="130"/>
      <c r="G17" s="130"/>
      <c r="H17" s="130"/>
      <c r="I17" s="130"/>
      <c r="J17" s="130"/>
      <c r="K17" s="130"/>
      <c r="L17" s="130"/>
      <c r="M17" s="130"/>
      <c r="N17" s="130"/>
      <c r="O17" s="130"/>
    </row>
    <row r="18" spans="1:16" x14ac:dyDescent="0.25">
      <c r="A18" s="230"/>
      <c r="B18" s="145"/>
      <c r="C18" s="130"/>
      <c r="D18" s="130"/>
      <c r="E18" s="130"/>
      <c r="F18" s="130"/>
      <c r="G18" s="130"/>
      <c r="H18" s="130"/>
      <c r="I18" s="130"/>
      <c r="J18" s="130"/>
      <c r="K18" s="130"/>
      <c r="L18" s="130"/>
      <c r="M18" s="130"/>
      <c r="N18" s="130"/>
      <c r="O18" s="130"/>
    </row>
    <row r="19" spans="1:16" x14ac:dyDescent="0.25">
      <c r="A19" s="230"/>
      <c r="B19" s="145"/>
      <c r="C19" s="130"/>
      <c r="D19" s="130"/>
      <c r="E19" s="130"/>
      <c r="F19" s="130"/>
      <c r="G19" s="130"/>
      <c r="H19" s="130"/>
      <c r="I19" s="130"/>
      <c r="J19" s="130"/>
      <c r="K19" s="130"/>
      <c r="L19" s="130"/>
      <c r="M19" s="130"/>
      <c r="N19" s="130"/>
      <c r="O19" s="130"/>
    </row>
    <row r="20" spans="1:16" x14ac:dyDescent="0.25">
      <c r="A20" s="230"/>
      <c r="B20" s="145"/>
      <c r="C20" s="130"/>
      <c r="D20" s="130"/>
      <c r="E20" s="130"/>
      <c r="F20" s="130"/>
      <c r="G20" s="130"/>
      <c r="H20" s="130"/>
      <c r="I20" s="130"/>
      <c r="J20" s="130"/>
      <c r="K20" s="130"/>
      <c r="L20" s="130"/>
      <c r="M20" s="130"/>
      <c r="N20" s="130"/>
      <c r="O20" s="130"/>
    </row>
    <row r="21" spans="1:16" x14ac:dyDescent="0.25">
      <c r="A21" s="230"/>
      <c r="B21" s="145"/>
      <c r="C21" s="130"/>
      <c r="D21" s="130"/>
      <c r="E21" s="130"/>
      <c r="F21" s="130"/>
      <c r="G21" s="130"/>
      <c r="H21" s="130"/>
      <c r="I21" s="130"/>
      <c r="J21" s="130"/>
      <c r="K21" s="130"/>
      <c r="L21" s="130"/>
      <c r="M21" s="130"/>
      <c r="N21" s="130"/>
      <c r="O21" s="130"/>
    </row>
    <row r="22" spans="1:16" x14ac:dyDescent="0.25">
      <c r="A22" s="230"/>
      <c r="B22" s="145"/>
      <c r="C22" s="130"/>
      <c r="D22" s="130"/>
      <c r="E22" s="130"/>
      <c r="F22" s="130"/>
      <c r="G22" s="130"/>
      <c r="H22" s="130"/>
      <c r="I22" s="130"/>
      <c r="J22" s="130"/>
      <c r="K22" s="130"/>
      <c r="L22" s="130"/>
      <c r="M22" s="130"/>
      <c r="N22" s="130"/>
      <c r="O22" s="130"/>
    </row>
    <row r="23" spans="1:16" s="27" customFormat="1" x14ac:dyDescent="0.25">
      <c r="A23" s="230"/>
      <c r="B23" s="145"/>
      <c r="C23" s="130"/>
      <c r="D23" s="130"/>
      <c r="E23" s="130"/>
      <c r="F23" s="130"/>
      <c r="G23" s="130"/>
      <c r="H23" s="130"/>
      <c r="I23" s="130"/>
      <c r="J23" s="130"/>
      <c r="K23" s="130"/>
      <c r="L23" s="130"/>
      <c r="M23" s="130"/>
      <c r="N23" s="130"/>
      <c r="O23" s="130"/>
      <c r="P23" s="33"/>
    </row>
    <row r="24" spans="1:16" x14ac:dyDescent="0.25">
      <c r="A24" s="230"/>
      <c r="B24" s="145"/>
      <c r="C24" s="130"/>
      <c r="D24" s="130"/>
      <c r="E24" s="130"/>
      <c r="F24" s="130"/>
      <c r="G24" s="130"/>
      <c r="H24" s="130"/>
      <c r="I24" s="130"/>
      <c r="J24" s="130"/>
      <c r="K24" s="130"/>
      <c r="L24" s="130"/>
      <c r="M24" s="130"/>
      <c r="N24" s="130"/>
      <c r="O24" s="130"/>
    </row>
    <row r="25" spans="1:16" x14ac:dyDescent="0.25">
      <c r="A25" s="230"/>
      <c r="B25" s="145"/>
      <c r="C25" s="130"/>
      <c r="D25" s="130"/>
      <c r="E25" s="130"/>
      <c r="F25" s="130"/>
      <c r="G25" s="130"/>
      <c r="H25" s="130"/>
      <c r="I25" s="130"/>
      <c r="J25" s="130"/>
      <c r="K25" s="130"/>
      <c r="L25" s="130"/>
      <c r="M25" s="130"/>
      <c r="N25" s="130"/>
      <c r="O25" s="130"/>
    </row>
    <row r="26" spans="1:16" x14ac:dyDescent="0.25">
      <c r="A26" s="230"/>
      <c r="B26" s="145"/>
      <c r="C26" s="130"/>
      <c r="D26" s="130"/>
      <c r="E26" s="130"/>
      <c r="F26" s="130"/>
      <c r="G26" s="130"/>
      <c r="H26" s="130"/>
      <c r="I26" s="130"/>
      <c r="J26" s="130"/>
      <c r="K26" s="130"/>
      <c r="L26" s="130"/>
      <c r="M26" s="130"/>
      <c r="N26" s="130"/>
      <c r="O26" s="130"/>
    </row>
    <row r="27" spans="1:16" x14ac:dyDescent="0.25">
      <c r="A27" s="230"/>
      <c r="B27" s="145"/>
      <c r="C27" s="130"/>
      <c r="D27" s="130"/>
      <c r="E27" s="130"/>
      <c r="F27" s="130"/>
      <c r="G27" s="130"/>
      <c r="H27" s="130"/>
      <c r="I27" s="130"/>
      <c r="J27" s="130"/>
      <c r="K27" s="130"/>
      <c r="L27" s="130"/>
      <c r="M27" s="130"/>
      <c r="N27" s="130"/>
      <c r="O27" s="130"/>
    </row>
    <row r="28" spans="1:16" x14ac:dyDescent="0.25">
      <c r="A28" s="230"/>
      <c r="B28" s="145"/>
      <c r="C28" s="130"/>
      <c r="D28" s="130"/>
      <c r="E28" s="130"/>
      <c r="F28" s="130"/>
      <c r="G28" s="130"/>
      <c r="H28" s="130"/>
      <c r="I28" s="130"/>
      <c r="J28" s="130"/>
      <c r="K28" s="130"/>
      <c r="L28" s="130"/>
      <c r="M28" s="130"/>
      <c r="N28" s="130"/>
      <c r="O28" s="130"/>
    </row>
    <row r="29" spans="1:16" x14ac:dyDescent="0.25">
      <c r="A29" s="230"/>
      <c r="B29" s="145"/>
      <c r="C29" s="130"/>
      <c r="D29" s="130"/>
      <c r="E29" s="130"/>
      <c r="F29" s="130"/>
      <c r="G29" s="130"/>
      <c r="H29" s="130"/>
      <c r="I29" s="130"/>
      <c r="J29" s="130"/>
      <c r="K29" s="130"/>
      <c r="L29" s="130"/>
      <c r="M29" s="130"/>
      <c r="N29" s="130"/>
      <c r="O29" s="130"/>
    </row>
    <row r="30" spans="1:16" x14ac:dyDescent="0.25">
      <c r="A30" s="230"/>
      <c r="B30" s="145"/>
      <c r="C30" s="130"/>
      <c r="D30" s="130"/>
      <c r="E30" s="130"/>
      <c r="F30" s="130"/>
      <c r="G30" s="130"/>
      <c r="H30" s="130"/>
      <c r="I30" s="130"/>
      <c r="J30" s="130"/>
      <c r="K30" s="130"/>
      <c r="L30" s="130"/>
      <c r="M30" s="130"/>
      <c r="N30" s="130"/>
      <c r="O30" s="130"/>
    </row>
    <row r="31" spans="1:16" x14ac:dyDescent="0.25">
      <c r="A31" s="230"/>
      <c r="B31" s="145"/>
      <c r="C31" s="130"/>
      <c r="D31" s="130"/>
      <c r="E31" s="130"/>
      <c r="F31" s="130"/>
      <c r="G31" s="130"/>
      <c r="H31" s="130"/>
      <c r="I31" s="130"/>
      <c r="J31" s="130"/>
      <c r="K31" s="130"/>
      <c r="L31" s="130"/>
      <c r="M31" s="130"/>
      <c r="N31" s="130"/>
      <c r="O31" s="130"/>
    </row>
    <row r="32" spans="1:16" x14ac:dyDescent="0.25">
      <c r="A32" s="230"/>
      <c r="B32" s="145"/>
      <c r="C32" s="130"/>
      <c r="D32" s="130"/>
      <c r="E32" s="130"/>
      <c r="F32" s="130"/>
      <c r="G32" s="130"/>
      <c r="H32" s="130"/>
      <c r="I32" s="130"/>
      <c r="J32" s="130"/>
      <c r="K32" s="130"/>
      <c r="L32" s="130"/>
      <c r="M32" s="130"/>
      <c r="N32" s="130"/>
      <c r="O32" s="130"/>
    </row>
    <row r="33" spans="1:19" x14ac:dyDescent="0.25">
      <c r="A33" s="230"/>
      <c r="B33" s="145"/>
      <c r="C33" s="130"/>
      <c r="D33" s="130"/>
      <c r="E33" s="130"/>
      <c r="F33" s="130"/>
      <c r="G33" s="130"/>
      <c r="H33" s="130"/>
      <c r="I33" s="130"/>
      <c r="J33" s="130"/>
      <c r="K33" s="130"/>
      <c r="L33" s="130"/>
      <c r="M33" s="130"/>
      <c r="N33" s="130"/>
      <c r="O33" s="130"/>
    </row>
    <row r="34" spans="1:19" x14ac:dyDescent="0.25">
      <c r="A34" s="230"/>
      <c r="B34" s="145"/>
      <c r="C34" s="130"/>
      <c r="D34" s="130"/>
      <c r="E34" s="130"/>
      <c r="F34" s="130"/>
      <c r="G34" s="130"/>
      <c r="H34" s="130"/>
      <c r="I34" s="130"/>
      <c r="J34" s="130"/>
      <c r="K34" s="130"/>
      <c r="L34" s="130"/>
      <c r="M34" s="130"/>
      <c r="N34" s="130"/>
      <c r="O34" s="130"/>
    </row>
    <row r="35" spans="1:19" x14ac:dyDescent="0.25">
      <c r="A35" s="230"/>
      <c r="B35" s="145"/>
      <c r="C35" s="130"/>
      <c r="D35" s="130"/>
      <c r="E35" s="130"/>
      <c r="F35" s="130"/>
      <c r="G35" s="130"/>
      <c r="H35" s="130"/>
      <c r="I35" s="130"/>
      <c r="J35" s="130"/>
      <c r="K35" s="130"/>
      <c r="L35" s="130"/>
      <c r="M35" s="130"/>
      <c r="N35" s="130"/>
      <c r="O35" s="130"/>
    </row>
    <row r="36" spans="1:19" x14ac:dyDescent="0.25">
      <c r="A36" s="230"/>
      <c r="B36" s="145"/>
      <c r="C36" s="130"/>
      <c r="D36" s="130"/>
      <c r="E36" s="130"/>
      <c r="F36" s="130"/>
      <c r="G36" s="130"/>
      <c r="H36" s="130"/>
      <c r="I36" s="130"/>
      <c r="J36" s="130"/>
      <c r="K36" s="130"/>
      <c r="L36" s="130"/>
      <c r="M36" s="130"/>
      <c r="N36" s="130"/>
      <c r="O36" s="130"/>
    </row>
    <row r="37" spans="1:19" x14ac:dyDescent="0.25">
      <c r="A37" s="230"/>
      <c r="B37" s="145"/>
      <c r="C37" s="130"/>
      <c r="D37" s="130"/>
      <c r="E37" s="130"/>
      <c r="F37" s="130"/>
      <c r="G37" s="130"/>
      <c r="H37" s="130"/>
      <c r="I37" s="130"/>
      <c r="J37" s="130"/>
      <c r="K37" s="130"/>
      <c r="L37" s="130"/>
      <c r="M37" s="130"/>
      <c r="N37" s="130"/>
      <c r="O37" s="130"/>
    </row>
    <row r="38" spans="1:19" x14ac:dyDescent="0.25">
      <c r="A38" s="230"/>
      <c r="B38" s="145"/>
      <c r="C38" s="130"/>
      <c r="D38" s="130"/>
      <c r="E38" s="130"/>
      <c r="F38" s="130"/>
      <c r="G38" s="130"/>
      <c r="H38" s="130"/>
      <c r="I38" s="130"/>
      <c r="J38" s="130"/>
      <c r="K38" s="130"/>
      <c r="L38" s="130"/>
      <c r="M38" s="130"/>
      <c r="N38" s="130"/>
      <c r="O38" s="130"/>
    </row>
    <row r="39" spans="1:19" x14ac:dyDescent="0.25">
      <c r="A39" s="230"/>
      <c r="B39" s="145"/>
      <c r="C39" s="130"/>
      <c r="D39" s="130"/>
      <c r="E39" s="130"/>
      <c r="F39" s="130"/>
      <c r="G39" s="130"/>
      <c r="H39" s="130"/>
      <c r="I39" s="130"/>
      <c r="J39" s="130"/>
      <c r="K39" s="130"/>
      <c r="L39" s="130"/>
      <c r="M39" s="130"/>
      <c r="N39" s="130"/>
      <c r="O39" s="130"/>
    </row>
    <row r="40" spans="1:19" x14ac:dyDescent="0.25">
      <c r="A40" s="230"/>
      <c r="B40" s="145"/>
      <c r="C40" s="130"/>
      <c r="D40" s="130"/>
      <c r="E40" s="130"/>
      <c r="F40" s="130"/>
      <c r="G40" s="130"/>
      <c r="H40" s="130"/>
      <c r="I40" s="130"/>
      <c r="J40" s="130"/>
      <c r="K40" s="130"/>
      <c r="L40" s="130"/>
      <c r="M40" s="130"/>
      <c r="N40" s="130"/>
      <c r="O40" s="130"/>
    </row>
    <row r="41" spans="1:19" x14ac:dyDescent="0.25">
      <c r="A41" s="230"/>
      <c r="B41" s="145"/>
      <c r="C41" s="130"/>
      <c r="D41" s="130"/>
      <c r="E41" s="130"/>
      <c r="F41" s="130"/>
      <c r="G41" s="130"/>
      <c r="H41" s="130"/>
      <c r="I41" s="130"/>
      <c r="J41" s="130"/>
      <c r="K41" s="130"/>
      <c r="L41" s="130"/>
      <c r="M41" s="130"/>
      <c r="N41" s="130"/>
      <c r="O41" s="130"/>
    </row>
    <row r="46" spans="1:19" s="193" customFormat="1" x14ac:dyDescent="0.25"/>
    <row r="47" spans="1:19" s="27" customFormat="1" x14ac:dyDescent="0.25">
      <c r="C47" s="41" t="str" cm="1">
        <f t="array" ref="C47:O47">Donnees_Brutes_60[[#Headers],[Connecteur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41" t="str">
        <v>Connecteur 13</v>
      </c>
      <c r="Q47" s="33"/>
    </row>
    <row r="48" spans="1:19" s="27" customFormat="1" x14ac:dyDescent="0.25">
      <c r="B48" s="42" t="s">
        <v>98</v>
      </c>
      <c r="C48" s="43" t="e">
        <f>MAX(C11:C41)</f>
        <v>#N/A</v>
      </c>
      <c r="D48" s="43" t="e">
        <f>MAX(D11:D41)</f>
        <v>#N/A</v>
      </c>
      <c r="E48" s="43" t="e">
        <f t="shared" ref="E48:O48" si="0">MAX(E11:E41)</f>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60+Mesures_Omia!B20</f>
        <v>60</v>
      </c>
      <c r="Q48" s="33"/>
      <c r="R48" s="36" t="s">
        <v>7</v>
      </c>
      <c r="S48" s="48" t="str">
        <f>"60°C"</f>
        <v>60°C</v>
      </c>
    </row>
    <row r="49" spans="2:19" s="27" customFormat="1" x14ac:dyDescent="0.25">
      <c r="B49" s="42" t="s">
        <v>100</v>
      </c>
      <c r="C49" s="43" t="e">
        <f>MIN(C11:C41)</f>
        <v>#N/A</v>
      </c>
      <c r="D49" s="43" t="e">
        <f t="shared" ref="D49:O49" si="1">MIN(D11:D41)</f>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60-Mesures_Omia!B20</f>
        <v>60</v>
      </c>
      <c r="Q49" s="33"/>
      <c r="R49" s="36" t="s">
        <v>99</v>
      </c>
      <c r="S49" s="35" t="str">
        <f>"+" &amp; Mesures_Omia!B20 &amp; "°C"</f>
        <v>+°C</v>
      </c>
    </row>
    <row r="50" spans="2:19" s="27" customFormat="1" x14ac:dyDescent="0.25">
      <c r="B50" s="42" t="s">
        <v>102</v>
      </c>
      <c r="C50" s="43" t="e">
        <f>AVERAGE(C11:C41)</f>
        <v>#N/A</v>
      </c>
      <c r="D50" s="43" t="e">
        <f t="shared" ref="D50:O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33"/>
      <c r="Q50" s="33"/>
      <c r="R50" s="36" t="s">
        <v>101</v>
      </c>
      <c r="S50" s="35" t="str">
        <f>"-" &amp; Mesures_Omia!B20 &amp; "°C"</f>
        <v>-°C</v>
      </c>
    </row>
    <row r="51" spans="2:19" s="27" customFormat="1" x14ac:dyDescent="0.25">
      <c r="B51" s="42" t="s">
        <v>103</v>
      </c>
      <c r="C51" s="45" t="e">
        <f>C48-C49</f>
        <v>#N/A</v>
      </c>
      <c r="D51" s="45" t="e">
        <f t="shared" ref="D51:O51" si="3">D48-D49</f>
        <v>#N/A</v>
      </c>
      <c r="E51" s="45" t="e">
        <f t="shared" si="3"/>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2:19" s="27" customFormat="1" x14ac:dyDescent="0.25">
      <c r="B52" s="42" t="s">
        <v>104</v>
      </c>
      <c r="C52" s="194" t="e">
        <f>ABS(MAX(C48:O48)-MIN(C49:O49))</f>
        <v>#N/A</v>
      </c>
      <c r="D52" s="194"/>
      <c r="E52" s="194"/>
      <c r="F52" s="194"/>
      <c r="G52" s="194"/>
      <c r="H52" s="194"/>
      <c r="I52" s="194"/>
      <c r="J52" s="194"/>
      <c r="K52" s="194"/>
      <c r="L52" s="194"/>
      <c r="M52" s="194"/>
      <c r="N52" s="194"/>
      <c r="O52" s="194"/>
      <c r="P52" s="33"/>
    </row>
    <row r="53" spans="2:19" s="27" customFormat="1" x14ac:dyDescent="0.25">
      <c r="B53" s="42" t="s">
        <v>105</v>
      </c>
      <c r="C53" s="194" t="e">
        <f>AVERAGE(C50:O50)</f>
        <v>#N/A</v>
      </c>
      <c r="D53" s="194"/>
      <c r="E53" s="194"/>
      <c r="F53" s="194"/>
      <c r="G53" s="194"/>
      <c r="H53" s="194"/>
      <c r="I53" s="194"/>
      <c r="J53" s="194"/>
      <c r="K53" s="194"/>
      <c r="L53" s="194"/>
      <c r="M53" s="194"/>
      <c r="N53" s="194"/>
      <c r="O53" s="194"/>
      <c r="P53" s="33"/>
    </row>
    <row r="54" spans="2:19" s="27" customFormat="1" x14ac:dyDescent="0.25">
      <c r="B54" s="36" t="s">
        <v>106</v>
      </c>
      <c r="C54" s="46" t="e">
        <f ca="1">STDEV(OFFSET(INDEX(Donnees_Brutes_60[Connecteur 1],1),COUNT(Donnees_Brutes_60[Connecteur 1])-30,0,30))+C5+C6</f>
        <v>#REF!</v>
      </c>
      <c r="D54" s="46" t="e">
        <f ca="1">STDEV(OFFSET(INDEX(Donnees_Brutes_60[Connecteur 2],1),COUNT(Donnees_Brutes_60[Connecteur 2])-30,0,30))+D5+D6</f>
        <v>#REF!</v>
      </c>
      <c r="E54" s="46" t="e">
        <f ca="1">STDEV(OFFSET(INDEX(Donnees_Brutes_60[Connecteur 3],1),COUNT(Donnees_Brutes_60[Connecteur 3])-30,0,30))+E5+E6</f>
        <v>#REF!</v>
      </c>
      <c r="F54" s="46" t="e">
        <f ca="1">STDEV(OFFSET(INDEX(Donnees_Brutes_60[Connecteur 4],1),COUNT(Donnees_Brutes_60[Connecteur 4])-30,0,30))+F5+F6</f>
        <v>#REF!</v>
      </c>
      <c r="G54" s="46" t="e">
        <f ca="1">STDEV(OFFSET(INDEX(Donnees_Brutes_60[Connecteur 5],1),COUNT(Donnees_Brutes_60[Connecteur 5])-30,0,30))+G5+G6</f>
        <v>#REF!</v>
      </c>
      <c r="H54" s="46" t="e">
        <f ca="1">STDEV(OFFSET(INDEX(Donnees_Brutes_60[Connecteur 6],1),COUNT(Donnees_Brutes_60[Connecteur 6])-30,0,30))+H5+H6</f>
        <v>#REF!</v>
      </c>
      <c r="I54" s="46" t="e">
        <f ca="1">STDEV(OFFSET(INDEX(Donnees_Brutes_60[Connecteur 7],1),COUNT(Donnees_Brutes_60[Connecteur 7])-30,0,30))+I5+I6</f>
        <v>#REF!</v>
      </c>
      <c r="J54" s="46" t="e">
        <f ca="1">STDEV(OFFSET(INDEX(Donnees_Brutes_60[Connecteur 8],1),COUNT(Donnees_Brutes_60[Connecteur 8])-30,0,30))+J5+J6</f>
        <v>#REF!</v>
      </c>
      <c r="K54" s="46" t="e">
        <f ca="1">STDEV(OFFSET(INDEX(Donnees_Brutes_60[Connecteur 9],1),COUNT(Donnees_Brutes_60[Connecteur 9])-30,0,30))+K5+K6</f>
        <v>#REF!</v>
      </c>
      <c r="L54" s="46" t="e">
        <f ca="1">STDEV(OFFSET(INDEX(Donnees_Brutes_60[Connecteur 10],1),COUNT(Donnees_Brutes_60[Connecteur 10])-30,0,30))+L5+L6</f>
        <v>#REF!</v>
      </c>
      <c r="M54" s="46" t="e">
        <f ca="1">STDEV(OFFSET(INDEX(Donnees_Brutes_60[Connecteur 11],1),COUNT(Donnees_Brutes_60[Connecteur 11])-30,0,30))+M5+M6</f>
        <v>#REF!</v>
      </c>
      <c r="N54" s="46" t="e">
        <f ca="1">STDEV(OFFSET(INDEX(Donnees_Brutes_60[Connecteur 12],1),COUNT(Donnees_Brutes_60[Connecteur 12])-30,0,30))+N5+N6</f>
        <v>#REF!</v>
      </c>
      <c r="O54" s="46" t="e">
        <f ca="1">STDEV(OFFSET(INDEX(Donnees_Brutes_60[Connecteur 13],1),COUNT(Donnees_Brutes_60[Connecteur 13])-30,0,30))+O5+O6</f>
        <v>#REF!</v>
      </c>
      <c r="P54" s="33"/>
    </row>
    <row r="55" spans="2:19" s="27" customFormat="1" x14ac:dyDescent="0.25">
      <c r="B55"/>
      <c r="C55"/>
      <c r="D55"/>
      <c r="E55"/>
      <c r="F55"/>
      <c r="G55"/>
      <c r="H55"/>
      <c r="I55"/>
      <c r="J55"/>
      <c r="K55"/>
      <c r="L55"/>
      <c r="M55"/>
      <c r="N55"/>
      <c r="O55"/>
      <c r="P55"/>
    </row>
  </sheetData>
  <sheetProtection algorithmName="SHA-512" hashValue="LbQpKenRutWC/rSf5jPXTCRIDMpEDLJytKm6l0lxp97ETzV7tMMZ7BUQfps1VXuaMxVeAqLmRJJoZQq7zIZq+w==" saltValue="BOwFfxWpB69PwNE/IF3enQ==" spinCount="100000" sheet="1" objects="1" scenarios="1" autoFilter="0"/>
  <mergeCells count="6">
    <mergeCell ref="C53:O53"/>
    <mergeCell ref="A1:S3"/>
    <mergeCell ref="A9:N9"/>
    <mergeCell ref="A11:A41"/>
    <mergeCell ref="A46:XFD46"/>
    <mergeCell ref="C52:O52"/>
  </mergeCells>
  <conditionalFormatting sqref="C48:O48">
    <cfRule type="cellIs" dxfId="30" priority="1" operator="greaterThan">
      <formula>$P$48</formula>
    </cfRule>
  </conditionalFormatting>
  <conditionalFormatting sqref="C49:O49">
    <cfRule type="cellIs" dxfId="29" priority="2" operator="lessThan">
      <formula>$P$49</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56"/>
  <sheetViews>
    <sheetView topLeftCell="A32" workbookViewId="0">
      <selection activeCell="G15" sqref="G15"/>
    </sheetView>
  </sheetViews>
  <sheetFormatPr baseColWidth="10" defaultRowHeight="15" x14ac:dyDescent="0.25"/>
  <cols>
    <col min="2" max="2" width="15" bestFit="1" customWidth="1"/>
    <col min="3" max="11" width="12.7109375" bestFit="1" customWidth="1"/>
    <col min="12" max="15" width="13.7109375" bestFit="1" customWidth="1"/>
    <col min="16" max="16" width="8.28515625" customWidth="1"/>
    <col min="17" max="18" width="15.28515625" bestFit="1" customWidth="1"/>
  </cols>
  <sheetData>
    <row r="1" spans="1:19" s="27" customFormat="1" x14ac:dyDescent="0.25">
      <c r="A1" s="191" t="str">
        <f>"150°C"</f>
        <v>150°C</v>
      </c>
      <c r="B1" s="191"/>
      <c r="C1" s="191"/>
      <c r="D1" s="191"/>
      <c r="E1" s="191"/>
      <c r="F1" s="191"/>
      <c r="G1" s="191"/>
      <c r="H1" s="191"/>
      <c r="I1" s="191"/>
      <c r="J1" s="191"/>
      <c r="K1" s="191"/>
      <c r="L1" s="191"/>
      <c r="M1" s="191"/>
      <c r="N1" s="191"/>
      <c r="O1" s="191"/>
      <c r="P1" s="191"/>
      <c r="Q1" s="191"/>
      <c r="R1" s="191"/>
      <c r="S1" s="191"/>
    </row>
    <row r="2" spans="1:19" s="27" customFormat="1" x14ac:dyDescent="0.25">
      <c r="A2" s="191"/>
      <c r="B2" s="191"/>
      <c r="C2" s="191"/>
      <c r="D2" s="191"/>
      <c r="E2" s="191"/>
      <c r="F2" s="191"/>
      <c r="G2" s="191"/>
      <c r="H2" s="191"/>
      <c r="I2" s="191"/>
      <c r="J2" s="191"/>
      <c r="K2" s="191"/>
      <c r="L2" s="191"/>
      <c r="M2" s="191"/>
      <c r="N2" s="191"/>
      <c r="O2" s="191"/>
      <c r="P2" s="191"/>
      <c r="Q2" s="191"/>
      <c r="R2" s="191"/>
      <c r="S2" s="191"/>
    </row>
    <row r="3" spans="1:19" s="27" customFormat="1" x14ac:dyDescent="0.25">
      <c r="A3" s="191"/>
      <c r="B3" s="191"/>
      <c r="C3" s="191"/>
      <c r="D3" s="191"/>
      <c r="E3" s="191"/>
      <c r="F3" s="191"/>
      <c r="G3" s="191"/>
      <c r="H3" s="191"/>
      <c r="I3" s="191"/>
      <c r="J3" s="191"/>
      <c r="K3" s="191"/>
      <c r="L3" s="191"/>
      <c r="M3" s="191"/>
      <c r="N3" s="191"/>
      <c r="O3" s="191"/>
      <c r="P3" s="191"/>
      <c r="Q3" s="191"/>
      <c r="R3" s="191"/>
      <c r="S3" s="191"/>
    </row>
    <row r="4" spans="1:19" s="27" customFormat="1" x14ac:dyDescent="0.25">
      <c r="P4" s="33"/>
    </row>
    <row r="5" spans="1:19" s="27" customFormat="1" x14ac:dyDescent="0.25">
      <c r="B5" s="34" t="s">
        <v>24</v>
      </c>
      <c r="C5" s="35" t="e">
        <f>_xlfn.XLOOKUP(INT(SUBSTITUTE(C47,"Connecteur ","")),Mesures_Omia!C23:C35,Mesures_Omia!E23:E35)</f>
        <v>#N/A</v>
      </c>
      <c r="D5" s="35" t="e">
        <f>_xlfn.XLOOKUP(INT(SUBSTITUTE(D47,"Connecteur ","")),Mesures_Omia!C23:C35,Mesures_Omia!E23:E35)</f>
        <v>#N/A</v>
      </c>
      <c r="E5" s="35" t="e">
        <f>_xlfn.XLOOKUP(INT(SUBSTITUTE(E47,"Connecteur ","")),Mesures_Omia!C23:C35,Mesures_Omia!E23:E35)</f>
        <v>#N/A</v>
      </c>
      <c r="F5" s="35" t="e">
        <f>_xlfn.XLOOKUP(INT(SUBSTITUTE(F47,"Connecteur ","")),Mesures_Omia!C23:C35,Mesures_Omia!E23:E35)</f>
        <v>#N/A</v>
      </c>
      <c r="G5" s="35" t="e">
        <f>_xlfn.XLOOKUP(INT(SUBSTITUTE(G47,"Connecteur ","")),Mesures_Omia!C23:C35,Mesures_Omia!E23:E35)</f>
        <v>#N/A</v>
      </c>
      <c r="H5" s="35" t="e">
        <f>_xlfn.XLOOKUP(INT(SUBSTITUTE(H47,"Connecteur ","")),Mesures_Omia!C23:C35,Mesures_Omia!E23:E35)</f>
        <v>#N/A</v>
      </c>
      <c r="I5" s="35" t="e">
        <f>_xlfn.XLOOKUP(INT(SUBSTITUTE(I47,"Connecteur ","")),Mesures_Omia!C23:C35,Mesures_Omia!E23:E35)</f>
        <v>#N/A</v>
      </c>
      <c r="J5" s="35" t="e">
        <f>_xlfn.XLOOKUP(INT(SUBSTITUTE(J47,"Connecteur ","")),Mesures_Omia!C23:C35,Mesures_Omia!E23:E35)</f>
        <v>#N/A</v>
      </c>
      <c r="K5" s="35" t="e">
        <f>_xlfn.XLOOKUP(INT(SUBSTITUTE(K47,"Connecteur ","")),Mesures_Omia!C23:C35,Mesures_Omia!E23:E35)</f>
        <v>#N/A</v>
      </c>
      <c r="L5" s="35" t="e">
        <f>_xlfn.XLOOKUP(INT(SUBSTITUTE(L47,"Connecteur ","")),Mesures_Omia!C23:C35,Mesures_Omia!E23:E35)</f>
        <v>#N/A</v>
      </c>
      <c r="M5" s="35" t="e">
        <f>_xlfn.XLOOKUP(INT(SUBSTITUTE(M47,"Connecteur ","")),Mesures_Omia!C23:C35,Mesures_Omia!E23:E35)</f>
        <v>#N/A</v>
      </c>
      <c r="N5" s="35" t="e">
        <f>_xlfn.XLOOKUP(INT(SUBSTITUTE(N47,"Connecteur ","")),Mesures_Omia!C23:C35,Mesures_Omia!E23:E35)</f>
        <v>#N/A</v>
      </c>
      <c r="O5" s="35" t="e">
        <f>_xlfn.XLOOKUP(INT(SUBSTITUTE(O47,"Connecteur ","")),Mesures_Omia!C23:C35,Mesures_Omia!E23:E35)</f>
        <v>#N/A</v>
      </c>
      <c r="P5" s="33"/>
    </row>
    <row r="6" spans="1:19" s="27" customFormat="1" x14ac:dyDescent="0.25">
      <c r="B6" s="34" t="s">
        <v>94</v>
      </c>
      <c r="C6" s="35" t="e">
        <f>_xlfn.XLOOKUP(INT(SUBSTITUTE(C47,"Connecteur ","")),Mesures_Omia!C23:C35,Mesures_Omia!H23:H35)</f>
        <v>#N/A</v>
      </c>
      <c r="D6" s="35" t="e">
        <f>_xlfn.XLOOKUP(INT(SUBSTITUTE(D47,"Connecteur ","")),Mesures_Omia!C23:C35,Mesures_Omia!H23:H35)</f>
        <v>#N/A</v>
      </c>
      <c r="E6" s="35" t="e">
        <f>_xlfn.XLOOKUP(INT(SUBSTITUTE(E47,"Connecteur ","")),Mesures_Omia!C23:C35,Mesures_Omia!H23:H35)</f>
        <v>#N/A</v>
      </c>
      <c r="F6" s="35" t="e">
        <f>_xlfn.XLOOKUP(INT(SUBSTITUTE(F47,"Connecteur ","")),Mesures_Omia!C23:C35,Mesures_Omia!H23:H35)</f>
        <v>#N/A</v>
      </c>
      <c r="G6" s="35" t="e">
        <f>_xlfn.XLOOKUP(INT(SUBSTITUTE(G47,"Connecteur ","")),Mesures_Omia!C23:C35,Mesures_Omia!H23:H35)</f>
        <v>#N/A</v>
      </c>
      <c r="H6" s="35" t="e">
        <f>_xlfn.XLOOKUP(INT(SUBSTITUTE(H47,"Connecteur ","")),Mesures_Omia!C23:C35,Mesures_Omia!H23:H35)</f>
        <v>#N/A</v>
      </c>
      <c r="I6" s="35" t="e">
        <f>_xlfn.XLOOKUP(INT(SUBSTITUTE(I47,"Connecteur ","")),Mesures_Omia!C23:C35,Mesures_Omia!H23:H35)</f>
        <v>#N/A</v>
      </c>
      <c r="J6" s="35" t="e">
        <f>_xlfn.XLOOKUP(INT(SUBSTITUTE(J47,"Connecteur ","")),Mesures_Omia!C23:C35,Mesures_Omia!H23:H35)</f>
        <v>#N/A</v>
      </c>
      <c r="K6" s="35" t="e">
        <f>_xlfn.XLOOKUP(INT(SUBSTITUTE(K47,"Connecteur ","")),Mesures_Omia!C23:C35,Mesures_Omia!H23:H35)</f>
        <v>#N/A</v>
      </c>
      <c r="L6" s="35" t="e">
        <f>_xlfn.XLOOKUP(INT(SUBSTITUTE(L47,"Connecteur ","")),Mesures_Omia!C23:C35,Mesures_Omia!H23:H35)</f>
        <v>#N/A</v>
      </c>
      <c r="M6" s="35" t="e">
        <f>_xlfn.XLOOKUP(INT(SUBSTITUTE(M47,"Connecteur ","")),Mesures_Omia!C23:C35,Mesures_Omia!H23:H35)</f>
        <v>#N/A</v>
      </c>
      <c r="N6" s="35" t="e">
        <f>_xlfn.XLOOKUP(INT(SUBSTITUTE(N47,"Connecteur ","")),Mesures_Omia!C23:C35,Mesures_Omia!H23:H35)</f>
        <v>#N/A</v>
      </c>
      <c r="O6" s="35" t="e">
        <f>_xlfn.XLOOKUP(INT(SUBSTITUTE(O47,"Connecteur ","")),Mesures_Omia!C23:C35,Mesures_Omia!H23:H35)</f>
        <v>#N/A</v>
      </c>
      <c r="P6" s="33"/>
    </row>
    <row r="7" spans="1:19" s="27" customFormat="1" x14ac:dyDescent="0.25">
      <c r="P7" s="33"/>
    </row>
    <row r="8" spans="1:19" s="27" customFormat="1" x14ac:dyDescent="0.25">
      <c r="P8" s="33"/>
    </row>
    <row r="9" spans="1:19" s="27" customFormat="1" x14ac:dyDescent="0.25">
      <c r="A9" s="192" t="s">
        <v>95</v>
      </c>
      <c r="B9" s="192"/>
      <c r="C9" s="192"/>
      <c r="D9" s="192"/>
      <c r="E9" s="192"/>
      <c r="F9" s="192"/>
      <c r="G9" s="192"/>
      <c r="H9" s="192"/>
      <c r="I9" s="192"/>
      <c r="J9" s="192"/>
      <c r="K9" s="192"/>
      <c r="L9" s="192"/>
      <c r="M9" s="192"/>
      <c r="N9" s="192"/>
      <c r="P9" s="33"/>
    </row>
    <row r="10" spans="1:19" s="27" customFormat="1" x14ac:dyDescent="0.25">
      <c r="A10" s="33"/>
      <c r="B10" s="34" t="str">
        <f>Donnees_Brutes_150[[#Headers],[Date/Heure]]</f>
        <v>Date/Heure</v>
      </c>
      <c r="C10" s="36" t="str" cm="1">
        <f t="array" ref="C10:O10">Donnees_Brutes_150[[#Headers],[Connecteur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234" t="s">
        <v>96</v>
      </c>
      <c r="B11" s="145" cm="1">
        <f t="array" ref="B11">Donnees_Brutes_150[Date/Heure]</f>
        <v>0</v>
      </c>
      <c r="C11" s="130" t="e" cm="1">
        <f t="array" ref="C11:O11">Donnees_Brutes_150[[Connecteur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x14ac:dyDescent="0.25">
      <c r="A12" s="235"/>
      <c r="B12" s="145"/>
      <c r="C12" s="130"/>
      <c r="D12" s="130"/>
      <c r="E12" s="130"/>
      <c r="F12" s="130"/>
      <c r="G12" s="130"/>
      <c r="H12" s="130"/>
      <c r="I12" s="130"/>
      <c r="J12" s="130"/>
      <c r="K12" s="130"/>
      <c r="L12" s="130"/>
      <c r="M12" s="130"/>
      <c r="N12" s="130"/>
      <c r="O12" s="130"/>
      <c r="P12" s="33"/>
    </row>
    <row r="13" spans="1:19" x14ac:dyDescent="0.25">
      <c r="A13" s="235"/>
      <c r="B13" s="145"/>
      <c r="C13" s="130"/>
      <c r="D13" s="130"/>
      <c r="E13" s="130"/>
      <c r="F13" s="130"/>
      <c r="G13" s="130"/>
      <c r="H13" s="130"/>
      <c r="I13" s="130"/>
      <c r="J13" s="130"/>
      <c r="K13" s="130"/>
      <c r="L13" s="130"/>
      <c r="M13" s="130"/>
      <c r="N13" s="130"/>
      <c r="O13" s="130"/>
    </row>
    <row r="14" spans="1:19" x14ac:dyDescent="0.25">
      <c r="A14" s="235"/>
      <c r="B14" s="145"/>
      <c r="C14" s="130"/>
      <c r="D14" s="130"/>
      <c r="E14" s="130"/>
      <c r="F14" s="130"/>
      <c r="G14" s="130"/>
      <c r="H14" s="130"/>
      <c r="I14" s="130"/>
      <c r="J14" s="130"/>
      <c r="K14" s="130"/>
      <c r="L14" s="130"/>
      <c r="M14" s="130"/>
      <c r="N14" s="130"/>
      <c r="O14" s="130"/>
    </row>
    <row r="15" spans="1:19" x14ac:dyDescent="0.25">
      <c r="A15" s="235"/>
      <c r="B15" s="145"/>
      <c r="C15" s="130"/>
      <c r="D15" s="130"/>
      <c r="E15" s="130"/>
      <c r="F15" s="130"/>
      <c r="G15" s="130"/>
      <c r="H15" s="130"/>
      <c r="I15" s="130"/>
      <c r="J15" s="130"/>
      <c r="K15" s="130"/>
      <c r="L15" s="130"/>
      <c r="M15" s="130"/>
      <c r="N15" s="130"/>
      <c r="O15" s="130"/>
    </row>
    <row r="16" spans="1:19" x14ac:dyDescent="0.25">
      <c r="A16" s="235"/>
      <c r="B16" s="145"/>
      <c r="C16" s="130"/>
      <c r="D16" s="130"/>
      <c r="E16" s="130"/>
      <c r="F16" s="130"/>
      <c r="G16" s="130"/>
      <c r="H16" s="130"/>
      <c r="I16" s="130"/>
      <c r="J16" s="130"/>
      <c r="K16" s="130"/>
      <c r="L16" s="130"/>
      <c r="M16" s="130"/>
      <c r="N16" s="130"/>
      <c r="O16" s="130"/>
    </row>
    <row r="17" spans="1:16" x14ac:dyDescent="0.25">
      <c r="A17" s="235"/>
      <c r="B17" s="145"/>
      <c r="C17" s="130"/>
      <c r="D17" s="130"/>
      <c r="E17" s="130"/>
      <c r="F17" s="130"/>
      <c r="G17" s="130"/>
      <c r="H17" s="130"/>
      <c r="I17" s="130"/>
      <c r="J17" s="130"/>
      <c r="K17" s="130"/>
      <c r="L17" s="130"/>
      <c r="M17" s="130"/>
      <c r="N17" s="130"/>
      <c r="O17" s="130"/>
    </row>
    <row r="18" spans="1:16" x14ac:dyDescent="0.25">
      <c r="A18" s="235"/>
      <c r="B18" s="145"/>
      <c r="C18" s="130"/>
      <c r="D18" s="130"/>
      <c r="E18" s="130"/>
      <c r="F18" s="130"/>
      <c r="G18" s="130"/>
      <c r="H18" s="130"/>
      <c r="I18" s="130"/>
      <c r="J18" s="130"/>
      <c r="K18" s="130"/>
      <c r="L18" s="130"/>
      <c r="M18" s="130"/>
      <c r="N18" s="130"/>
      <c r="O18" s="130"/>
    </row>
    <row r="19" spans="1:16" x14ac:dyDescent="0.25">
      <c r="A19" s="235"/>
      <c r="B19" s="145"/>
      <c r="C19" s="130"/>
      <c r="D19" s="130"/>
      <c r="E19" s="130"/>
      <c r="F19" s="130"/>
      <c r="G19" s="130"/>
      <c r="H19" s="130"/>
      <c r="I19" s="130"/>
      <c r="J19" s="130"/>
      <c r="K19" s="130"/>
      <c r="L19" s="130"/>
      <c r="M19" s="130"/>
      <c r="N19" s="130"/>
      <c r="O19" s="130"/>
    </row>
    <row r="20" spans="1:16" x14ac:dyDescent="0.25">
      <c r="A20" s="235"/>
      <c r="B20" s="145"/>
      <c r="C20" s="130"/>
      <c r="D20" s="130"/>
      <c r="E20" s="130"/>
      <c r="F20" s="130"/>
      <c r="G20" s="130"/>
      <c r="H20" s="130"/>
      <c r="I20" s="130"/>
      <c r="J20" s="130"/>
      <c r="K20" s="130"/>
      <c r="L20" s="130"/>
      <c r="M20" s="130"/>
      <c r="N20" s="130"/>
      <c r="O20" s="130"/>
    </row>
    <row r="21" spans="1:16" x14ac:dyDescent="0.25">
      <c r="A21" s="235"/>
      <c r="B21" s="145"/>
      <c r="C21" s="130"/>
      <c r="D21" s="130"/>
      <c r="E21" s="130"/>
      <c r="F21" s="130"/>
      <c r="G21" s="130"/>
      <c r="H21" s="130"/>
      <c r="I21" s="130"/>
      <c r="J21" s="130"/>
      <c r="K21" s="130"/>
      <c r="L21" s="130"/>
      <c r="M21" s="130"/>
      <c r="N21" s="130"/>
      <c r="O21" s="130"/>
    </row>
    <row r="22" spans="1:16" s="27" customFormat="1" x14ac:dyDescent="0.25">
      <c r="A22" s="235"/>
      <c r="B22" s="145"/>
      <c r="C22" s="130"/>
      <c r="D22" s="130"/>
      <c r="E22" s="130"/>
      <c r="F22" s="130"/>
      <c r="G22" s="130"/>
      <c r="H22" s="130"/>
      <c r="I22" s="130"/>
      <c r="J22" s="130"/>
      <c r="K22" s="130"/>
      <c r="L22" s="130"/>
      <c r="M22" s="130"/>
      <c r="N22" s="130"/>
      <c r="O22" s="130"/>
      <c r="P22" s="33"/>
    </row>
    <row r="23" spans="1:16" s="27" customFormat="1" x14ac:dyDescent="0.25">
      <c r="A23" s="235"/>
      <c r="B23" s="145"/>
      <c r="C23" s="130"/>
      <c r="D23" s="130"/>
      <c r="E23" s="130"/>
      <c r="F23" s="130"/>
      <c r="G23" s="130"/>
      <c r="H23" s="130"/>
      <c r="I23" s="130"/>
      <c r="J23" s="130"/>
      <c r="K23" s="130"/>
      <c r="L23" s="130"/>
      <c r="M23" s="130"/>
      <c r="N23" s="130"/>
      <c r="O23" s="130"/>
      <c r="P23" s="33"/>
    </row>
    <row r="24" spans="1:16" x14ac:dyDescent="0.25">
      <c r="A24" s="235"/>
      <c r="B24" s="145"/>
      <c r="C24" s="130"/>
      <c r="D24" s="130"/>
      <c r="E24" s="130"/>
      <c r="F24" s="130"/>
      <c r="G24" s="130"/>
      <c r="H24" s="130"/>
      <c r="I24" s="130"/>
      <c r="J24" s="130"/>
      <c r="K24" s="130"/>
      <c r="L24" s="130"/>
      <c r="M24" s="130"/>
      <c r="N24" s="130"/>
      <c r="O24" s="130"/>
    </row>
    <row r="25" spans="1:16" x14ac:dyDescent="0.25">
      <c r="A25" s="235"/>
      <c r="B25" s="145"/>
      <c r="C25" s="130"/>
      <c r="D25" s="130"/>
      <c r="E25" s="130"/>
      <c r="F25" s="130"/>
      <c r="G25" s="130"/>
      <c r="H25" s="130"/>
      <c r="I25" s="130"/>
      <c r="J25" s="130"/>
      <c r="K25" s="130"/>
      <c r="L25" s="130"/>
      <c r="M25" s="130"/>
      <c r="N25" s="130"/>
      <c r="O25" s="130"/>
    </row>
    <row r="26" spans="1:16" x14ac:dyDescent="0.25">
      <c r="A26" s="235"/>
      <c r="B26" s="145"/>
      <c r="C26" s="130"/>
      <c r="D26" s="130"/>
      <c r="E26" s="130"/>
      <c r="F26" s="130"/>
      <c r="G26" s="130"/>
      <c r="H26" s="130"/>
      <c r="I26" s="130"/>
      <c r="J26" s="130"/>
      <c r="K26" s="130"/>
      <c r="L26" s="130"/>
      <c r="M26" s="130"/>
      <c r="N26" s="130"/>
      <c r="O26" s="130"/>
    </row>
    <row r="27" spans="1:16" x14ac:dyDescent="0.25">
      <c r="A27" s="235"/>
      <c r="B27" s="145"/>
      <c r="C27" s="130"/>
      <c r="D27" s="130"/>
      <c r="E27" s="130"/>
      <c r="F27" s="130"/>
      <c r="G27" s="130"/>
      <c r="H27" s="130"/>
      <c r="I27" s="130"/>
      <c r="J27" s="130"/>
      <c r="K27" s="130"/>
      <c r="L27" s="130"/>
      <c r="M27" s="130"/>
      <c r="N27" s="130"/>
      <c r="O27" s="130"/>
    </row>
    <row r="28" spans="1:16" x14ac:dyDescent="0.25">
      <c r="A28" s="235"/>
      <c r="B28" s="145"/>
      <c r="C28" s="130"/>
      <c r="D28" s="130"/>
      <c r="E28" s="130"/>
      <c r="F28" s="130"/>
      <c r="G28" s="130"/>
      <c r="H28" s="130"/>
      <c r="I28" s="130"/>
      <c r="J28" s="130"/>
      <c r="K28" s="130"/>
      <c r="L28" s="130"/>
      <c r="M28" s="130"/>
      <c r="N28" s="130"/>
      <c r="O28" s="130"/>
    </row>
    <row r="29" spans="1:16" x14ac:dyDescent="0.25">
      <c r="A29" s="235"/>
      <c r="B29" s="145"/>
      <c r="C29" s="130"/>
      <c r="D29" s="130"/>
      <c r="E29" s="130"/>
      <c r="F29" s="130"/>
      <c r="G29" s="130"/>
      <c r="H29" s="130"/>
      <c r="I29" s="130"/>
      <c r="J29" s="130"/>
      <c r="K29" s="130"/>
      <c r="L29" s="130"/>
      <c r="M29" s="130"/>
      <c r="N29" s="130"/>
      <c r="O29" s="130"/>
    </row>
    <row r="30" spans="1:16" x14ac:dyDescent="0.25">
      <c r="A30" s="235"/>
      <c r="B30" s="145"/>
      <c r="C30" s="130"/>
      <c r="D30" s="130"/>
      <c r="E30" s="130"/>
      <c r="F30" s="130"/>
      <c r="G30" s="130"/>
      <c r="H30" s="130"/>
      <c r="I30" s="130"/>
      <c r="J30" s="130"/>
      <c r="K30" s="130"/>
      <c r="L30" s="130"/>
      <c r="M30" s="130"/>
      <c r="N30" s="130"/>
      <c r="O30" s="130"/>
    </row>
    <row r="31" spans="1:16" x14ac:dyDescent="0.25">
      <c r="A31" s="235"/>
      <c r="B31" s="145"/>
      <c r="C31" s="130"/>
      <c r="D31" s="130"/>
      <c r="E31" s="130"/>
      <c r="F31" s="130"/>
      <c r="G31" s="130"/>
      <c r="H31" s="130"/>
      <c r="I31" s="130"/>
      <c r="J31" s="130"/>
      <c r="K31" s="130"/>
      <c r="L31" s="130"/>
      <c r="M31" s="130"/>
      <c r="N31" s="130"/>
      <c r="O31" s="130"/>
    </row>
    <row r="32" spans="1:16" x14ac:dyDescent="0.25">
      <c r="A32" s="235"/>
      <c r="B32" s="145"/>
      <c r="C32" s="130"/>
      <c r="D32" s="130"/>
      <c r="E32" s="130"/>
      <c r="F32" s="130"/>
      <c r="G32" s="130"/>
      <c r="H32" s="130"/>
      <c r="I32" s="130"/>
      <c r="J32" s="130"/>
      <c r="K32" s="130"/>
      <c r="L32" s="130"/>
      <c r="M32" s="130"/>
      <c r="N32" s="130"/>
      <c r="O32" s="130"/>
    </row>
    <row r="33" spans="1:19" x14ac:dyDescent="0.25">
      <c r="A33" s="235"/>
      <c r="B33" s="145"/>
      <c r="C33" s="130"/>
      <c r="D33" s="130"/>
      <c r="E33" s="130"/>
      <c r="F33" s="130"/>
      <c r="G33" s="130"/>
      <c r="H33" s="130"/>
      <c r="I33" s="130"/>
      <c r="J33" s="130"/>
      <c r="K33" s="130"/>
      <c r="L33" s="130"/>
      <c r="M33" s="130"/>
      <c r="N33" s="130"/>
      <c r="O33" s="130"/>
    </row>
    <row r="34" spans="1:19" x14ac:dyDescent="0.25">
      <c r="A34" s="235"/>
      <c r="B34" s="145"/>
      <c r="C34" s="130"/>
      <c r="D34" s="130"/>
      <c r="E34" s="130"/>
      <c r="F34" s="130"/>
      <c r="G34" s="130"/>
      <c r="H34" s="130"/>
      <c r="I34" s="130"/>
      <c r="J34" s="130"/>
      <c r="K34" s="130"/>
      <c r="L34" s="130"/>
      <c r="M34" s="130"/>
      <c r="N34" s="130"/>
      <c r="O34" s="130"/>
    </row>
    <row r="35" spans="1:19" x14ac:dyDescent="0.25">
      <c r="A35" s="235"/>
      <c r="B35" s="145"/>
      <c r="C35" s="130"/>
      <c r="D35" s="130"/>
      <c r="E35" s="130"/>
      <c r="F35" s="130"/>
      <c r="G35" s="130"/>
      <c r="H35" s="130"/>
      <c r="I35" s="130"/>
      <c r="J35" s="130"/>
      <c r="K35" s="130"/>
      <c r="L35" s="130"/>
      <c r="M35" s="130"/>
      <c r="N35" s="130"/>
      <c r="O35" s="130"/>
    </row>
    <row r="36" spans="1:19" x14ac:dyDescent="0.25">
      <c r="A36" s="235"/>
      <c r="B36" s="145"/>
      <c r="C36" s="130"/>
      <c r="D36" s="130"/>
      <c r="E36" s="130"/>
      <c r="F36" s="130"/>
      <c r="G36" s="130"/>
      <c r="H36" s="130"/>
      <c r="I36" s="130"/>
      <c r="J36" s="130"/>
      <c r="K36" s="130"/>
      <c r="L36" s="130"/>
      <c r="M36" s="130"/>
      <c r="N36" s="130"/>
      <c r="O36" s="130"/>
    </row>
    <row r="37" spans="1:19" x14ac:dyDescent="0.25">
      <c r="A37" s="235"/>
      <c r="B37" s="145"/>
      <c r="C37" s="130"/>
      <c r="D37" s="130"/>
      <c r="E37" s="130"/>
      <c r="F37" s="130"/>
      <c r="G37" s="130"/>
      <c r="H37" s="130"/>
      <c r="I37" s="130"/>
      <c r="J37" s="130"/>
      <c r="K37" s="130"/>
      <c r="L37" s="130"/>
      <c r="M37" s="130"/>
      <c r="N37" s="130"/>
      <c r="O37" s="130"/>
    </row>
    <row r="38" spans="1:19" x14ac:dyDescent="0.25">
      <c r="A38" s="235"/>
      <c r="B38" s="145"/>
      <c r="C38" s="130"/>
      <c r="D38" s="130"/>
      <c r="E38" s="130"/>
      <c r="F38" s="130"/>
      <c r="G38" s="130"/>
      <c r="H38" s="130"/>
      <c r="I38" s="130"/>
      <c r="J38" s="130"/>
      <c r="K38" s="130"/>
      <c r="L38" s="130"/>
      <c r="M38" s="130"/>
      <c r="N38" s="130"/>
      <c r="O38" s="130"/>
    </row>
    <row r="39" spans="1:19" x14ac:dyDescent="0.25">
      <c r="A39" s="235"/>
      <c r="B39" s="145"/>
      <c r="C39" s="130"/>
      <c r="D39" s="130"/>
      <c r="E39" s="130"/>
      <c r="F39" s="130"/>
      <c r="G39" s="130"/>
      <c r="H39" s="130"/>
      <c r="I39" s="130"/>
      <c r="J39" s="130"/>
      <c r="K39" s="130"/>
      <c r="L39" s="130"/>
      <c r="M39" s="130"/>
      <c r="N39" s="130"/>
      <c r="O39" s="130"/>
    </row>
    <row r="40" spans="1:19" x14ac:dyDescent="0.25">
      <c r="A40" s="235"/>
      <c r="B40" s="145"/>
      <c r="C40" s="130"/>
      <c r="D40" s="130"/>
      <c r="E40" s="130"/>
      <c r="F40" s="130"/>
      <c r="G40" s="130"/>
      <c r="H40" s="130"/>
      <c r="I40" s="130"/>
      <c r="J40" s="130"/>
      <c r="K40" s="130"/>
      <c r="L40" s="130"/>
      <c r="M40" s="130"/>
      <c r="N40" s="130"/>
      <c r="O40" s="130"/>
    </row>
    <row r="41" spans="1:19" x14ac:dyDescent="0.25">
      <c r="A41" s="235"/>
      <c r="B41" s="145"/>
      <c r="C41" s="130"/>
      <c r="D41" s="130"/>
      <c r="E41" s="130"/>
      <c r="F41" s="130"/>
      <c r="G41" s="130"/>
      <c r="H41" s="130"/>
      <c r="I41" s="130"/>
      <c r="J41" s="130"/>
      <c r="K41" s="130"/>
      <c r="L41" s="130"/>
      <c r="M41" s="130"/>
      <c r="N41" s="130"/>
      <c r="O41" s="130"/>
    </row>
    <row r="46" spans="1:19" s="193" customFormat="1" x14ac:dyDescent="0.25"/>
    <row r="47" spans="1:19" x14ac:dyDescent="0.25">
      <c r="A47" s="27"/>
      <c r="B47" s="27"/>
      <c r="C47" s="41" t="str" cm="1">
        <f t="array" ref="C47:O47">Donnees_Brutes_150[[#Headers],[Connecteur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36" t="str">
        <v>Connecteur 13</v>
      </c>
      <c r="P47" s="33"/>
      <c r="Q47" s="27"/>
      <c r="R47" s="27"/>
    </row>
    <row r="48" spans="1:19" x14ac:dyDescent="0.25">
      <c r="A48" s="27"/>
      <c r="B48" s="42" t="s">
        <v>98</v>
      </c>
      <c r="C48" s="43" t="e">
        <f>MAX(C11:C41)</f>
        <v>#N/A</v>
      </c>
      <c r="D48" s="43" t="e">
        <f t="shared" ref="D48:O48" si="0">MAX(D11:D41)</f>
        <v>#N/A</v>
      </c>
      <c r="E48" s="43" t="e">
        <f t="shared" si="0"/>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150+Mesures_Omia!B20</f>
        <v>150</v>
      </c>
      <c r="Q48" s="33"/>
      <c r="R48" s="36" t="s">
        <v>7</v>
      </c>
      <c r="S48" s="48" t="str">
        <f>"150°C"</f>
        <v>150°C</v>
      </c>
    </row>
    <row r="49" spans="1:19" s="27" customFormat="1" x14ac:dyDescent="0.25">
      <c r="B49" s="42" t="s">
        <v>100</v>
      </c>
      <c r="C49" s="43" t="e">
        <f>MIN(C11:C41)</f>
        <v>#N/A</v>
      </c>
      <c r="D49" s="43" t="e">
        <f t="shared" ref="D49:O49" si="1">MIN(D11:D41)</f>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150-Mesures_Omia!B20</f>
        <v>150</v>
      </c>
      <c r="Q49" s="33"/>
      <c r="R49" s="36" t="s">
        <v>99</v>
      </c>
      <c r="S49" s="35" t="str">
        <f>"+" &amp; Mesures_Omia!B20 &amp; "°C"</f>
        <v>+°C</v>
      </c>
    </row>
    <row r="50" spans="1:19" s="27" customFormat="1" x14ac:dyDescent="0.25">
      <c r="B50" s="42" t="s">
        <v>102</v>
      </c>
      <c r="C50" s="43" t="e">
        <f>AVERAGE(C11:C41)</f>
        <v>#N/A</v>
      </c>
      <c r="D50" s="43" t="e">
        <f t="shared" ref="D50:O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44"/>
      <c r="Q50" s="33"/>
      <c r="R50" s="36" t="s">
        <v>101</v>
      </c>
      <c r="S50" s="35" t="str">
        <f>"-" &amp; Mesures_Omia!B20 &amp; "°C"</f>
        <v>-°C</v>
      </c>
    </row>
    <row r="51" spans="1:19" s="27" customFormat="1" x14ac:dyDescent="0.25">
      <c r="B51" s="42" t="s">
        <v>103</v>
      </c>
      <c r="C51" s="45" t="e">
        <f>C48-C49</f>
        <v>#N/A</v>
      </c>
      <c r="D51" s="45" t="e">
        <f t="shared" ref="D51:O51" si="3">D48-D49</f>
        <v>#N/A</v>
      </c>
      <c r="E51" s="45" t="e">
        <f t="shared" si="3"/>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1:19" s="27" customFormat="1" x14ac:dyDescent="0.25">
      <c r="B52" s="42" t="s">
        <v>104</v>
      </c>
      <c r="C52" s="231" t="e">
        <f>ABS(MAX(C48:N48)-MIN(C49:N49))</f>
        <v>#N/A</v>
      </c>
      <c r="D52" s="232"/>
      <c r="E52" s="232"/>
      <c r="F52" s="232"/>
      <c r="G52" s="232"/>
      <c r="H52" s="232"/>
      <c r="I52" s="232"/>
      <c r="J52" s="232"/>
      <c r="K52" s="232"/>
      <c r="L52" s="232"/>
      <c r="M52" s="232"/>
      <c r="N52" s="232"/>
      <c r="O52" s="233"/>
      <c r="P52" s="33"/>
    </row>
    <row r="53" spans="1:19" s="27" customFormat="1" x14ac:dyDescent="0.25">
      <c r="B53" s="42" t="s">
        <v>105</v>
      </c>
      <c r="C53" s="231" t="e">
        <f>AVERAGE(C50:N50)</f>
        <v>#N/A</v>
      </c>
      <c r="D53" s="232"/>
      <c r="E53" s="232"/>
      <c r="F53" s="232"/>
      <c r="G53" s="232"/>
      <c r="H53" s="232"/>
      <c r="I53" s="232"/>
      <c r="J53" s="232"/>
      <c r="K53" s="232"/>
      <c r="L53" s="232"/>
      <c r="M53" s="232"/>
      <c r="N53" s="232"/>
      <c r="O53" s="233"/>
      <c r="P53" s="33"/>
    </row>
    <row r="54" spans="1:19" s="27" customFormat="1" x14ac:dyDescent="0.25">
      <c r="B54" s="36" t="s">
        <v>106</v>
      </c>
      <c r="C54" s="46" t="e">
        <f ca="1">STDEV(OFFSET(INDEX(Donnees_Brutes_150[Connecteur 1],1),COUNT(Donnees_Brutes_150[Connecteur 1])-30,0,30))+C5+C6</f>
        <v>#REF!</v>
      </c>
      <c r="D54" s="46" t="e">
        <f ca="1">STDEV(OFFSET(INDEX(Donnees_Brutes_150[Connecteur 2],1),COUNT(Donnees_Brutes_150[Connecteur 2])-30,0,30))+D5+D6</f>
        <v>#REF!</v>
      </c>
      <c r="E54" s="46" t="e">
        <f ca="1">STDEV(OFFSET(INDEX(Donnees_Brutes_150[Connecteur 3],1),COUNT(Donnees_Brutes_150[Connecteur 3])-30,0,30))+E5+E6</f>
        <v>#REF!</v>
      </c>
      <c r="F54" s="46" t="e">
        <f ca="1">STDEV(OFFSET(INDEX(Donnees_Brutes_150[Connecteur 4],1),COUNT(Donnees_Brutes_150[Connecteur 4])-30,0,30))+F5+F6</f>
        <v>#REF!</v>
      </c>
      <c r="G54" s="46" t="e">
        <f ca="1">STDEV(OFFSET(INDEX(Donnees_Brutes_150[Connecteur 5],1),COUNT(Donnees_Brutes_150[Connecteur 5])-30,0,30))+G5+G6</f>
        <v>#REF!</v>
      </c>
      <c r="H54" s="46" t="e">
        <f ca="1">STDEV(OFFSET(INDEX(Donnees_Brutes_150[Connecteur 6],1),COUNT(Donnees_Brutes_150[Connecteur 6])-30,0,30))+H5+H6</f>
        <v>#REF!</v>
      </c>
      <c r="I54" s="46" t="e">
        <f ca="1">STDEV(OFFSET(INDEX(Donnees_Brutes_150[Connecteur 7],1),COUNT(Donnees_Brutes_150[Connecteur 7])-30,0,30))+I5+I6</f>
        <v>#REF!</v>
      </c>
      <c r="J54" s="46" t="e">
        <f ca="1">STDEV(OFFSET(INDEX(Donnees_Brutes_150[Connecteur 8],1),COUNT(Donnees_Brutes_150[Connecteur 8])-30,0,30))+J5+J6</f>
        <v>#REF!</v>
      </c>
      <c r="K54" s="46" t="e">
        <f ca="1">STDEV(OFFSET(INDEX(Donnees_Brutes_150[Connecteur 9],1),COUNT(Donnees_Brutes_150[Connecteur 9])-30,0,30))+K5+K6</f>
        <v>#REF!</v>
      </c>
      <c r="L54" s="46" t="e">
        <f ca="1">STDEV(OFFSET(INDEX(Donnees_Brutes_150[Connecteur 10],1),COUNT(Donnees_Brutes_150[Connecteur 10])-30,0,30))+L5+L6</f>
        <v>#REF!</v>
      </c>
      <c r="M54" s="46" t="e">
        <f ca="1">STDEV(OFFSET(INDEX(Donnees_Brutes_150[Connecteur 11],1),COUNT(Donnees_Brutes_150[Connecteur 11])-30,0,30))+M5+M6</f>
        <v>#REF!</v>
      </c>
      <c r="N54" s="46" t="e">
        <f ca="1">STDEV(OFFSET(INDEX(Donnees_Brutes_150[Connecteur 12],1),COUNT(Donnees_Brutes_150[Connecteur 12])-30,0,30))+N5+N6</f>
        <v>#REF!</v>
      </c>
      <c r="O54" s="46" t="e">
        <f ca="1">STDEV(OFFSET(INDEX(Donnees_Brutes_150[Connecteur 13],1),COUNT(Donnees_Brutes_150[Connecteur 13])-30,0,30))+O5+O6</f>
        <v>#REF!</v>
      </c>
      <c r="P54" s="33"/>
    </row>
    <row r="55" spans="1:19" s="27" customFormat="1" x14ac:dyDescent="0.25">
      <c r="A55"/>
      <c r="B55"/>
      <c r="C55"/>
      <c r="D55"/>
      <c r="E55"/>
      <c r="F55"/>
      <c r="G55"/>
      <c r="H55"/>
      <c r="I55"/>
      <c r="J55"/>
      <c r="K55"/>
      <c r="L55"/>
      <c r="M55"/>
      <c r="N55"/>
      <c r="O55"/>
      <c r="P55"/>
      <c r="Q55"/>
      <c r="R55"/>
    </row>
    <row r="56" spans="1:19" s="27" customFormat="1" x14ac:dyDescent="0.25"/>
  </sheetData>
  <sheetProtection algorithmName="SHA-512" hashValue="FRea/j5YZckIVh+55TZnp3JfQVTRbFW/B70wEUsBHijT4wFiq4w5M+KXDe5wPjJC/aUDEmyUuOWSCbJziPlWwg==" saltValue="OttXtSl0nkzqG5FwQcJXMQ==" spinCount="100000" sheet="1" objects="1" scenarios="1" autoFilter="0"/>
  <mergeCells count="6">
    <mergeCell ref="C53:O53"/>
    <mergeCell ref="A1:S3"/>
    <mergeCell ref="A9:N9"/>
    <mergeCell ref="A11:A41"/>
    <mergeCell ref="A46:XFD46"/>
    <mergeCell ref="C52:O52"/>
  </mergeCells>
  <conditionalFormatting sqref="C48:O48">
    <cfRule type="cellIs" dxfId="28" priority="2" operator="greaterThan">
      <formula>$P$48</formula>
    </cfRule>
    <cfRule type="cellIs" dxfId="27" priority="3" operator="greaterThan">
      <formula>$P$48</formula>
    </cfRule>
  </conditionalFormatting>
  <conditionalFormatting sqref="C49:O49">
    <cfRule type="cellIs" dxfId="26" priority="1" operator="lessThan">
      <formula>$P$49</formula>
    </cfRule>
    <cfRule type="cellIs" dxfId="25" priority="4" operator="lessThan">
      <formula>$P$49</formula>
    </cfRule>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55"/>
  <sheetViews>
    <sheetView topLeftCell="A38" workbookViewId="0">
      <selection activeCell="G15" sqref="G15"/>
    </sheetView>
  </sheetViews>
  <sheetFormatPr baseColWidth="10" defaultRowHeight="15" x14ac:dyDescent="0.25"/>
  <cols>
    <col min="1" max="1" width="11.140625" customWidth="1"/>
    <col min="2" max="2" width="15" bestFit="1" customWidth="1"/>
    <col min="3" max="11" width="12.7109375" bestFit="1" customWidth="1"/>
    <col min="12" max="15" width="13.7109375" bestFit="1" customWidth="1"/>
    <col min="18" max="18" width="15.28515625" bestFit="1" customWidth="1"/>
  </cols>
  <sheetData>
    <row r="1" spans="1:19" s="27" customFormat="1" x14ac:dyDescent="0.25">
      <c r="A1" s="191" t="str">
        <f>"190°C"</f>
        <v>190°C</v>
      </c>
      <c r="B1" s="191"/>
      <c r="C1" s="191"/>
      <c r="D1" s="191"/>
      <c r="E1" s="191"/>
      <c r="F1" s="191"/>
      <c r="G1" s="191"/>
      <c r="H1" s="191"/>
      <c r="I1" s="191"/>
      <c r="J1" s="191"/>
      <c r="K1" s="191"/>
      <c r="L1" s="191"/>
      <c r="M1" s="191"/>
      <c r="N1" s="191"/>
      <c r="O1" s="191"/>
      <c r="P1" s="191"/>
      <c r="Q1" s="191"/>
      <c r="R1" s="191"/>
      <c r="S1" s="191"/>
    </row>
    <row r="2" spans="1:19" s="27" customFormat="1" x14ac:dyDescent="0.25">
      <c r="A2" s="191"/>
      <c r="B2" s="191"/>
      <c r="C2" s="191"/>
      <c r="D2" s="191"/>
      <c r="E2" s="191"/>
      <c r="F2" s="191"/>
      <c r="G2" s="191"/>
      <c r="H2" s="191"/>
      <c r="I2" s="191"/>
      <c r="J2" s="191"/>
      <c r="K2" s="191"/>
      <c r="L2" s="191"/>
      <c r="M2" s="191"/>
      <c r="N2" s="191"/>
      <c r="O2" s="191"/>
      <c r="P2" s="191"/>
      <c r="Q2" s="191"/>
      <c r="R2" s="191"/>
      <c r="S2" s="191"/>
    </row>
    <row r="3" spans="1:19" s="27" customFormat="1" x14ac:dyDescent="0.25">
      <c r="A3" s="191"/>
      <c r="B3" s="191"/>
      <c r="C3" s="191"/>
      <c r="D3" s="191"/>
      <c r="E3" s="191"/>
      <c r="F3" s="191"/>
      <c r="G3" s="191"/>
      <c r="H3" s="191"/>
      <c r="I3" s="191"/>
      <c r="J3" s="191"/>
      <c r="K3" s="191"/>
      <c r="L3" s="191"/>
      <c r="M3" s="191"/>
      <c r="N3" s="191"/>
      <c r="O3" s="191"/>
      <c r="P3" s="191"/>
      <c r="Q3" s="191"/>
      <c r="R3" s="191"/>
      <c r="S3" s="191"/>
    </row>
    <row r="4" spans="1:19" s="27" customFormat="1" x14ac:dyDescent="0.25">
      <c r="P4" s="33"/>
    </row>
    <row r="5" spans="1:19" s="27" customFormat="1" x14ac:dyDescent="0.25">
      <c r="A5" s="146"/>
      <c r="B5" s="34" t="s">
        <v>24</v>
      </c>
      <c r="C5" s="35" t="e">
        <f>_xlfn.XLOOKUP(INT(SUBSTITUTE(C47,"Connecteur ","")),Mesures_Omia!C23:C35,Mesures_Omia!I23:I35)</f>
        <v>#N/A</v>
      </c>
      <c r="D5" s="35" t="e">
        <f>_xlfn.XLOOKUP(INT(SUBSTITUTE(D47,"Connecteur ","")),Mesures_Omia!C23:C35,Mesures_Omia!I23:I35)</f>
        <v>#N/A</v>
      </c>
      <c r="E5" s="35" t="e">
        <f>_xlfn.XLOOKUP(INT(SUBSTITUTE(E47,"Connecteur ","")),Mesures_Omia!C23:C35,Mesures_Omia!I23:I35)</f>
        <v>#N/A</v>
      </c>
      <c r="F5" s="35" t="e">
        <f>_xlfn.XLOOKUP(INT(SUBSTITUTE(F47,"Connecteur ","")),Mesures_Omia!C23:C35,Mesures_Omia!I23:I35)</f>
        <v>#N/A</v>
      </c>
      <c r="G5" s="35" t="e">
        <f>_xlfn.XLOOKUP(INT(SUBSTITUTE(G47,"Connecteur ","")),Mesures_Omia!C23:C35,Mesures_Omia!I23:I35)</f>
        <v>#N/A</v>
      </c>
      <c r="H5" s="35" t="e">
        <f>_xlfn.XLOOKUP(INT(SUBSTITUTE(H47,"Connecteur ","")),Mesures_Omia!C23:C35,Mesures_Omia!I23:I35)</f>
        <v>#N/A</v>
      </c>
      <c r="I5" s="35" t="e">
        <f>_xlfn.XLOOKUP(INT(SUBSTITUTE(I47,"Connecteur ","")),Mesures_Omia!C23:C35,Mesures_Omia!I23:I35)</f>
        <v>#N/A</v>
      </c>
      <c r="J5" s="35" t="e">
        <f>_xlfn.XLOOKUP(INT(SUBSTITUTE(J47,"Connecteur ","")),Mesures_Omia!C23:C35,Mesures_Omia!I23:I35)</f>
        <v>#N/A</v>
      </c>
      <c r="K5" s="35" t="e">
        <f>_xlfn.XLOOKUP(INT(SUBSTITUTE(K47,"Connecteur ","")),Mesures_Omia!C23:C35,Mesures_Omia!I23:I35)</f>
        <v>#N/A</v>
      </c>
      <c r="L5" s="35" t="e">
        <f>_xlfn.XLOOKUP(INT(SUBSTITUTE(L47,"Connecteur ","")),Mesures_Omia!C23:C35,Mesures_Omia!I23:I35)</f>
        <v>#N/A</v>
      </c>
      <c r="M5" s="35" t="e">
        <f>_xlfn.XLOOKUP(INT(SUBSTITUTE(M47,"Connecteur ","")),Mesures_Omia!C23:C35,Mesures_Omia!I23:I35)</f>
        <v>#N/A</v>
      </c>
      <c r="N5" s="35" t="e">
        <f>_xlfn.XLOOKUP(INT(SUBSTITUTE(N47,"Connecteur ","")),Mesures_Omia!C23:C35,Mesures_Omia!I23:I35)</f>
        <v>#N/A</v>
      </c>
      <c r="O5" s="35" t="e">
        <f>_xlfn.XLOOKUP(INT(SUBSTITUTE(O47,"Connecteur ","")),Mesures_Omia!C23:C35,Mesures_Omia!I23:I35)</f>
        <v>#N/A</v>
      </c>
      <c r="P5" s="33"/>
    </row>
    <row r="6" spans="1:19" s="27" customFormat="1" x14ac:dyDescent="0.25">
      <c r="A6" s="146"/>
      <c r="B6" s="34" t="s">
        <v>94</v>
      </c>
      <c r="C6" s="35" t="e">
        <f>_xlfn.XLOOKUP(INT(SUBSTITUTE(C47,"Connecteur ","")),Mesures_Omia!C23:C35,Mesures_Omia!F23:F35)</f>
        <v>#N/A</v>
      </c>
      <c r="D6" s="35" t="e">
        <f>_xlfn.XLOOKUP(INT(SUBSTITUTE(D47,"Connecteur ","")),Mesures_Omia!C23:C35,Mesures_Omia!F23:F35)</f>
        <v>#N/A</v>
      </c>
      <c r="E6" s="35" t="e">
        <f>_xlfn.XLOOKUP(INT(SUBSTITUTE(E47,"Connecteur ","")),Mesures_Omia!C23:C35,Mesures_Omia!F23:F35)</f>
        <v>#N/A</v>
      </c>
      <c r="F6" s="35" t="e">
        <f>_xlfn.XLOOKUP(INT(SUBSTITUTE(F47,"Connecteur ","")),Mesures_Omia!C23:C35,Mesures_Omia!F23:F35)</f>
        <v>#N/A</v>
      </c>
      <c r="G6" s="35" t="e">
        <f>_xlfn.XLOOKUP(INT(SUBSTITUTE(G47,"Connecteur ","")),Mesures_Omia!C23:C35,Mesures_Omia!F23:F35)</f>
        <v>#N/A</v>
      </c>
      <c r="H6" s="35" t="e">
        <f>_xlfn.XLOOKUP(INT(SUBSTITUTE(H47,"Connecteur ","")),Mesures_Omia!C23:C35,Mesures_Omia!F23:F35)</f>
        <v>#N/A</v>
      </c>
      <c r="I6" s="35" t="e">
        <f>_xlfn.XLOOKUP(INT(SUBSTITUTE(I47,"Connecteur ","")),Mesures_Omia!C23:C35,Mesures_Omia!F23:F35)</f>
        <v>#N/A</v>
      </c>
      <c r="J6" s="35" t="e">
        <f>_xlfn.XLOOKUP(INT(SUBSTITUTE(J47,"Connecteur ","")),Mesures_Omia!C23:C35,Mesures_Omia!F23:F35)</f>
        <v>#N/A</v>
      </c>
      <c r="K6" s="35" t="e">
        <f>_xlfn.XLOOKUP(INT(SUBSTITUTE(K47,"Connecteur ","")),Mesures_Omia!C23:C35,Mesures_Omia!F23:F35)</f>
        <v>#N/A</v>
      </c>
      <c r="L6" s="35" t="e">
        <f>_xlfn.XLOOKUP(INT(SUBSTITUTE(L47,"Connecteur ","")),Mesures_Omia!C23:C35,Mesures_Omia!F23:F35)</f>
        <v>#N/A</v>
      </c>
      <c r="M6" s="35" t="e">
        <f>_xlfn.XLOOKUP(INT(SUBSTITUTE(M47,"Connecteur ","")),Mesures_Omia!C23:C35,Mesures_Omia!F23:F35)</f>
        <v>#N/A</v>
      </c>
      <c r="N6" s="35" t="e">
        <f>_xlfn.XLOOKUP(INT(SUBSTITUTE(N47,"Connecteur ","")),Mesures_Omia!C23:C35,Mesures_Omia!F23:F35)</f>
        <v>#N/A</v>
      </c>
      <c r="O6" s="35" t="e">
        <f>_xlfn.XLOOKUP(INT(SUBSTITUTE(O47,"Connecteur ","")),Mesures_Omia!C23:C35,Mesures_Omia!F23:F35)</f>
        <v>#N/A</v>
      </c>
      <c r="P6" s="33"/>
    </row>
    <row r="7" spans="1:19" s="27" customFormat="1" x14ac:dyDescent="0.25">
      <c r="P7" s="33"/>
    </row>
    <row r="8" spans="1:19" s="27" customFormat="1" x14ac:dyDescent="0.25">
      <c r="P8" s="33"/>
    </row>
    <row r="9" spans="1:19" s="27" customFormat="1" x14ac:dyDescent="0.25">
      <c r="A9" s="192" t="s">
        <v>95</v>
      </c>
      <c r="B9" s="192"/>
      <c r="C9" s="192"/>
      <c r="D9" s="192"/>
      <c r="E9" s="192"/>
      <c r="F9" s="192"/>
      <c r="G9" s="192"/>
      <c r="H9" s="192"/>
      <c r="I9" s="192"/>
      <c r="J9" s="192"/>
      <c r="K9" s="192"/>
      <c r="L9" s="192"/>
      <c r="M9" s="192"/>
      <c r="N9" s="192"/>
      <c r="P9" s="33"/>
    </row>
    <row r="10" spans="1:19" s="27" customFormat="1" x14ac:dyDescent="0.25">
      <c r="A10" s="33"/>
      <c r="B10" s="34" t="str">
        <f>Donnees_Brutes_190[[#Headers],[Date/Heure]]</f>
        <v>Date/Heure</v>
      </c>
      <c r="C10" s="36" t="str" cm="1">
        <f t="array" ref="C10:O10">Donnees_Brutes_190[[#Headers],[Connecteur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234" t="s">
        <v>96</v>
      </c>
      <c r="B11" s="145" cm="1">
        <f t="array" ref="B11">Donnees_Brutes_190[Date/Heure]</f>
        <v>0</v>
      </c>
      <c r="C11" s="130" t="e" cm="1">
        <f t="array" ref="C11:O11">Donnees_Brutes_190[[Connecteur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x14ac:dyDescent="0.25">
      <c r="A12" s="235"/>
      <c r="B12" s="145"/>
      <c r="C12" s="130"/>
      <c r="D12" s="130"/>
      <c r="E12" s="130"/>
      <c r="F12" s="130"/>
      <c r="G12" s="130"/>
      <c r="H12" s="130"/>
      <c r="I12" s="130"/>
      <c r="J12" s="130"/>
      <c r="K12" s="130"/>
      <c r="L12" s="130"/>
      <c r="M12" s="130"/>
      <c r="N12" s="130"/>
      <c r="O12" s="130"/>
      <c r="P12" s="33"/>
    </row>
    <row r="13" spans="1:19" x14ac:dyDescent="0.25">
      <c r="A13" s="235"/>
      <c r="B13" s="145"/>
      <c r="C13" s="130"/>
      <c r="D13" s="130"/>
      <c r="E13" s="130"/>
      <c r="F13" s="130"/>
      <c r="G13" s="130"/>
      <c r="H13" s="130"/>
      <c r="I13" s="130"/>
      <c r="J13" s="130"/>
      <c r="K13" s="130"/>
      <c r="L13" s="130"/>
      <c r="M13" s="130"/>
      <c r="N13" s="130"/>
      <c r="O13" s="130"/>
    </row>
    <row r="14" spans="1:19" x14ac:dyDescent="0.25">
      <c r="A14" s="235"/>
      <c r="B14" s="145"/>
      <c r="C14" s="130"/>
      <c r="D14" s="130"/>
      <c r="E14" s="130"/>
      <c r="F14" s="130"/>
      <c r="G14" s="130"/>
      <c r="H14" s="130"/>
      <c r="I14" s="130"/>
      <c r="J14" s="130"/>
      <c r="K14" s="130"/>
      <c r="L14" s="130"/>
      <c r="M14" s="130"/>
      <c r="N14" s="130"/>
      <c r="O14" s="130"/>
    </row>
    <row r="15" spans="1:19" x14ac:dyDescent="0.25">
      <c r="A15" s="235"/>
      <c r="B15" s="145"/>
      <c r="C15" s="130"/>
      <c r="D15" s="130"/>
      <c r="E15" s="130"/>
      <c r="F15" s="130"/>
      <c r="G15" s="130"/>
      <c r="H15" s="130"/>
      <c r="I15" s="130"/>
      <c r="J15" s="130"/>
      <c r="K15" s="130"/>
      <c r="L15" s="130"/>
      <c r="M15" s="130"/>
      <c r="N15" s="130"/>
      <c r="O15" s="130"/>
    </row>
    <row r="16" spans="1:19" x14ac:dyDescent="0.25">
      <c r="A16" s="235"/>
      <c r="B16" s="145"/>
      <c r="C16" s="130"/>
      <c r="D16" s="130"/>
      <c r="E16" s="130"/>
      <c r="F16" s="130"/>
      <c r="G16" s="130"/>
      <c r="H16" s="130"/>
      <c r="I16" s="130"/>
      <c r="J16" s="130"/>
      <c r="K16" s="130"/>
      <c r="L16" s="130"/>
      <c r="M16" s="130"/>
      <c r="N16" s="130"/>
      <c r="O16" s="130"/>
    </row>
    <row r="17" spans="1:16" x14ac:dyDescent="0.25">
      <c r="A17" s="235"/>
      <c r="B17" s="145"/>
      <c r="C17" s="130"/>
      <c r="D17" s="130"/>
      <c r="E17" s="130"/>
      <c r="F17" s="130"/>
      <c r="G17" s="130"/>
      <c r="H17" s="130"/>
      <c r="I17" s="130"/>
      <c r="J17" s="130"/>
      <c r="K17" s="130"/>
      <c r="L17" s="130"/>
      <c r="M17" s="130"/>
      <c r="N17" s="130"/>
      <c r="O17" s="130"/>
    </row>
    <row r="18" spans="1:16" x14ac:dyDescent="0.25">
      <c r="A18" s="235"/>
      <c r="B18" s="145"/>
      <c r="C18" s="130"/>
      <c r="D18" s="130"/>
      <c r="E18" s="130"/>
      <c r="F18" s="130"/>
      <c r="G18" s="130"/>
      <c r="H18" s="130"/>
      <c r="I18" s="130"/>
      <c r="J18" s="130"/>
      <c r="K18" s="130"/>
      <c r="L18" s="130"/>
      <c r="M18" s="130"/>
      <c r="N18" s="130"/>
      <c r="O18" s="130"/>
    </row>
    <row r="19" spans="1:16" x14ac:dyDescent="0.25">
      <c r="A19" s="235"/>
      <c r="B19" s="145"/>
      <c r="C19" s="130"/>
      <c r="D19" s="130"/>
      <c r="E19" s="130"/>
      <c r="F19" s="130"/>
      <c r="G19" s="130"/>
      <c r="H19" s="130"/>
      <c r="I19" s="130"/>
      <c r="J19" s="130"/>
      <c r="K19" s="130"/>
      <c r="L19" s="130"/>
      <c r="M19" s="130"/>
      <c r="N19" s="130"/>
      <c r="O19" s="130"/>
    </row>
    <row r="20" spans="1:16" x14ac:dyDescent="0.25">
      <c r="A20" s="235"/>
      <c r="B20" s="145"/>
      <c r="C20" s="130"/>
      <c r="D20" s="130"/>
      <c r="E20" s="130"/>
      <c r="F20" s="130"/>
      <c r="G20" s="130"/>
      <c r="H20" s="130"/>
      <c r="I20" s="130"/>
      <c r="J20" s="130"/>
      <c r="K20" s="130"/>
      <c r="L20" s="130"/>
      <c r="M20" s="130"/>
      <c r="N20" s="130"/>
      <c r="O20" s="130"/>
    </row>
    <row r="21" spans="1:16" x14ac:dyDescent="0.25">
      <c r="A21" s="235"/>
      <c r="B21" s="145"/>
      <c r="C21" s="130"/>
      <c r="D21" s="130"/>
      <c r="E21" s="130"/>
      <c r="F21" s="130"/>
      <c r="G21" s="130"/>
      <c r="H21" s="130"/>
      <c r="I21" s="130"/>
      <c r="J21" s="130"/>
      <c r="K21" s="130"/>
      <c r="L21" s="130"/>
      <c r="M21" s="130"/>
      <c r="N21" s="130"/>
      <c r="O21" s="130"/>
    </row>
    <row r="22" spans="1:16" x14ac:dyDescent="0.25">
      <c r="A22" s="235"/>
      <c r="B22" s="145"/>
      <c r="C22" s="130"/>
      <c r="D22" s="130"/>
      <c r="E22" s="130"/>
      <c r="F22" s="130"/>
      <c r="G22" s="130"/>
      <c r="H22" s="130"/>
      <c r="I22" s="130"/>
      <c r="J22" s="130"/>
      <c r="K22" s="130"/>
      <c r="L22" s="130"/>
      <c r="M22" s="130"/>
      <c r="N22" s="130"/>
      <c r="O22" s="130"/>
    </row>
    <row r="23" spans="1:16" s="27" customFormat="1" x14ac:dyDescent="0.25">
      <c r="A23" s="235"/>
      <c r="B23" s="145"/>
      <c r="C23" s="130"/>
      <c r="D23" s="130"/>
      <c r="E23" s="130"/>
      <c r="F23" s="130"/>
      <c r="G23" s="130"/>
      <c r="H23" s="130"/>
      <c r="I23" s="130"/>
      <c r="J23" s="130"/>
      <c r="K23" s="130"/>
      <c r="L23" s="130"/>
      <c r="M23" s="130"/>
      <c r="N23" s="130"/>
      <c r="O23" s="130"/>
      <c r="P23" s="33"/>
    </row>
    <row r="24" spans="1:16" x14ac:dyDescent="0.25">
      <c r="A24" s="235"/>
      <c r="B24" s="145"/>
      <c r="C24" s="130"/>
      <c r="D24" s="130"/>
      <c r="E24" s="130"/>
      <c r="F24" s="130"/>
      <c r="G24" s="130"/>
      <c r="H24" s="130"/>
      <c r="I24" s="130"/>
      <c r="J24" s="130"/>
      <c r="K24" s="130"/>
      <c r="L24" s="130"/>
      <c r="M24" s="130"/>
      <c r="N24" s="130"/>
      <c r="O24" s="130"/>
    </row>
    <row r="25" spans="1:16" x14ac:dyDescent="0.25">
      <c r="A25" s="235"/>
      <c r="B25" s="145"/>
      <c r="C25" s="130"/>
      <c r="D25" s="130"/>
      <c r="E25" s="130"/>
      <c r="F25" s="130"/>
      <c r="G25" s="130"/>
      <c r="H25" s="130"/>
      <c r="I25" s="130"/>
      <c r="J25" s="130"/>
      <c r="K25" s="130"/>
      <c r="L25" s="130"/>
      <c r="M25" s="130"/>
      <c r="N25" s="130"/>
      <c r="O25" s="130"/>
    </row>
    <row r="26" spans="1:16" x14ac:dyDescent="0.25">
      <c r="A26" s="235"/>
      <c r="B26" s="145"/>
      <c r="C26" s="130"/>
      <c r="D26" s="130"/>
      <c r="E26" s="130"/>
      <c r="F26" s="130"/>
      <c r="G26" s="130"/>
      <c r="H26" s="130"/>
      <c r="I26" s="130"/>
      <c r="J26" s="130"/>
      <c r="K26" s="130"/>
      <c r="L26" s="130"/>
      <c r="M26" s="130"/>
      <c r="N26" s="130"/>
      <c r="O26" s="130"/>
    </row>
    <row r="27" spans="1:16" x14ac:dyDescent="0.25">
      <c r="A27" s="235"/>
      <c r="B27" s="145"/>
      <c r="C27" s="130"/>
      <c r="D27" s="130"/>
      <c r="E27" s="130"/>
      <c r="F27" s="130"/>
      <c r="G27" s="130"/>
      <c r="H27" s="130"/>
      <c r="I27" s="130"/>
      <c r="J27" s="130"/>
      <c r="K27" s="130"/>
      <c r="L27" s="130"/>
      <c r="M27" s="130"/>
      <c r="N27" s="130"/>
      <c r="O27" s="130"/>
    </row>
    <row r="28" spans="1:16" x14ac:dyDescent="0.25">
      <c r="A28" s="235"/>
      <c r="B28" s="145"/>
      <c r="C28" s="130"/>
      <c r="D28" s="130"/>
      <c r="E28" s="130"/>
      <c r="F28" s="130"/>
      <c r="G28" s="130"/>
      <c r="H28" s="130"/>
      <c r="I28" s="130"/>
      <c r="J28" s="130"/>
      <c r="K28" s="130"/>
      <c r="L28" s="130"/>
      <c r="M28" s="130"/>
      <c r="N28" s="130"/>
      <c r="O28" s="130"/>
    </row>
    <row r="29" spans="1:16" x14ac:dyDescent="0.25">
      <c r="A29" s="235"/>
      <c r="B29" s="145"/>
      <c r="C29" s="130"/>
      <c r="D29" s="130"/>
      <c r="E29" s="130"/>
      <c r="F29" s="130"/>
      <c r="G29" s="130"/>
      <c r="H29" s="130"/>
      <c r="I29" s="130"/>
      <c r="J29" s="130"/>
      <c r="K29" s="130"/>
      <c r="L29" s="130"/>
      <c r="M29" s="130"/>
      <c r="N29" s="130"/>
      <c r="O29" s="130"/>
    </row>
    <row r="30" spans="1:16" x14ac:dyDescent="0.25">
      <c r="A30" s="235"/>
      <c r="B30" s="145"/>
      <c r="C30" s="130"/>
      <c r="D30" s="130"/>
      <c r="E30" s="130"/>
      <c r="F30" s="130"/>
      <c r="G30" s="130"/>
      <c r="H30" s="130"/>
      <c r="I30" s="130"/>
      <c r="J30" s="130"/>
      <c r="K30" s="130"/>
      <c r="L30" s="130"/>
      <c r="M30" s="130"/>
      <c r="N30" s="130"/>
      <c r="O30" s="130"/>
    </row>
    <row r="31" spans="1:16" x14ac:dyDescent="0.25">
      <c r="A31" s="235"/>
      <c r="B31" s="145"/>
      <c r="C31" s="130"/>
      <c r="D31" s="130"/>
      <c r="E31" s="130"/>
      <c r="F31" s="130"/>
      <c r="G31" s="130"/>
      <c r="H31" s="130"/>
      <c r="I31" s="130"/>
      <c r="J31" s="130"/>
      <c r="K31" s="130"/>
      <c r="L31" s="130"/>
      <c r="M31" s="130"/>
      <c r="N31" s="130"/>
      <c r="O31" s="130"/>
    </row>
    <row r="32" spans="1:16" x14ac:dyDescent="0.25">
      <c r="A32" s="235"/>
      <c r="B32" s="145"/>
      <c r="C32" s="130"/>
      <c r="D32" s="130"/>
      <c r="E32" s="130"/>
      <c r="F32" s="130"/>
      <c r="G32" s="130"/>
      <c r="H32" s="130"/>
      <c r="I32" s="130"/>
      <c r="J32" s="130"/>
      <c r="K32" s="130"/>
      <c r="L32" s="130"/>
      <c r="M32" s="130"/>
      <c r="N32" s="130"/>
      <c r="O32" s="130"/>
    </row>
    <row r="33" spans="1:19" x14ac:dyDescent="0.25">
      <c r="A33" s="235"/>
      <c r="B33" s="145"/>
      <c r="C33" s="130"/>
      <c r="D33" s="130"/>
      <c r="E33" s="130"/>
      <c r="F33" s="130"/>
      <c r="G33" s="130"/>
      <c r="H33" s="130"/>
      <c r="I33" s="130"/>
      <c r="J33" s="130"/>
      <c r="K33" s="130"/>
      <c r="L33" s="130"/>
      <c r="M33" s="130"/>
      <c r="N33" s="130"/>
      <c r="O33" s="130"/>
    </row>
    <row r="34" spans="1:19" x14ac:dyDescent="0.25">
      <c r="A34" s="235"/>
      <c r="B34" s="145"/>
      <c r="C34" s="130"/>
      <c r="D34" s="130"/>
      <c r="E34" s="130"/>
      <c r="F34" s="130"/>
      <c r="G34" s="130"/>
      <c r="H34" s="130"/>
      <c r="I34" s="130"/>
      <c r="J34" s="130"/>
      <c r="K34" s="130"/>
      <c r="L34" s="130"/>
      <c r="M34" s="130"/>
      <c r="N34" s="130"/>
      <c r="O34" s="130"/>
    </row>
    <row r="35" spans="1:19" x14ac:dyDescent="0.25">
      <c r="A35" s="235"/>
      <c r="B35" s="145"/>
      <c r="C35" s="130"/>
      <c r="D35" s="130"/>
      <c r="E35" s="130"/>
      <c r="F35" s="130"/>
      <c r="G35" s="130"/>
      <c r="H35" s="130"/>
      <c r="I35" s="130"/>
      <c r="J35" s="130"/>
      <c r="K35" s="130"/>
      <c r="L35" s="130"/>
      <c r="M35" s="130"/>
      <c r="N35" s="130"/>
      <c r="O35" s="130"/>
    </row>
    <row r="36" spans="1:19" x14ac:dyDescent="0.25">
      <c r="A36" s="235"/>
      <c r="B36" s="145"/>
      <c r="C36" s="130"/>
      <c r="D36" s="130"/>
      <c r="E36" s="130"/>
      <c r="F36" s="130"/>
      <c r="G36" s="130"/>
      <c r="H36" s="130"/>
      <c r="I36" s="130"/>
      <c r="J36" s="130"/>
      <c r="K36" s="130"/>
      <c r="L36" s="130"/>
      <c r="M36" s="130"/>
      <c r="N36" s="130"/>
      <c r="O36" s="130"/>
    </row>
    <row r="37" spans="1:19" x14ac:dyDescent="0.25">
      <c r="A37" s="235"/>
      <c r="B37" s="145"/>
      <c r="C37" s="130"/>
      <c r="D37" s="130"/>
      <c r="E37" s="130"/>
      <c r="F37" s="130"/>
      <c r="G37" s="130"/>
      <c r="H37" s="130"/>
      <c r="I37" s="130"/>
      <c r="J37" s="130"/>
      <c r="K37" s="130"/>
      <c r="L37" s="130"/>
      <c r="M37" s="130"/>
      <c r="N37" s="130"/>
      <c r="O37" s="130"/>
    </row>
    <row r="38" spans="1:19" x14ac:dyDescent="0.25">
      <c r="A38" s="235"/>
      <c r="B38" s="145"/>
      <c r="C38" s="130"/>
      <c r="D38" s="130"/>
      <c r="E38" s="130"/>
      <c r="F38" s="130"/>
      <c r="G38" s="130"/>
      <c r="H38" s="130"/>
      <c r="I38" s="130"/>
      <c r="J38" s="130"/>
      <c r="K38" s="130"/>
      <c r="L38" s="130"/>
      <c r="M38" s="130"/>
      <c r="N38" s="130"/>
      <c r="O38" s="130"/>
    </row>
    <row r="39" spans="1:19" x14ac:dyDescent="0.25">
      <c r="A39" s="235"/>
      <c r="B39" s="145"/>
      <c r="C39" s="130"/>
      <c r="D39" s="130"/>
      <c r="E39" s="130"/>
      <c r="F39" s="130"/>
      <c r="G39" s="130"/>
      <c r="H39" s="130"/>
      <c r="I39" s="130"/>
      <c r="J39" s="130"/>
      <c r="K39" s="130"/>
      <c r="L39" s="130"/>
      <c r="M39" s="130"/>
      <c r="N39" s="130"/>
      <c r="O39" s="130"/>
    </row>
    <row r="40" spans="1:19" x14ac:dyDescent="0.25">
      <c r="A40" s="235"/>
      <c r="B40" s="145"/>
      <c r="C40" s="130"/>
      <c r="D40" s="130"/>
      <c r="E40" s="130"/>
      <c r="F40" s="130"/>
      <c r="G40" s="130"/>
      <c r="H40" s="130"/>
      <c r="I40" s="130"/>
      <c r="J40" s="130"/>
      <c r="K40" s="130"/>
      <c r="L40" s="130"/>
      <c r="M40" s="130"/>
      <c r="N40" s="130"/>
      <c r="O40" s="130"/>
    </row>
    <row r="41" spans="1:19" x14ac:dyDescent="0.25">
      <c r="A41" s="235"/>
      <c r="B41" s="145"/>
      <c r="C41" s="130"/>
      <c r="D41" s="130"/>
      <c r="E41" s="130"/>
      <c r="F41" s="130"/>
      <c r="G41" s="130"/>
      <c r="H41" s="130"/>
      <c r="I41" s="130"/>
      <c r="J41" s="130"/>
      <c r="K41" s="130"/>
      <c r="L41" s="130"/>
      <c r="M41" s="130"/>
      <c r="N41" s="130"/>
      <c r="O41" s="130"/>
    </row>
    <row r="46" spans="1:19" s="193" customFormat="1" x14ac:dyDescent="0.25"/>
    <row r="47" spans="1:19" s="27" customFormat="1" x14ac:dyDescent="0.25">
      <c r="C47" s="41" t="str" cm="1">
        <f t="array" ref="C47:O47">Donnees_Brutes_190[[#Headers],[Connecteur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36" t="str">
        <v>Connecteur 13</v>
      </c>
      <c r="P47" s="33"/>
    </row>
    <row r="48" spans="1:19" s="27" customFormat="1" x14ac:dyDescent="0.25">
      <c r="B48" s="42" t="s">
        <v>98</v>
      </c>
      <c r="C48" s="43" t="e">
        <f>MAX(C11:C41)</f>
        <v>#N/A</v>
      </c>
      <c r="D48" s="43" t="e">
        <f t="shared" ref="D48:O48" si="0">MAX(D11:D41)</f>
        <v>#N/A</v>
      </c>
      <c r="E48" s="43" t="e">
        <f t="shared" si="0"/>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190+Mesures_Omia!B20</f>
        <v>190</v>
      </c>
      <c r="Q48" s="33"/>
      <c r="R48" s="36" t="s">
        <v>7</v>
      </c>
      <c r="S48" s="48">
        <f>190</f>
        <v>190</v>
      </c>
    </row>
    <row r="49" spans="1:19" s="27" customFormat="1" x14ac:dyDescent="0.25">
      <c r="B49" s="42" t="s">
        <v>100</v>
      </c>
      <c r="C49" s="43" t="e">
        <f>MIN(C11:C41)</f>
        <v>#N/A</v>
      </c>
      <c r="D49" s="43" t="e">
        <f t="shared" ref="D49:O49" si="1">MIN(D11:D41)</f>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190-Mesures_Omia!B20</f>
        <v>190</v>
      </c>
      <c r="Q49" s="33"/>
      <c r="R49" s="36" t="s">
        <v>99</v>
      </c>
      <c r="S49" s="35" t="str">
        <f>"+" &amp; Mesures_Omia!B20 &amp; "°C"</f>
        <v>+°C</v>
      </c>
    </row>
    <row r="50" spans="1:19" s="27" customFormat="1" x14ac:dyDescent="0.25">
      <c r="B50" s="42" t="s">
        <v>102</v>
      </c>
      <c r="C50" s="43" t="e">
        <f>AVERAGE(C11:C41)</f>
        <v>#N/A</v>
      </c>
      <c r="D50" s="43" t="e">
        <f t="shared" ref="D50:O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33"/>
      <c r="Q50" s="33"/>
      <c r="R50" s="36" t="s">
        <v>101</v>
      </c>
      <c r="S50" s="35" t="str">
        <f>"-" &amp; Mesures_Omia!B20 &amp; "°C"</f>
        <v>-°C</v>
      </c>
    </row>
    <row r="51" spans="1:19" s="27" customFormat="1" x14ac:dyDescent="0.25">
      <c r="B51" s="42" t="s">
        <v>103</v>
      </c>
      <c r="C51" s="45" t="e">
        <f>C48-C49</f>
        <v>#N/A</v>
      </c>
      <c r="D51" s="45" t="e">
        <f>D48-D49</f>
        <v>#N/A</v>
      </c>
      <c r="E51" s="45" t="e">
        <f t="shared" ref="E51:O51" si="3">E48-E49</f>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1:19" s="27" customFormat="1" x14ac:dyDescent="0.25">
      <c r="B52" s="42" t="s">
        <v>104</v>
      </c>
      <c r="C52" s="194" t="e">
        <f>ABS(MAX(C48:N48)-MIN(C49:N49))</f>
        <v>#N/A</v>
      </c>
      <c r="D52" s="194"/>
      <c r="E52" s="194"/>
      <c r="F52" s="194"/>
      <c r="G52" s="194"/>
      <c r="H52" s="194"/>
      <c r="I52" s="194"/>
      <c r="J52" s="194"/>
      <c r="K52" s="194"/>
      <c r="L52" s="194"/>
      <c r="M52" s="194"/>
      <c r="N52" s="194"/>
      <c r="O52" s="194"/>
      <c r="P52" s="194"/>
    </row>
    <row r="53" spans="1:19" s="27" customFormat="1" x14ac:dyDescent="0.25">
      <c r="B53" s="42" t="s">
        <v>105</v>
      </c>
      <c r="C53" s="194" t="e">
        <f>AVERAGE(C50:N50)</f>
        <v>#N/A</v>
      </c>
      <c r="D53" s="194"/>
      <c r="E53" s="194"/>
      <c r="F53" s="194"/>
      <c r="G53" s="194"/>
      <c r="H53" s="194"/>
      <c r="I53" s="194"/>
      <c r="J53" s="194"/>
      <c r="K53" s="194"/>
      <c r="L53" s="194"/>
      <c r="M53" s="194"/>
      <c r="N53" s="194"/>
      <c r="O53" s="194"/>
      <c r="P53" s="194"/>
    </row>
    <row r="54" spans="1:19" s="27" customFormat="1" x14ac:dyDescent="0.25">
      <c r="B54" s="36" t="s">
        <v>106</v>
      </c>
      <c r="C54" s="46" t="e">
        <f ca="1">STDEV(OFFSET(INDEX(Donnees_Brutes_190[Connecteur 1],1),COUNT(Donnees_Brutes_190[Connecteur 1])-30,0,30))+C5+C6</f>
        <v>#REF!</v>
      </c>
      <c r="D54" s="46" t="e">
        <f ca="1">STDEV(OFFSET(INDEX(Donnees_Brutes_190[Connecteur 2],1),COUNT(Donnees_Brutes_190[Connecteur 2])-30,0,30))+D5+D6</f>
        <v>#REF!</v>
      </c>
      <c r="E54" s="46" t="e">
        <f ca="1">STDEV(OFFSET(INDEX(Donnees_Brutes_190[Connecteur 3],1),COUNT(Donnees_Brutes_190[Connecteur 3])-30,0,30))+E5+E6</f>
        <v>#REF!</v>
      </c>
      <c r="F54" s="46" t="e">
        <f ca="1">STDEV(OFFSET(INDEX(Donnees_Brutes_190[Connecteur 4],1),COUNT(Donnees_Brutes_190[Connecteur 4])-30,0,30))+F5+F6</f>
        <v>#REF!</v>
      </c>
      <c r="G54" s="46" t="e">
        <f ca="1">STDEV(OFFSET(INDEX(Donnees_Brutes_190[Connecteur 5],1),COUNT(Donnees_Brutes_190[Connecteur 5])-30,0,30))+G5+G6</f>
        <v>#REF!</v>
      </c>
      <c r="H54" s="46" t="e">
        <f ca="1">STDEV(OFFSET(INDEX(Donnees_Brutes_190[Connecteur 6],1),COUNT(Donnees_Brutes_190[Connecteur 6])-30,0,30))+H5+H6</f>
        <v>#REF!</v>
      </c>
      <c r="I54" s="46" t="e">
        <f ca="1">STDEV(OFFSET(INDEX(Donnees_Brutes_190[Connecteur 7],1),COUNT(Donnees_Brutes_190[Connecteur 7])-30,0,30))+I5+I6</f>
        <v>#REF!</v>
      </c>
      <c r="J54" s="46" t="e">
        <f ca="1">STDEV(OFFSET(INDEX(Donnees_Brutes_190[Connecteur 8],1),COUNT(Donnees_Brutes_190[Connecteur 8])-30,0,30))+J5+J6</f>
        <v>#REF!</v>
      </c>
      <c r="K54" s="46" t="e">
        <f ca="1">STDEV(OFFSET(INDEX(Donnees_Brutes_190[Connecteur 9],1),COUNT(Donnees_Brutes_190[Connecteur 9])-30,0,30))+K5+K6</f>
        <v>#REF!</v>
      </c>
      <c r="L54" s="46" t="e">
        <f ca="1">STDEV(OFFSET(INDEX(Donnees_Brutes_190[Connecteur 10],1),COUNT(Donnees_Brutes_190[Connecteur 10])-30,0,30))+L5+L6</f>
        <v>#REF!</v>
      </c>
      <c r="M54" s="46" t="e">
        <f ca="1">STDEV(OFFSET(INDEX(Donnees_Brutes_190[Connecteur 11],1),COUNT(Donnees_Brutes_190[Connecteur 11])-30,0,30))+M5+M6</f>
        <v>#REF!</v>
      </c>
      <c r="N54" s="46" t="e">
        <f ca="1">STDEV(OFFSET(INDEX(Donnees_Brutes_190[Connecteur 12],1),COUNT(Donnees_Brutes_190[Connecteur 12])-30,0,30))+N5+N6</f>
        <v>#REF!</v>
      </c>
      <c r="O54" s="46" t="e">
        <f ca="1">STDEV(OFFSET(INDEX(Donnees_Brutes_190[Connecteur 13],1),COUNT(Donnees_Brutes_190[Connecteur 13])-30,0,30))+O5+O6</f>
        <v>#REF!</v>
      </c>
      <c r="P54" s="33"/>
    </row>
    <row r="55" spans="1:19" s="27" customFormat="1" x14ac:dyDescent="0.25">
      <c r="A55"/>
      <c r="B55"/>
      <c r="C55"/>
      <c r="D55"/>
      <c r="E55"/>
      <c r="F55"/>
      <c r="G55"/>
      <c r="H55"/>
      <c r="I55"/>
      <c r="J55"/>
      <c r="K55"/>
      <c r="L55"/>
      <c r="M55"/>
      <c r="N55"/>
      <c r="O55"/>
      <c r="P55"/>
    </row>
  </sheetData>
  <sheetProtection algorithmName="SHA-512" hashValue="+XtklOynulNmc4ZqbAxMgT/irnFJ75Ht/wS1BtKNK8kBZWPkA2M0+hJmbWhWE35fXtUcyYWxxmIqIYUAgaCP8g==" saltValue="NlsLaj2J0FoBAycFM+JPEw==" spinCount="100000" sheet="1" objects="1" scenarios="1" autoFilter="0"/>
  <mergeCells count="6">
    <mergeCell ref="C53:P53"/>
    <mergeCell ref="A1:S3"/>
    <mergeCell ref="A9:N9"/>
    <mergeCell ref="A11:A41"/>
    <mergeCell ref="A46:XFD46"/>
    <mergeCell ref="C52:P52"/>
  </mergeCells>
  <conditionalFormatting sqref="C48:O48">
    <cfRule type="cellIs" dxfId="24" priority="1" operator="greaterThan">
      <formula>$P$48</formula>
    </cfRule>
  </conditionalFormatting>
  <conditionalFormatting sqref="C49:O49">
    <cfRule type="cellIs" dxfId="23" priority="2" operator="lessThan">
      <formula>$P$49</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2"/>
  <sheetViews>
    <sheetView view="pageBreakPreview" topLeftCell="A438" zoomScale="60" zoomScaleNormal="100" zoomScalePageLayoutView="60" workbookViewId="0">
      <selection activeCell="B7" sqref="B7"/>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236" t="s">
        <v>273</v>
      </c>
      <c r="C4" s="237"/>
      <c r="D4" s="237"/>
      <c r="E4" s="237"/>
      <c r="F4" s="237"/>
    </row>
    <row r="5" spans="2:9" ht="26.25" x14ac:dyDescent="0.25">
      <c r="B5" s="237"/>
      <c r="C5" s="237"/>
      <c r="D5" s="237"/>
      <c r="E5" s="237"/>
      <c r="F5" s="237"/>
      <c r="G5" s="88"/>
      <c r="H5" s="88"/>
      <c r="I5" s="89"/>
    </row>
    <row r="6" spans="2:9" ht="58.5" customHeight="1" x14ac:dyDescent="0.25">
      <c r="B6" s="237"/>
      <c r="C6" s="237"/>
      <c r="D6" s="237"/>
      <c r="E6" s="237"/>
      <c r="F6" s="237"/>
    </row>
    <row r="10" spans="2:9" ht="21" x14ac:dyDescent="0.25">
      <c r="C10" s="196" t="s">
        <v>145</v>
      </c>
      <c r="D10" s="196"/>
      <c r="E10" s="197">
        <f>Mesures_Omia!D5</f>
        <v>0</v>
      </c>
      <c r="F10" s="197"/>
    </row>
    <row r="11" spans="2:9" ht="21" x14ac:dyDescent="0.25">
      <c r="C11" s="90"/>
      <c r="D11" s="90"/>
      <c r="E11" s="91"/>
      <c r="F11" s="91"/>
    </row>
    <row r="12" spans="2:9" x14ac:dyDescent="0.25">
      <c r="C12" s="92" t="s">
        <v>1</v>
      </c>
      <c r="D12" s="147">
        <f>Mesures_Omia!C7</f>
        <v>0</v>
      </c>
      <c r="F12" s="92" t="s">
        <v>19</v>
      </c>
      <c r="G12" s="147">
        <f>Mesures_Omia!G7</f>
        <v>0</v>
      </c>
    </row>
    <row r="13" spans="2:9" ht="15.75" x14ac:dyDescent="0.25">
      <c r="C13" s="94" t="s">
        <v>2</v>
      </c>
      <c r="D13" s="148">
        <f>Mesures_Omia!C8</f>
        <v>0</v>
      </c>
      <c r="F13" s="96" t="s">
        <v>20</v>
      </c>
      <c r="G13" s="148">
        <f>Mesures_Omia!G8</f>
        <v>0</v>
      </c>
    </row>
    <row r="14" spans="2:9" ht="15.75" x14ac:dyDescent="0.25">
      <c r="C14" s="97"/>
      <c r="D14" s="98"/>
      <c r="G14" s="99"/>
    </row>
    <row r="15" spans="2:9" ht="15.75" x14ac:dyDescent="0.25">
      <c r="C15" s="100" t="s">
        <v>146</v>
      </c>
      <c r="D15" s="101">
        <f>Mesures_Omia!C14</f>
        <v>0</v>
      </c>
      <c r="F15" s="92" t="s">
        <v>147</v>
      </c>
      <c r="G15" s="9">
        <f>Mesures_Omia!C15</f>
        <v>0</v>
      </c>
    </row>
    <row r="16" spans="2:9" ht="15.75" x14ac:dyDescent="0.25">
      <c r="C16" s="100" t="s">
        <v>148</v>
      </c>
      <c r="D16" s="103">
        <f>Mesures_Omia!G11</f>
        <v>15</v>
      </c>
      <c r="F16" s="92" t="s">
        <v>149</v>
      </c>
      <c r="G16" s="9">
        <f>Mesures_Omia!G12</f>
        <v>0</v>
      </c>
    </row>
    <row r="17" spans="1:9" ht="15.75" x14ac:dyDescent="0.25">
      <c r="C17" s="97"/>
      <c r="D17" s="98"/>
      <c r="F17" s="97"/>
      <c r="G17" s="1"/>
    </row>
    <row r="18" spans="1:9" ht="15.75" x14ac:dyDescent="0.25">
      <c r="C18" s="100" t="s">
        <v>150</v>
      </c>
      <c r="D18" s="149">
        <f>Mesures_Omia!C11</f>
        <v>0</v>
      </c>
      <c r="F18" s="92" t="s">
        <v>151</v>
      </c>
      <c r="G18" s="156">
        <f>Mesures_Omia!G10</f>
        <v>0</v>
      </c>
    </row>
    <row r="19" spans="1:9" ht="15.75" x14ac:dyDescent="0.25">
      <c r="C19" s="94" t="s">
        <v>152</v>
      </c>
      <c r="D19" s="149">
        <f>Mesures_Omia!C11</f>
        <v>0</v>
      </c>
    </row>
    <row r="20" spans="1:9" ht="15.75" x14ac:dyDescent="0.25">
      <c r="C20" s="97"/>
      <c r="D20" s="98"/>
    </row>
    <row r="21" spans="1:9" ht="15.75" x14ac:dyDescent="0.25">
      <c r="C21" s="97"/>
      <c r="D21" s="98"/>
    </row>
    <row r="28" spans="1:9" ht="36" x14ac:dyDescent="0.55000000000000004">
      <c r="A28" s="198" t="s">
        <v>153</v>
      </c>
      <c r="B28" s="198"/>
    </row>
    <row r="30" spans="1:9" x14ac:dyDescent="0.25">
      <c r="A30" s="199" t="s">
        <v>235</v>
      </c>
      <c r="B30" s="199"/>
      <c r="C30" s="199"/>
      <c r="D30" s="199"/>
      <c r="E30" s="199"/>
      <c r="F30" s="199"/>
      <c r="G30" s="199"/>
      <c r="H30" s="199"/>
      <c r="I30" s="199"/>
    </row>
    <row r="31" spans="1:9" x14ac:dyDescent="0.25">
      <c r="A31" s="199"/>
      <c r="B31" s="199"/>
      <c r="C31" s="199"/>
      <c r="D31" s="199"/>
      <c r="E31" s="199"/>
      <c r="F31" s="199"/>
      <c r="G31" s="199"/>
      <c r="H31" s="199"/>
      <c r="I31" s="199"/>
    </row>
    <row r="32" spans="1:9" x14ac:dyDescent="0.25">
      <c r="A32" s="199"/>
      <c r="B32" s="199"/>
      <c r="C32" s="199"/>
      <c r="D32" s="199"/>
      <c r="E32" s="199"/>
      <c r="F32" s="199"/>
      <c r="G32" s="199"/>
      <c r="H32" s="199"/>
      <c r="I32" s="199"/>
    </row>
    <row r="33" spans="1:9" x14ac:dyDescent="0.25">
      <c r="A33" s="199"/>
      <c r="B33" s="199"/>
      <c r="C33" s="199"/>
      <c r="D33" s="199"/>
      <c r="E33" s="199"/>
      <c r="F33" s="199"/>
      <c r="G33" s="199"/>
      <c r="H33" s="199"/>
      <c r="I33" s="199"/>
    </row>
    <row r="34" spans="1:9" x14ac:dyDescent="0.25">
      <c r="A34" s="199"/>
      <c r="B34" s="199"/>
      <c r="C34" s="199"/>
      <c r="D34" s="199"/>
      <c r="E34" s="199"/>
      <c r="F34" s="199"/>
      <c r="G34" s="199"/>
      <c r="H34" s="199"/>
      <c r="I34" s="199"/>
    </row>
    <row r="35" spans="1:9" x14ac:dyDescent="0.25">
      <c r="A35" s="199"/>
      <c r="B35" s="199"/>
      <c r="C35" s="199"/>
      <c r="D35" s="199"/>
      <c r="E35" s="199"/>
      <c r="F35" s="199"/>
      <c r="G35" s="199"/>
      <c r="H35" s="199"/>
      <c r="I35" s="199"/>
    </row>
    <row r="36" spans="1:9" x14ac:dyDescent="0.25">
      <c r="A36" s="199"/>
      <c r="B36" s="199"/>
      <c r="C36" s="199"/>
      <c r="D36" s="199"/>
      <c r="E36" s="199"/>
      <c r="F36" s="199"/>
      <c r="G36" s="199"/>
      <c r="H36" s="199"/>
      <c r="I36" s="199"/>
    </row>
    <row r="37" spans="1:9" x14ac:dyDescent="0.25">
      <c r="A37" s="199"/>
      <c r="B37" s="199"/>
      <c r="C37" s="199"/>
      <c r="D37" s="199"/>
      <c r="E37" s="199"/>
      <c r="F37" s="199"/>
      <c r="G37" s="199"/>
      <c r="H37" s="199"/>
      <c r="I37" s="199"/>
    </row>
    <row r="38" spans="1:9" x14ac:dyDescent="0.25">
      <c r="A38" s="199"/>
      <c r="B38" s="199"/>
      <c r="C38" s="199"/>
      <c r="D38" s="199"/>
      <c r="E38" s="199"/>
      <c r="F38" s="199"/>
      <c r="G38" s="199"/>
      <c r="H38" s="199"/>
      <c r="I38" s="199"/>
    </row>
    <row r="39" spans="1:9" x14ac:dyDescent="0.25">
      <c r="A39" s="199"/>
      <c r="B39" s="199"/>
      <c r="C39" s="199"/>
      <c r="D39" s="199"/>
      <c r="E39" s="199"/>
      <c r="F39" s="199"/>
      <c r="G39" s="199"/>
      <c r="H39" s="199"/>
      <c r="I39" s="199"/>
    </row>
    <row r="40" spans="1:9" x14ac:dyDescent="0.25">
      <c r="A40" s="199"/>
      <c r="B40" s="199"/>
      <c r="C40" s="199"/>
      <c r="D40" s="199"/>
      <c r="E40" s="199"/>
      <c r="F40" s="199"/>
      <c r="G40" s="199"/>
      <c r="H40" s="199"/>
      <c r="I40" s="199"/>
    </row>
    <row r="41" spans="1:9" x14ac:dyDescent="0.25">
      <c r="A41" s="199"/>
      <c r="B41" s="199"/>
      <c r="C41" s="199"/>
      <c r="D41" s="199"/>
      <c r="E41" s="199"/>
      <c r="F41" s="199"/>
      <c r="G41" s="199"/>
      <c r="H41" s="199"/>
      <c r="I41" s="199"/>
    </row>
    <row r="42" spans="1:9" x14ac:dyDescent="0.25">
      <c r="A42" s="199"/>
      <c r="B42" s="199"/>
      <c r="C42" s="199"/>
      <c r="D42" s="199"/>
      <c r="E42" s="199"/>
      <c r="F42" s="199"/>
      <c r="G42" s="199"/>
      <c r="H42" s="199"/>
      <c r="I42" s="199"/>
    </row>
    <row r="43" spans="1:9" x14ac:dyDescent="0.25">
      <c r="A43" s="199"/>
      <c r="B43" s="199"/>
      <c r="C43" s="199"/>
      <c r="D43" s="199"/>
      <c r="E43" s="199"/>
      <c r="F43" s="199"/>
      <c r="G43" s="199"/>
      <c r="H43" s="199"/>
      <c r="I43" s="199"/>
    </row>
    <row r="44" spans="1:9" x14ac:dyDescent="0.25">
      <c r="A44" s="199"/>
      <c r="B44" s="199"/>
      <c r="C44" s="199"/>
      <c r="D44" s="199"/>
      <c r="E44" s="199"/>
      <c r="F44" s="199"/>
      <c r="G44" s="199"/>
      <c r="H44" s="199"/>
      <c r="I44" s="199"/>
    </row>
    <row r="45" spans="1:9" x14ac:dyDescent="0.25">
      <c r="A45" s="199"/>
      <c r="B45" s="199"/>
      <c r="C45" s="199"/>
      <c r="D45" s="199"/>
      <c r="E45" s="199"/>
      <c r="F45" s="199"/>
      <c r="G45" s="199"/>
      <c r="H45" s="199"/>
      <c r="I45" s="199"/>
    </row>
    <row r="46" spans="1:9" x14ac:dyDescent="0.25">
      <c r="A46" s="199"/>
      <c r="B46" s="199"/>
      <c r="C46" s="199"/>
      <c r="D46" s="199"/>
      <c r="E46" s="199"/>
      <c r="F46" s="199"/>
      <c r="G46" s="199"/>
      <c r="H46" s="199"/>
      <c r="I46" s="199"/>
    </row>
    <row r="47" spans="1:9" x14ac:dyDescent="0.25">
      <c r="A47" s="199"/>
      <c r="B47" s="199"/>
      <c r="C47" s="199"/>
      <c r="D47" s="199"/>
      <c r="E47" s="199"/>
      <c r="F47" s="199"/>
      <c r="G47" s="199"/>
      <c r="H47" s="199"/>
      <c r="I47" s="199"/>
    </row>
    <row r="51" spans="2:8" ht="36" x14ac:dyDescent="0.25">
      <c r="C51" s="200" t="s">
        <v>155</v>
      </c>
      <c r="D51" s="200"/>
      <c r="E51" s="200"/>
      <c r="F51" s="200"/>
    </row>
    <row r="52" spans="2:8" ht="17.25" x14ac:dyDescent="0.25">
      <c r="B52" s="105"/>
    </row>
    <row r="53" spans="2:8" ht="23.25" x14ac:dyDescent="0.25">
      <c r="B53" s="106" t="s">
        <v>156</v>
      </c>
    </row>
    <row r="55" spans="2:8" ht="21" x14ac:dyDescent="0.25">
      <c r="B55" s="107" t="s">
        <v>236</v>
      </c>
      <c r="E55" s="195" t="s">
        <v>237</v>
      </c>
      <c r="F55" s="195"/>
      <c r="G55" s="107"/>
      <c r="H55" s="108"/>
    </row>
    <row r="56" spans="2:8" ht="21" x14ac:dyDescent="0.25">
      <c r="B56" s="107" t="s">
        <v>238</v>
      </c>
      <c r="E56" s="195" t="s">
        <v>239</v>
      </c>
      <c r="F56" s="195"/>
      <c r="G56" s="195"/>
      <c r="H56" s="107"/>
    </row>
    <row r="57" spans="2:8" ht="21" x14ac:dyDescent="0.25">
      <c r="B57" s="195" t="s">
        <v>240</v>
      </c>
      <c r="C57" s="195"/>
      <c r="E57" s="195" t="s">
        <v>162</v>
      </c>
      <c r="F57" s="195"/>
      <c r="G57" s="108"/>
      <c r="H57" s="108"/>
    </row>
    <row r="59" spans="2:8" ht="23.25" x14ac:dyDescent="0.25">
      <c r="B59" s="106" t="s">
        <v>163</v>
      </c>
    </row>
    <row r="61" spans="2:8" ht="21" x14ac:dyDescent="0.25">
      <c r="B61" s="195" t="s">
        <v>241</v>
      </c>
      <c r="C61" s="195"/>
      <c r="D61" s="107"/>
      <c r="E61" s="195"/>
      <c r="F61" s="195"/>
      <c r="G61" s="195"/>
    </row>
    <row r="62" spans="2:8" ht="21" x14ac:dyDescent="0.25">
      <c r="B62" s="195" t="s">
        <v>242</v>
      </c>
      <c r="C62" s="195"/>
      <c r="D62" s="107"/>
    </row>
    <row r="64" spans="2:8" ht="21" x14ac:dyDescent="0.25">
      <c r="B64" s="107" t="s">
        <v>167</v>
      </c>
    </row>
    <row r="66" spans="2:9" ht="21" x14ac:dyDescent="0.25">
      <c r="B66" s="107" t="s">
        <v>243</v>
      </c>
      <c r="C66" s="107"/>
      <c r="D66" s="107"/>
      <c r="E66" s="238" t="s">
        <v>244</v>
      </c>
      <c r="F66" s="238"/>
      <c r="G66" s="107"/>
      <c r="H66" s="107"/>
      <c r="I66" s="107"/>
    </row>
    <row r="67" spans="2:9" ht="21" x14ac:dyDescent="0.25">
      <c r="B67" s="150" t="s">
        <v>244</v>
      </c>
      <c r="C67" s="107"/>
      <c r="D67" s="107"/>
      <c r="E67" s="195" t="s">
        <v>245</v>
      </c>
      <c r="F67" s="195"/>
      <c r="G67" s="195"/>
      <c r="H67" s="195"/>
      <c r="I67" s="107"/>
    </row>
    <row r="68" spans="2:9" ht="21" x14ac:dyDescent="0.25">
      <c r="B68" s="195"/>
      <c r="C68" s="195"/>
      <c r="D68" s="195"/>
      <c r="E68" s="195"/>
      <c r="F68" s="195"/>
      <c r="G68" s="195"/>
      <c r="H68" s="195"/>
      <c r="I68" s="195"/>
    </row>
    <row r="69" spans="2:9" ht="21" x14ac:dyDescent="0.25">
      <c r="B69" s="195"/>
      <c r="C69" s="195"/>
      <c r="D69" s="195"/>
      <c r="E69" s="195"/>
      <c r="F69" s="195"/>
      <c r="G69" s="195"/>
      <c r="H69" s="195"/>
      <c r="I69" s="108"/>
    </row>
    <row r="85" spans="1:9" ht="36" x14ac:dyDescent="0.25">
      <c r="C85" s="200" t="s">
        <v>177</v>
      </c>
      <c r="D85" s="200"/>
      <c r="E85" s="200"/>
      <c r="F85" s="200"/>
      <c r="G85" s="200"/>
    </row>
    <row r="87" spans="1:9" ht="26.25" x14ac:dyDescent="0.25">
      <c r="B87" s="109" t="s">
        <v>178</v>
      </c>
    </row>
    <row r="89" spans="1:9" ht="21" x14ac:dyDescent="0.25">
      <c r="B89" s="107" t="s">
        <v>246</v>
      </c>
      <c r="C89" s="107"/>
      <c r="E89" s="107"/>
      <c r="F89" s="107"/>
      <c r="G89" s="107"/>
      <c r="H89" s="108"/>
    </row>
    <row r="90" spans="1:9" ht="21" x14ac:dyDescent="0.25">
      <c r="B90" s="107" t="s">
        <v>180</v>
      </c>
      <c r="C90" s="107"/>
      <c r="E90" s="107"/>
      <c r="F90" s="107"/>
      <c r="G90" s="107"/>
      <c r="H90" s="108"/>
    </row>
    <row r="91" spans="1:9" ht="21" x14ac:dyDescent="0.25">
      <c r="B91" s="107" t="s">
        <v>247</v>
      </c>
      <c r="C91" s="107"/>
      <c r="E91" s="107"/>
      <c r="F91" s="107"/>
      <c r="G91" s="107"/>
      <c r="H91" s="108"/>
    </row>
    <row r="92" spans="1:9" ht="21" x14ac:dyDescent="0.25">
      <c r="B92" s="107" t="s">
        <v>248</v>
      </c>
      <c r="C92" s="107"/>
      <c r="E92" s="107"/>
      <c r="F92" s="107"/>
      <c r="G92" s="107"/>
      <c r="H92" s="108"/>
    </row>
    <row r="93" spans="1:9" ht="21" x14ac:dyDescent="0.25">
      <c r="B93" s="110"/>
      <c r="C93" s="110"/>
      <c r="E93" s="107"/>
      <c r="F93" s="107"/>
      <c r="G93" s="107"/>
      <c r="H93" s="108"/>
    </row>
    <row r="94" spans="1:9" ht="17.25" x14ac:dyDescent="0.25">
      <c r="A94" s="111"/>
      <c r="C94" s="179" t="s">
        <v>10</v>
      </c>
      <c r="D94" s="228"/>
      <c r="E94" s="228"/>
      <c r="F94" s="228"/>
      <c r="G94" s="228"/>
      <c r="H94" s="180"/>
      <c r="I94" s="111"/>
    </row>
    <row r="95" spans="1:9" ht="30" x14ac:dyDescent="0.25">
      <c r="A95" s="111"/>
      <c r="B95" s="111"/>
      <c r="C95" s="183"/>
      <c r="D95" s="183"/>
      <c r="E95" s="3" t="s">
        <v>16</v>
      </c>
      <c r="F95" s="20" t="s">
        <v>18</v>
      </c>
      <c r="G95" s="20" t="s">
        <v>25</v>
      </c>
      <c r="H95" s="20" t="s">
        <v>26</v>
      </c>
      <c r="I95" s="114"/>
    </row>
    <row r="96" spans="1:9" ht="17.25" x14ac:dyDescent="0.25">
      <c r="A96" s="111"/>
      <c r="B96" s="111"/>
      <c r="C96" s="179" t="str">
        <f>Mesures_Omia!A44</f>
        <v xml:space="preserve">Sonde </v>
      </c>
      <c r="D96" s="180"/>
      <c r="E96" s="10" cm="1">
        <f t="array" ref="E96:H108">Mesures_Omia!C44:F56</f>
        <v>0</v>
      </c>
      <c r="F96" s="10">
        <v>0</v>
      </c>
      <c r="G96" s="10">
        <v>0</v>
      </c>
      <c r="H96" s="10">
        <v>0</v>
      </c>
      <c r="I96" s="111"/>
    </row>
    <row r="97" spans="1:9" ht="17.25" x14ac:dyDescent="0.25">
      <c r="A97" s="111"/>
      <c r="B97" s="111"/>
      <c r="C97" s="179" t="str">
        <f>Mesures_Omia!A45</f>
        <v xml:space="preserve">Sonde </v>
      </c>
      <c r="D97" s="180"/>
      <c r="E97" s="10">
        <v>0</v>
      </c>
      <c r="F97" s="10">
        <v>0</v>
      </c>
      <c r="G97" s="10">
        <v>0</v>
      </c>
      <c r="H97" s="10">
        <v>0</v>
      </c>
      <c r="I97" s="111"/>
    </row>
    <row r="98" spans="1:9" ht="17.25" x14ac:dyDescent="0.25">
      <c r="A98" s="111"/>
      <c r="B98" s="111"/>
      <c r="C98" s="179" t="str">
        <f>Mesures_Omia!A46</f>
        <v xml:space="preserve">Sonde </v>
      </c>
      <c r="D98" s="180"/>
      <c r="E98" s="10">
        <v>0</v>
      </c>
      <c r="F98" s="10">
        <v>0</v>
      </c>
      <c r="G98" s="10">
        <v>0</v>
      </c>
      <c r="H98" s="10">
        <v>0</v>
      </c>
      <c r="I98" s="111"/>
    </row>
    <row r="99" spans="1:9" ht="17.25" x14ac:dyDescent="0.25">
      <c r="A99" s="111"/>
      <c r="B99" s="111"/>
      <c r="C99" s="179" t="str">
        <f>Mesures_Omia!A47</f>
        <v xml:space="preserve">Sonde </v>
      </c>
      <c r="D99" s="180"/>
      <c r="E99" s="10">
        <v>0</v>
      </c>
      <c r="F99" s="10">
        <v>0</v>
      </c>
      <c r="G99" s="10">
        <v>0</v>
      </c>
      <c r="H99" s="10">
        <v>0</v>
      </c>
      <c r="I99" s="111"/>
    </row>
    <row r="100" spans="1:9" ht="17.25" x14ac:dyDescent="0.25">
      <c r="A100" s="111"/>
      <c r="B100" s="111"/>
      <c r="C100" s="179" t="str">
        <f>Mesures_Omia!A48</f>
        <v xml:space="preserve">Sonde </v>
      </c>
      <c r="D100" s="180"/>
      <c r="E100" s="10">
        <v>0</v>
      </c>
      <c r="F100" s="10">
        <v>0</v>
      </c>
      <c r="G100" s="10">
        <v>0</v>
      </c>
      <c r="H100" s="10">
        <v>0</v>
      </c>
      <c r="I100" s="111"/>
    </row>
    <row r="101" spans="1:9" ht="17.25" x14ac:dyDescent="0.25">
      <c r="A101" s="111"/>
      <c r="B101" s="111"/>
      <c r="C101" s="179" t="str">
        <f>Mesures_Omia!A49</f>
        <v xml:space="preserve">Sonde </v>
      </c>
      <c r="D101" s="180"/>
      <c r="E101" s="10">
        <v>0</v>
      </c>
      <c r="F101" s="10">
        <v>0</v>
      </c>
      <c r="G101" s="10">
        <v>0</v>
      </c>
      <c r="H101" s="10">
        <v>0</v>
      </c>
      <c r="I101" s="111"/>
    </row>
    <row r="102" spans="1:9" ht="17.25" x14ac:dyDescent="0.25">
      <c r="A102" s="111"/>
      <c r="B102" s="111"/>
      <c r="C102" s="179" t="str">
        <f>Mesures_Omia!A50</f>
        <v xml:space="preserve">Sonde </v>
      </c>
      <c r="D102" s="180"/>
      <c r="E102" s="10">
        <v>0</v>
      </c>
      <c r="F102" s="10">
        <v>0</v>
      </c>
      <c r="G102" s="10">
        <v>0</v>
      </c>
      <c r="H102" s="10">
        <v>0</v>
      </c>
      <c r="I102" s="111"/>
    </row>
    <row r="103" spans="1:9" ht="17.25" x14ac:dyDescent="0.25">
      <c r="A103" s="111"/>
      <c r="B103" s="111"/>
      <c r="C103" s="179" t="str">
        <f>Mesures_Omia!A51</f>
        <v xml:space="preserve">Sonde </v>
      </c>
      <c r="D103" s="180"/>
      <c r="E103" s="10">
        <v>0</v>
      </c>
      <c r="F103" s="10">
        <v>0</v>
      </c>
      <c r="G103" s="10">
        <v>0</v>
      </c>
      <c r="H103" s="10">
        <v>0</v>
      </c>
      <c r="I103" s="111"/>
    </row>
    <row r="104" spans="1:9" ht="17.25" x14ac:dyDescent="0.25">
      <c r="A104" s="111"/>
      <c r="B104" s="111"/>
      <c r="C104" s="179" t="str">
        <f>Mesures_Omia!A52</f>
        <v xml:space="preserve">Sonde </v>
      </c>
      <c r="D104" s="180"/>
      <c r="E104" s="10">
        <v>0</v>
      </c>
      <c r="F104" s="10">
        <v>0</v>
      </c>
      <c r="G104" s="10">
        <v>0</v>
      </c>
      <c r="H104" s="10">
        <v>0</v>
      </c>
      <c r="I104" s="111"/>
    </row>
    <row r="105" spans="1:9" ht="17.25" x14ac:dyDescent="0.25">
      <c r="A105" s="111"/>
      <c r="B105" s="111"/>
      <c r="C105" s="179" t="str">
        <f>Mesures_Omia!A53</f>
        <v xml:space="preserve">Sonde </v>
      </c>
      <c r="D105" s="180"/>
      <c r="E105" s="10">
        <v>0</v>
      </c>
      <c r="F105" s="10">
        <v>0</v>
      </c>
      <c r="G105" s="10">
        <v>0</v>
      </c>
      <c r="H105" s="10">
        <v>0</v>
      </c>
      <c r="I105" s="111"/>
    </row>
    <row r="106" spans="1:9" ht="17.25" x14ac:dyDescent="0.25">
      <c r="A106" s="111"/>
      <c r="B106" s="111"/>
      <c r="C106" s="179" t="str">
        <f>Mesures_Omia!A54</f>
        <v xml:space="preserve">Sonde </v>
      </c>
      <c r="D106" s="180"/>
      <c r="E106" s="10">
        <v>0</v>
      </c>
      <c r="F106" s="10">
        <v>0</v>
      </c>
      <c r="G106" s="10">
        <v>0</v>
      </c>
      <c r="H106" s="10">
        <v>0</v>
      </c>
      <c r="I106" s="111"/>
    </row>
    <row r="107" spans="1:9" ht="17.25" x14ac:dyDescent="0.25">
      <c r="A107" s="111"/>
      <c r="B107" s="111"/>
      <c r="C107" s="179" t="str">
        <f>Mesures_Omia!A55</f>
        <v xml:space="preserve">Sonde </v>
      </c>
      <c r="D107" s="180"/>
      <c r="E107" s="10">
        <v>0</v>
      </c>
      <c r="F107" s="10">
        <v>0</v>
      </c>
      <c r="G107" s="10">
        <v>0</v>
      </c>
      <c r="H107" s="10">
        <v>0</v>
      </c>
      <c r="I107" s="111"/>
    </row>
    <row r="108" spans="1:9" ht="17.25" x14ac:dyDescent="0.25">
      <c r="A108" s="111"/>
      <c r="B108" s="111"/>
      <c r="C108" s="179" t="str">
        <f>Mesures_Omia!A56</f>
        <v xml:space="preserve">Sonde </v>
      </c>
      <c r="D108" s="180"/>
      <c r="E108" s="10">
        <v>0</v>
      </c>
      <c r="F108" s="10">
        <v>0</v>
      </c>
      <c r="G108" s="10">
        <v>0</v>
      </c>
      <c r="H108" s="10">
        <v>0</v>
      </c>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203" t="s">
        <v>183</v>
      </c>
      <c r="C116" s="203"/>
      <c r="D116" s="203"/>
      <c r="E116" s="203"/>
      <c r="F116" s="203"/>
    </row>
    <row r="118" spans="1:9" ht="26.25" x14ac:dyDescent="0.25">
      <c r="B118" s="109" t="s">
        <v>184</v>
      </c>
    </row>
    <row r="119" spans="1:9" ht="21" x14ac:dyDescent="0.3">
      <c r="E119" s="107" t="s">
        <v>185</v>
      </c>
      <c r="F119" s="107"/>
      <c r="G119" s="116">
        <f>Mesures_Omia!K44</f>
        <v>0</v>
      </c>
    </row>
    <row r="120" spans="1:9" ht="21" x14ac:dyDescent="0.3">
      <c r="B120" s="117" t="s">
        <v>186</v>
      </c>
      <c r="C120" s="107" t="s">
        <v>187</v>
      </c>
      <c r="E120" s="107" t="s">
        <v>188</v>
      </c>
      <c r="F120" s="107"/>
      <c r="G120" s="116">
        <f>Mesures_Omia!L44</f>
        <v>0</v>
      </c>
    </row>
    <row r="121" spans="1:9" ht="21" x14ac:dyDescent="0.25">
      <c r="B121" s="117" t="s">
        <v>189</v>
      </c>
      <c r="C121" s="110" t="s">
        <v>190</v>
      </c>
      <c r="E121" s="107" t="s">
        <v>191</v>
      </c>
      <c r="F121" s="107"/>
      <c r="G121" s="118">
        <f>Mesures_Omia!M44</f>
        <v>0</v>
      </c>
    </row>
    <row r="122" spans="1:9" ht="21" x14ac:dyDescent="0.35">
      <c r="B122" s="119" t="s">
        <v>192</v>
      </c>
      <c r="C122" s="120" t="s">
        <v>193</v>
      </c>
      <c r="E122" s="107" t="s">
        <v>194</v>
      </c>
      <c r="F122" s="107"/>
      <c r="G122" s="121" t="e">
        <f>"±" &amp;  SUBSTITUTE(ROUND(AVERAGE(Mesures_Omia!D23:F35),2),"-"," ") &amp; "°C"</f>
        <v>#DIV/0!</v>
      </c>
    </row>
    <row r="127" spans="1:9" ht="36" x14ac:dyDescent="0.25">
      <c r="C127" s="200" t="s">
        <v>195</v>
      </c>
      <c r="D127" s="200"/>
      <c r="E127" s="200"/>
      <c r="F127" s="200"/>
    </row>
    <row r="128" spans="1:9" ht="36" x14ac:dyDescent="0.25">
      <c r="B128" s="104"/>
      <c r="C128" s="104"/>
      <c r="D128" s="104"/>
    </row>
    <row r="129" spans="2:9" x14ac:dyDescent="0.25">
      <c r="B129" s="192"/>
      <c r="C129" s="192"/>
      <c r="D129" s="192"/>
      <c r="E129" s="192"/>
      <c r="F129" s="192"/>
      <c r="G129" s="192"/>
      <c r="H129" s="192"/>
      <c r="I129" s="192"/>
    </row>
    <row r="130" spans="2:9" x14ac:dyDescent="0.25">
      <c r="B130" s="192"/>
      <c r="C130" s="192"/>
      <c r="D130" s="192"/>
      <c r="E130" s="192"/>
      <c r="F130" s="192"/>
      <c r="G130" s="192"/>
      <c r="H130" s="192"/>
      <c r="I130" s="192"/>
    </row>
    <row r="131" spans="2:9" x14ac:dyDescent="0.25">
      <c r="B131" s="192"/>
      <c r="C131" s="192"/>
      <c r="D131" s="192"/>
      <c r="E131" s="192"/>
      <c r="F131" s="192"/>
      <c r="G131" s="192"/>
      <c r="H131" s="192"/>
      <c r="I131" s="192"/>
    </row>
    <row r="132" spans="2:9" x14ac:dyDescent="0.25">
      <c r="B132" s="192"/>
      <c r="C132" s="192"/>
      <c r="D132" s="192"/>
      <c r="E132" s="192"/>
      <c r="F132" s="192"/>
      <c r="G132" s="192"/>
      <c r="H132" s="192"/>
      <c r="I132" s="192"/>
    </row>
    <row r="133" spans="2:9" x14ac:dyDescent="0.25">
      <c r="B133" s="192"/>
      <c r="C133" s="192"/>
      <c r="D133" s="192"/>
      <c r="E133" s="192"/>
      <c r="F133" s="192"/>
      <c r="G133" s="192"/>
      <c r="H133" s="192"/>
      <c r="I133" s="192"/>
    </row>
    <row r="134" spans="2:9" x14ac:dyDescent="0.25">
      <c r="B134" s="192"/>
      <c r="C134" s="192"/>
      <c r="D134" s="192"/>
      <c r="E134" s="192"/>
      <c r="F134" s="192"/>
      <c r="G134" s="192"/>
      <c r="H134" s="192"/>
      <c r="I134" s="192"/>
    </row>
    <row r="135" spans="2:9" x14ac:dyDescent="0.25">
      <c r="B135" s="192"/>
      <c r="C135" s="192"/>
      <c r="D135" s="192"/>
      <c r="E135" s="192"/>
      <c r="F135" s="192"/>
      <c r="G135" s="192"/>
      <c r="H135" s="192"/>
      <c r="I135" s="192"/>
    </row>
    <row r="136" spans="2:9" x14ac:dyDescent="0.25">
      <c r="B136" s="192"/>
      <c r="C136" s="192"/>
      <c r="D136" s="192"/>
      <c r="E136" s="192"/>
      <c r="F136" s="192"/>
      <c r="G136" s="192"/>
      <c r="H136" s="192"/>
      <c r="I136" s="192"/>
    </row>
    <row r="137" spans="2:9" x14ac:dyDescent="0.25">
      <c r="B137" s="192"/>
      <c r="C137" s="192"/>
      <c r="D137" s="192"/>
      <c r="E137" s="192"/>
      <c r="F137" s="192"/>
      <c r="G137" s="192"/>
      <c r="H137" s="192"/>
      <c r="I137" s="192"/>
    </row>
    <row r="138" spans="2:9" x14ac:dyDescent="0.25">
      <c r="B138" s="192"/>
      <c r="C138" s="192"/>
      <c r="D138" s="192"/>
      <c r="E138" s="192"/>
      <c r="F138" s="192"/>
      <c r="G138" s="192"/>
      <c r="H138" s="192"/>
      <c r="I138" s="192"/>
    </row>
    <row r="139" spans="2:9" x14ac:dyDescent="0.25">
      <c r="B139" s="192"/>
      <c r="C139" s="192"/>
      <c r="D139" s="192"/>
      <c r="E139" s="192"/>
      <c r="F139" s="192"/>
      <c r="G139" s="192"/>
      <c r="H139" s="192"/>
      <c r="I139" s="192"/>
    </row>
    <row r="140" spans="2:9" x14ac:dyDescent="0.25">
      <c r="B140" s="192"/>
      <c r="C140" s="192"/>
      <c r="D140" s="192"/>
      <c r="E140" s="192"/>
      <c r="F140" s="192"/>
      <c r="G140" s="192"/>
      <c r="H140" s="192"/>
      <c r="I140" s="192"/>
    </row>
    <row r="141" spans="2:9" x14ac:dyDescent="0.25">
      <c r="B141" s="192"/>
      <c r="C141" s="192"/>
      <c r="D141" s="192"/>
      <c r="E141" s="192"/>
      <c r="F141" s="192"/>
      <c r="G141" s="192"/>
      <c r="H141" s="192"/>
      <c r="I141" s="192"/>
    </row>
    <row r="142" spans="2:9" x14ac:dyDescent="0.25">
      <c r="B142" s="192"/>
      <c r="C142" s="192"/>
      <c r="D142" s="192"/>
      <c r="E142" s="192"/>
      <c r="F142" s="192"/>
      <c r="G142" s="192"/>
      <c r="H142" s="192"/>
      <c r="I142" s="192"/>
    </row>
    <row r="143" spans="2:9" x14ac:dyDescent="0.25">
      <c r="B143" s="192"/>
      <c r="C143" s="192"/>
      <c r="D143" s="192"/>
      <c r="E143" s="192"/>
      <c r="F143" s="192"/>
      <c r="G143" s="192"/>
      <c r="H143" s="192"/>
      <c r="I143" s="192"/>
    </row>
    <row r="144" spans="2:9" x14ac:dyDescent="0.25">
      <c r="B144" s="192"/>
      <c r="C144" s="192"/>
      <c r="D144" s="192"/>
      <c r="E144" s="192"/>
      <c r="F144" s="192"/>
      <c r="G144" s="192"/>
      <c r="H144" s="192"/>
      <c r="I144" s="192"/>
    </row>
    <row r="163" spans="1:8" ht="36" x14ac:dyDescent="0.25">
      <c r="C163" s="200" t="s">
        <v>249</v>
      </c>
      <c r="D163" s="200"/>
      <c r="E163" s="200"/>
      <c r="F163" s="200"/>
      <c r="G163" s="200"/>
      <c r="H163" s="200"/>
    </row>
    <row r="166" spans="1:8" ht="15.75" thickBot="1" x14ac:dyDescent="0.3"/>
    <row r="167" spans="1:8" ht="15.75" thickBot="1" x14ac:dyDescent="0.3">
      <c r="A167" s="12" t="s">
        <v>9</v>
      </c>
      <c r="B167" s="13" t="s">
        <v>12</v>
      </c>
      <c r="C167" s="13" t="s">
        <v>15</v>
      </c>
    </row>
    <row r="168" spans="1:8" x14ac:dyDescent="0.25">
      <c r="A168" s="15">
        <v>1</v>
      </c>
      <c r="B168" s="16">
        <f>Mesures_Omia!B23</f>
        <v>0</v>
      </c>
      <c r="C168" s="17">
        <f>Mesures_Omia!C23</f>
        <v>0</v>
      </c>
    </row>
    <row r="169" spans="1:8" x14ac:dyDescent="0.25">
      <c r="A169" s="19">
        <v>2</v>
      </c>
      <c r="B169" s="16">
        <f>Mesures_Omia!B24</f>
        <v>0</v>
      </c>
      <c r="C169" s="17">
        <f>Mesures_Omia!C24</f>
        <v>0</v>
      </c>
    </row>
    <row r="170" spans="1:8" x14ac:dyDescent="0.25">
      <c r="A170" s="15">
        <v>3</v>
      </c>
      <c r="B170" s="16">
        <f>Mesures_Omia!B25</f>
        <v>0</v>
      </c>
      <c r="C170" s="17">
        <f>Mesures_Omia!C25</f>
        <v>0</v>
      </c>
    </row>
    <row r="171" spans="1:8" x14ac:dyDescent="0.25">
      <c r="A171" s="19">
        <v>4</v>
      </c>
      <c r="B171" s="16">
        <f>Mesures_Omia!B26</f>
        <v>0</v>
      </c>
      <c r="C171" s="17">
        <f>Mesures_Omia!C26</f>
        <v>0</v>
      </c>
    </row>
    <row r="172" spans="1:8" x14ac:dyDescent="0.25">
      <c r="A172" s="15">
        <v>5</v>
      </c>
      <c r="B172" s="16">
        <f>Mesures_Omia!B27</f>
        <v>0</v>
      </c>
      <c r="C172" s="17">
        <f>Mesures_Omia!C27</f>
        <v>0</v>
      </c>
    </row>
    <row r="173" spans="1:8" x14ac:dyDescent="0.25">
      <c r="A173" s="19">
        <v>6</v>
      </c>
      <c r="B173" s="16">
        <f>Mesures_Omia!B28</f>
        <v>0</v>
      </c>
      <c r="C173" s="17">
        <f>Mesures_Omia!C28</f>
        <v>0</v>
      </c>
    </row>
    <row r="174" spans="1:8" x14ac:dyDescent="0.25">
      <c r="A174" s="15">
        <v>7</v>
      </c>
      <c r="B174" s="16">
        <f>Mesures_Omia!B29</f>
        <v>0</v>
      </c>
      <c r="C174" s="17">
        <f>Mesures_Omia!C29</f>
        <v>0</v>
      </c>
    </row>
    <row r="175" spans="1:8" x14ac:dyDescent="0.25">
      <c r="A175" s="19">
        <v>8</v>
      </c>
      <c r="B175" s="16">
        <f>Mesures_Omia!B30</f>
        <v>0</v>
      </c>
      <c r="C175" s="17">
        <f>Mesures_Omia!C30</f>
        <v>0</v>
      </c>
    </row>
    <row r="176" spans="1:8" x14ac:dyDescent="0.25">
      <c r="A176" s="15">
        <v>9</v>
      </c>
      <c r="B176" s="16">
        <f>Mesures_Omia!B31</f>
        <v>0</v>
      </c>
      <c r="C176" s="17">
        <f>Mesures_Omia!C31</f>
        <v>0</v>
      </c>
    </row>
    <row r="177" spans="1:3" x14ac:dyDescent="0.25">
      <c r="A177" s="19">
        <v>10</v>
      </c>
      <c r="B177" s="16">
        <f>Mesures_Omia!B32</f>
        <v>0</v>
      </c>
      <c r="C177" s="17">
        <f>Mesures_Omia!C32</f>
        <v>0</v>
      </c>
    </row>
    <row r="178" spans="1:3" x14ac:dyDescent="0.25">
      <c r="A178" s="15">
        <v>11</v>
      </c>
      <c r="B178" s="16">
        <f>Mesures_Omia!B33</f>
        <v>0</v>
      </c>
      <c r="C178" s="17">
        <f>Mesures_Omia!C33</f>
        <v>0</v>
      </c>
    </row>
    <row r="179" spans="1:3" x14ac:dyDescent="0.25">
      <c r="A179" s="19">
        <v>12</v>
      </c>
      <c r="B179" s="16">
        <f>Mesures_Omia!B34</f>
        <v>0</v>
      </c>
      <c r="C179" s="17">
        <f>Mesures_Omia!C34</f>
        <v>0</v>
      </c>
    </row>
    <row r="180" spans="1:3" x14ac:dyDescent="0.25">
      <c r="A180" s="19">
        <v>13</v>
      </c>
      <c r="B180" s="16">
        <f>Mesures_Omia!B35</f>
        <v>0</v>
      </c>
      <c r="C180" s="17">
        <f>Mesures_Omia!C35</f>
        <v>0</v>
      </c>
    </row>
    <row r="196" spans="1:9" ht="36" x14ac:dyDescent="0.25">
      <c r="C196" s="200" t="s">
        <v>250</v>
      </c>
      <c r="D196" s="200"/>
      <c r="E196" s="200"/>
      <c r="F196" s="200"/>
      <c r="G196" s="200"/>
      <c r="H196" s="200"/>
    </row>
    <row r="200" spans="1:9" x14ac:dyDescent="0.25">
      <c r="A200" s="122" t="s">
        <v>251</v>
      </c>
      <c r="B200" s="124">
        <v>60</v>
      </c>
      <c r="G200" s="204" t="s">
        <v>198</v>
      </c>
      <c r="H200" s="205"/>
      <c r="I200" s="206"/>
    </row>
    <row r="201" spans="1:9" x14ac:dyDescent="0.25">
      <c r="A201" s="122" t="s">
        <v>252</v>
      </c>
      <c r="B201" s="151">
        <f>Mesures_Omia!B20</f>
        <v>0</v>
      </c>
      <c r="G201" s="22" t="s">
        <v>199</v>
      </c>
      <c r="H201" s="22" t="s">
        <v>200</v>
      </c>
      <c r="I201" s="22" t="s">
        <v>201</v>
      </c>
    </row>
    <row r="202" spans="1:9" x14ac:dyDescent="0.25">
      <c r="G202" s="125">
        <f>Omia_60°C!B11</f>
        <v>0</v>
      </c>
      <c r="H202" s="125">
        <f>Omia_60°C!B41</f>
        <v>0</v>
      </c>
      <c r="I202" s="125">
        <f>H202-G202</f>
        <v>0</v>
      </c>
    </row>
    <row r="205" spans="1:9" ht="23.25" x14ac:dyDescent="0.25">
      <c r="B205" s="207" t="s">
        <v>202</v>
      </c>
      <c r="C205" s="207"/>
    </row>
    <row r="208" spans="1:9" ht="30" x14ac:dyDescent="0.25">
      <c r="B208" s="126" t="s">
        <v>203</v>
      </c>
      <c r="C208" s="127" t="s">
        <v>204</v>
      </c>
      <c r="D208" s="127" t="s">
        <v>119</v>
      </c>
      <c r="E208" s="128" t="s">
        <v>205</v>
      </c>
      <c r="F208" s="127" t="s">
        <v>206</v>
      </c>
    </row>
    <row r="209" spans="1:6" x14ac:dyDescent="0.25">
      <c r="B209" s="129" t="s">
        <v>207</v>
      </c>
      <c r="C209" s="130" t="str">
        <f>"60°C"</f>
        <v>60°C</v>
      </c>
      <c r="D209" s="130" t="s">
        <v>208</v>
      </c>
      <c r="E209" s="130" t="s">
        <v>208</v>
      </c>
      <c r="F209" s="131" t="s">
        <v>208</v>
      </c>
    </row>
    <row r="210" spans="1:6" x14ac:dyDescent="0.25">
      <c r="B210" s="129" t="s">
        <v>209</v>
      </c>
      <c r="C210" s="130" t="str">
        <f>"60°C"</f>
        <v>60°C</v>
      </c>
      <c r="D210" s="130" t="s">
        <v>208</v>
      </c>
      <c r="E210" s="130" t="s">
        <v>208</v>
      </c>
      <c r="F210" s="131" t="s">
        <v>208</v>
      </c>
    </row>
    <row r="211" spans="1:6" x14ac:dyDescent="0.25">
      <c r="A211" s="208" t="s">
        <v>210</v>
      </c>
      <c r="B211" s="129" t="s">
        <v>211</v>
      </c>
      <c r="C211" s="132" t="e">
        <f>MAX(Omia_60°C!C48:O48)</f>
        <v>#N/A</v>
      </c>
      <c r="D211" s="130" t="e">
        <f>_xlfn.XLOOKUP(INT(SUBSTITUTE(E211,"Connecteur ","")),Mesures_Omia!C23:C35,Mesures_Omia!A23:A35)</f>
        <v>#N/A</v>
      </c>
      <c r="E211" s="130" t="e" cm="1">
        <f t="array" ref="E211">_xlfn.XLOOKUP(MAX(Omia_60°C!C48:O48),Omia_60°C!C48:O48,_xlfn.ANCHORARRAY(Omia_60°C!C47))</f>
        <v>#N/A</v>
      </c>
      <c r="F211" s="130" t="e">
        <f>_xlfn.XLOOKUP(INT(SUBSTITUTE(E211,"Connecteur ","")),Mesures_Omia!C23:C35,Mesures_Omia!B23:B35)</f>
        <v>#N/A</v>
      </c>
    </row>
    <row r="212" spans="1:6" x14ac:dyDescent="0.25">
      <c r="A212" s="208"/>
      <c r="B212" s="129" t="s">
        <v>212</v>
      </c>
      <c r="C212" s="132" t="e">
        <f>MIN(Omia_60°C!C48:O48)</f>
        <v>#N/A</v>
      </c>
      <c r="D212" s="130" t="e">
        <f>_xlfn.XLOOKUP(INT(SUBSTITUTE(E212,"Connecteur ","")),Mesures_Omia!C23:C35,Mesures_Omia!A23:A35)</f>
        <v>#N/A</v>
      </c>
      <c r="E212" s="130" t="e" cm="1">
        <f t="array" ref="E212">_xlfn.XLOOKUP(MIN(Omia_60°C!C48:O48),Omia_60°C!C48:O48,_xlfn.ANCHORARRAY(Omia_60°C!C47))</f>
        <v>#N/A</v>
      </c>
      <c r="F212" s="131" t="e">
        <f>_xlfn.XLOOKUP(INT(SUBSTITUTE(E212,"Connecteur ","")),Mesures_Omia!C23:C35,Mesures_Omia!B23:B35)</f>
        <v>#N/A</v>
      </c>
    </row>
    <row r="213" spans="1:6" x14ac:dyDescent="0.25">
      <c r="A213" s="208"/>
      <c r="B213" s="129" t="s">
        <v>213</v>
      </c>
      <c r="C213" s="132" t="e">
        <f>MIN(Omia_60°C!C49:O49)</f>
        <v>#N/A</v>
      </c>
      <c r="D213" s="130" t="e">
        <f>_xlfn.XLOOKUP(INT(SUBSTITUTE(E213,"Connecteur ","")),Mesures_Omia!C23:C35,Mesures_Omia!A23:A35)</f>
        <v>#N/A</v>
      </c>
      <c r="E213" s="130" t="e" cm="1">
        <f t="array" ref="E213">_xlfn.XLOOKUP(MIN(Omia_60°C!C49:O49),Omia_60°C!C49:O49,_xlfn.ANCHORARRAY(Omia_60°C!C47))</f>
        <v>#N/A</v>
      </c>
      <c r="F213" s="131" t="e">
        <f>_xlfn.XLOOKUP(INT(SUBSTITUTE(E213,"Connecteur ","")),Mesures_Omia!C23:C35,Mesures_Omia!B23:B35)</f>
        <v>#N/A</v>
      </c>
    </row>
    <row r="214" spans="1:6" x14ac:dyDescent="0.25">
      <c r="A214" s="208"/>
      <c r="B214" s="129" t="s">
        <v>214</v>
      </c>
      <c r="C214" s="132" t="e">
        <f>AVERAGE(Omia_60°C!C50:O50)</f>
        <v>#N/A</v>
      </c>
      <c r="D214" s="130" t="s">
        <v>208</v>
      </c>
      <c r="E214" s="130" t="s">
        <v>208</v>
      </c>
      <c r="F214" s="131" t="s">
        <v>208</v>
      </c>
    </row>
    <row r="215" spans="1:6" x14ac:dyDescent="0.25">
      <c r="C215" s="89"/>
      <c r="D215" s="89"/>
      <c r="E215" s="89"/>
      <c r="F215" s="89"/>
    </row>
    <row r="226" spans="1:14" ht="36" x14ac:dyDescent="0.25">
      <c r="B226" s="200" t="s">
        <v>253</v>
      </c>
      <c r="C226" s="200"/>
      <c r="D226" s="200"/>
      <c r="E226" s="200"/>
      <c r="F226" s="200"/>
    </row>
    <row r="229" spans="1:14" x14ac:dyDescent="0.25">
      <c r="B229" s="192" t="s">
        <v>216</v>
      </c>
      <c r="C229" s="192"/>
    </row>
    <row r="233" spans="1:14" x14ac:dyDescent="0.25">
      <c r="A233" s="1"/>
      <c r="B233" s="152" t="str" cm="1">
        <f t="array" ref="B233:N233">Donnees_Brutes_60[[#Headers],[Connecteur 1]:[Connecteur 13]]</f>
        <v>Connecteur 1</v>
      </c>
      <c r="C233" s="152" t="str">
        <v>Connecteur 2</v>
      </c>
      <c r="D233" s="152" t="str">
        <v>Connecteur 3</v>
      </c>
      <c r="E233" s="152" t="str">
        <v>Connecteur 4</v>
      </c>
      <c r="F233" s="152" t="str">
        <v>Connecteur 5</v>
      </c>
      <c r="G233" s="152" t="str">
        <v>Connecteur 6</v>
      </c>
      <c r="H233" s="152" t="str">
        <v>Connecteur 7</v>
      </c>
      <c r="I233" s="152" t="str">
        <v>Connecteur 8</v>
      </c>
      <c r="J233" s="152" t="str">
        <v>Connecteur 9</v>
      </c>
      <c r="K233" s="152" t="str">
        <v>Connecteur 10</v>
      </c>
      <c r="L233" s="152" t="str">
        <v>Connecteur 11</v>
      </c>
      <c r="M233" s="152" t="str">
        <v>Connecteur 12</v>
      </c>
      <c r="N233" s="152" t="str">
        <v>Connecteur 13</v>
      </c>
    </row>
    <row r="234" spans="1:14" x14ac:dyDescent="0.25">
      <c r="A234" s="42" t="s">
        <v>98</v>
      </c>
      <c r="B234" s="43" t="e">
        <f>Omia_60°C!C48</f>
        <v>#N/A</v>
      </c>
      <c r="C234" s="43" t="e">
        <f>Omia_60°C!D48</f>
        <v>#N/A</v>
      </c>
      <c r="D234" s="43" t="e">
        <f>Omia_60°C!E48</f>
        <v>#N/A</v>
      </c>
      <c r="E234" s="43" t="e">
        <f>Omia_60°C!F48</f>
        <v>#N/A</v>
      </c>
      <c r="F234" s="43" t="e">
        <f>Omia_60°C!G48</f>
        <v>#N/A</v>
      </c>
      <c r="G234" s="43" t="e">
        <f>Omia_60°C!H48</f>
        <v>#N/A</v>
      </c>
      <c r="H234" s="43" t="e">
        <f>Omia_60°C!I48</f>
        <v>#N/A</v>
      </c>
      <c r="I234" s="43" t="e">
        <f>Omia_60°C!J48</f>
        <v>#N/A</v>
      </c>
      <c r="J234" s="43" t="e">
        <f>Omia_60°C!K48</f>
        <v>#N/A</v>
      </c>
      <c r="K234" s="43" t="e">
        <f>Omia_60°C!L48</f>
        <v>#N/A</v>
      </c>
      <c r="L234" s="43" t="e">
        <f>Omia_60°C!M48</f>
        <v>#N/A</v>
      </c>
      <c r="M234" s="43" t="e">
        <f>Omia_60°C!N48</f>
        <v>#N/A</v>
      </c>
      <c r="N234" s="43" t="e">
        <f>Omia_60°C!O48</f>
        <v>#N/A</v>
      </c>
    </row>
    <row r="235" spans="1:14" x14ac:dyDescent="0.25">
      <c r="A235" s="42" t="s">
        <v>100</v>
      </c>
      <c r="B235" s="43" t="e">
        <f>Omia_60°C!C49</f>
        <v>#N/A</v>
      </c>
      <c r="C235" s="43" t="e">
        <f>Omia_60°C!D49</f>
        <v>#N/A</v>
      </c>
      <c r="D235" s="43" t="e">
        <f>Omia_60°C!E49</f>
        <v>#N/A</v>
      </c>
      <c r="E235" s="43" t="e">
        <f>Omia_60°C!F49</f>
        <v>#N/A</v>
      </c>
      <c r="F235" s="43" t="e">
        <f>Omia_60°C!G49</f>
        <v>#N/A</v>
      </c>
      <c r="G235" s="43" t="e">
        <f>Omia_60°C!H49</f>
        <v>#N/A</v>
      </c>
      <c r="H235" s="43" t="e">
        <f>Omia_60°C!I49</f>
        <v>#N/A</v>
      </c>
      <c r="I235" s="43" t="e">
        <f>Omia_60°C!J49</f>
        <v>#N/A</v>
      </c>
      <c r="J235" s="43" t="e">
        <f>Omia_60°C!K49</f>
        <v>#N/A</v>
      </c>
      <c r="K235" s="43" t="e">
        <f>Omia_60°C!L49</f>
        <v>#N/A</v>
      </c>
      <c r="L235" s="43" t="e">
        <f>Omia_60°C!M49</f>
        <v>#N/A</v>
      </c>
      <c r="M235" s="43" t="e">
        <f>Omia_60°C!N49</f>
        <v>#N/A</v>
      </c>
      <c r="N235" s="43" t="e">
        <f>Omia_60°C!O49</f>
        <v>#N/A</v>
      </c>
    </row>
    <row r="236" spans="1:14" x14ac:dyDescent="0.25">
      <c r="A236" s="42" t="s">
        <v>102</v>
      </c>
      <c r="B236" s="43" t="e">
        <f>Omia_60°C!C50</f>
        <v>#N/A</v>
      </c>
      <c r="C236" s="43" t="e">
        <f>Omia_60°C!D50</f>
        <v>#N/A</v>
      </c>
      <c r="D236" s="43" t="e">
        <f>Omia_60°C!E50</f>
        <v>#N/A</v>
      </c>
      <c r="E236" s="43" t="e">
        <f>Omia_60°C!F50</f>
        <v>#N/A</v>
      </c>
      <c r="F236" s="43" t="e">
        <f>Omia_60°C!G50</f>
        <v>#N/A</v>
      </c>
      <c r="G236" s="43" t="e">
        <f>Omia_60°C!H50</f>
        <v>#N/A</v>
      </c>
      <c r="H236" s="43" t="e">
        <f>Omia_60°C!I50</f>
        <v>#N/A</v>
      </c>
      <c r="I236" s="43" t="e">
        <f>Omia_60°C!J50</f>
        <v>#N/A</v>
      </c>
      <c r="J236" s="43" t="e">
        <f>Omia_60°C!K50</f>
        <v>#N/A</v>
      </c>
      <c r="K236" s="43" t="e">
        <f>Omia_60°C!L50</f>
        <v>#N/A</v>
      </c>
      <c r="L236" s="43" t="e">
        <f>Omia_60°C!M50</f>
        <v>#N/A</v>
      </c>
      <c r="M236" s="43" t="e">
        <f>Omia_60°C!N50</f>
        <v>#N/A</v>
      </c>
      <c r="N236" s="43" t="e">
        <f>Omia_60°C!O50</f>
        <v>#N/A</v>
      </c>
    </row>
    <row r="237" spans="1:14" x14ac:dyDescent="0.25">
      <c r="A237" s="42" t="s">
        <v>103</v>
      </c>
      <c r="B237" s="43" t="e">
        <f>Omia_60°C!C51</f>
        <v>#N/A</v>
      </c>
      <c r="C237" s="43" t="e">
        <f>Omia_60°C!D51</f>
        <v>#N/A</v>
      </c>
      <c r="D237" s="43" t="e">
        <f>Omia_60°C!E51</f>
        <v>#N/A</v>
      </c>
      <c r="E237" s="43" t="e">
        <f>Omia_60°C!F51</f>
        <v>#N/A</v>
      </c>
      <c r="F237" s="43" t="e">
        <f>Omia_60°C!G51</f>
        <v>#N/A</v>
      </c>
      <c r="G237" s="43" t="e">
        <f>Omia_60°C!H51</f>
        <v>#N/A</v>
      </c>
      <c r="H237" s="43" t="e">
        <f>Omia_60°C!I51</f>
        <v>#N/A</v>
      </c>
      <c r="I237" s="43" t="e">
        <f>Omia_60°C!J51</f>
        <v>#N/A</v>
      </c>
      <c r="J237" s="43" t="e">
        <f>Omia_60°C!K51</f>
        <v>#N/A</v>
      </c>
      <c r="K237" s="43" t="e">
        <f>Omia_60°C!L51</f>
        <v>#N/A</v>
      </c>
      <c r="L237" s="43" t="e">
        <f>Omia_60°C!M51</f>
        <v>#N/A</v>
      </c>
      <c r="M237" s="43" t="e">
        <f>Omia_60°C!N51</f>
        <v>#N/A</v>
      </c>
      <c r="N237" s="43" t="e">
        <f>Omia_60°C!O51</f>
        <v>#N/A</v>
      </c>
    </row>
    <row r="238" spans="1:14" x14ac:dyDescent="0.25">
      <c r="A238" s="42" t="s">
        <v>104</v>
      </c>
      <c r="B238" s="239" t="e">
        <f>Omia_60°C!C52</f>
        <v>#N/A</v>
      </c>
      <c r="C238" s="240"/>
      <c r="D238" s="240"/>
      <c r="E238" s="240"/>
      <c r="F238" s="240"/>
      <c r="G238" s="240"/>
      <c r="H238" s="240"/>
      <c r="I238" s="240"/>
      <c r="J238" s="240"/>
      <c r="K238" s="240"/>
      <c r="L238" s="240"/>
      <c r="M238" s="240"/>
      <c r="N238" s="241"/>
    </row>
    <row r="239" spans="1:14" x14ac:dyDescent="0.25">
      <c r="A239" s="42" t="s">
        <v>105</v>
      </c>
      <c r="B239" s="239" t="e">
        <f>Omia_60°C!C53</f>
        <v>#N/A</v>
      </c>
      <c r="C239" s="240"/>
      <c r="D239" s="240"/>
      <c r="E239" s="240"/>
      <c r="F239" s="240"/>
      <c r="G239" s="240"/>
      <c r="H239" s="240"/>
      <c r="I239" s="240"/>
      <c r="J239" s="240"/>
      <c r="K239" s="240"/>
      <c r="L239" s="240"/>
      <c r="M239" s="240"/>
      <c r="N239" s="241"/>
    </row>
    <row r="240" spans="1:14" x14ac:dyDescent="0.25">
      <c r="A240" s="36" t="s">
        <v>106</v>
      </c>
      <c r="B240" s="153" t="e" cm="1">
        <f t="array" aca="1" ref="B240:N240" ca="1">Omia_60°C!C54:O54</f>
        <v>#REF!</v>
      </c>
      <c r="C240" s="154" t="e">
        <f ca="1"/>
        <v>#REF!</v>
      </c>
      <c r="D240" s="154" t="e">
        <f ca="1"/>
        <v>#REF!</v>
      </c>
      <c r="E240" s="154" t="e">
        <f ca="1"/>
        <v>#REF!</v>
      </c>
      <c r="F240" s="154" t="e">
        <f ca="1"/>
        <v>#REF!</v>
      </c>
      <c r="G240" s="154" t="e">
        <f ca="1"/>
        <v>#REF!</v>
      </c>
      <c r="H240" s="154" t="e">
        <f ca="1"/>
        <v>#REF!</v>
      </c>
      <c r="I240" s="154" t="e">
        <f ca="1"/>
        <v>#REF!</v>
      </c>
      <c r="J240" s="154" t="e">
        <f ca="1"/>
        <v>#REF!</v>
      </c>
      <c r="K240" s="154" t="e">
        <f ca="1"/>
        <v>#REF!</v>
      </c>
      <c r="L240" s="154" t="e">
        <f ca="1"/>
        <v>#REF!</v>
      </c>
      <c r="M240" s="154" t="e">
        <f ca="1"/>
        <v>#REF!</v>
      </c>
      <c r="N240" s="154" t="e">
        <f ca="1"/>
        <v>#REF!</v>
      </c>
    </row>
    <row r="252" spans="2:6" x14ac:dyDescent="0.25">
      <c r="B252" s="135"/>
    </row>
    <row r="254" spans="2:6" ht="36" x14ac:dyDescent="0.3">
      <c r="C254" s="136" t="s">
        <v>254</v>
      </c>
      <c r="D254" s="137"/>
      <c r="E254" s="137"/>
      <c r="F254" s="137"/>
    </row>
    <row r="257" spans="2:2" x14ac:dyDescent="0.25">
      <c r="B257" t="s">
        <v>223</v>
      </c>
    </row>
    <row r="299" spans="1:9" x14ac:dyDescent="0.25">
      <c r="A299" s="122" t="s">
        <v>251</v>
      </c>
      <c r="B299" s="124">
        <v>150</v>
      </c>
      <c r="G299" s="204" t="s">
        <v>198</v>
      </c>
      <c r="H299" s="205"/>
      <c r="I299" s="206"/>
    </row>
    <row r="300" spans="1:9" x14ac:dyDescent="0.25">
      <c r="A300" s="122" t="s">
        <v>252</v>
      </c>
      <c r="B300" s="151">
        <f>Mesures_Omia!B20</f>
        <v>0</v>
      </c>
      <c r="G300" s="22" t="s">
        <v>199</v>
      </c>
      <c r="H300" s="22" t="s">
        <v>200</v>
      </c>
      <c r="I300" s="22" t="s">
        <v>201</v>
      </c>
    </row>
    <row r="301" spans="1:9" x14ac:dyDescent="0.25">
      <c r="G301" s="125">
        <f>Omia_150°C!B11</f>
        <v>0</v>
      </c>
      <c r="H301" s="125">
        <f>Omia_150°C!B41</f>
        <v>0</v>
      </c>
      <c r="I301" s="125">
        <f>H301-G301</f>
        <v>0</v>
      </c>
    </row>
    <row r="304" spans="1:9" ht="23.25" x14ac:dyDescent="0.25">
      <c r="B304" s="207" t="s">
        <v>202</v>
      </c>
      <c r="C304" s="207"/>
    </row>
    <row r="307" spans="1:6" ht="30" x14ac:dyDescent="0.25">
      <c r="B307" s="126" t="s">
        <v>203</v>
      </c>
      <c r="C307" s="127" t="s">
        <v>204</v>
      </c>
      <c r="D307" s="127" t="s">
        <v>119</v>
      </c>
      <c r="E307" s="128" t="s">
        <v>205</v>
      </c>
      <c r="F307" s="127" t="s">
        <v>206</v>
      </c>
    </row>
    <row r="308" spans="1:6" x14ac:dyDescent="0.25">
      <c r="B308" s="129" t="s">
        <v>207</v>
      </c>
      <c r="C308" s="130" t="str">
        <f>"150°C"</f>
        <v>150°C</v>
      </c>
      <c r="D308" s="130" t="s">
        <v>208</v>
      </c>
      <c r="E308" s="130" t="s">
        <v>208</v>
      </c>
      <c r="F308" s="131" t="s">
        <v>208</v>
      </c>
    </row>
    <row r="309" spans="1:6" x14ac:dyDescent="0.25">
      <c r="B309" s="129" t="s">
        <v>209</v>
      </c>
      <c r="C309" s="130" t="str">
        <f>"150°C"</f>
        <v>150°C</v>
      </c>
      <c r="D309" s="130" t="s">
        <v>208</v>
      </c>
      <c r="E309" s="130" t="s">
        <v>208</v>
      </c>
      <c r="F309" s="131" t="s">
        <v>208</v>
      </c>
    </row>
    <row r="310" spans="1:6" x14ac:dyDescent="0.25">
      <c r="A310" s="208" t="s">
        <v>210</v>
      </c>
      <c r="B310" s="129" t="s">
        <v>211</v>
      </c>
      <c r="C310" s="132" t="e">
        <f>MAX(Omia_150°C!C48:O48)</f>
        <v>#N/A</v>
      </c>
      <c r="D310" s="130" t="e">
        <f>_xlfn.XLOOKUP(INT(SUBSTITUTE(E310,"Connecteur ","")),Mesures_Omia!C23:C35,Mesures_Omia!A23:A35)</f>
        <v>#N/A</v>
      </c>
      <c r="E310" s="130" t="e" cm="1">
        <f t="array" ref="E310">_xlfn.XLOOKUP(MAX(Omia_150°C!C48:O48),Omia_150°C!C48:O48,_xlfn.ANCHORARRAY(Omia_150°C!C47))</f>
        <v>#N/A</v>
      </c>
      <c r="F310" s="130" t="e">
        <f>_xlfn.XLOOKUP(INT(SUBSTITUTE(E310,"Connecteur ","")),Mesures_Omia!C23:C35,Mesures_Omia!B23:B35)</f>
        <v>#N/A</v>
      </c>
    </row>
    <row r="311" spans="1:6" x14ac:dyDescent="0.25">
      <c r="A311" s="208"/>
      <c r="B311" s="129" t="s">
        <v>212</v>
      </c>
      <c r="C311" s="132" t="e">
        <f>MIN(Omia_150°C!C48:O48)</f>
        <v>#N/A</v>
      </c>
      <c r="D311" s="130" t="e">
        <f>_xlfn.XLOOKUP(INT(SUBSTITUTE(E311,"Connecteur ","")),Mesures_Omia!C23:C35,Mesures_Omia!A23:A35)</f>
        <v>#N/A</v>
      </c>
      <c r="E311" s="130" t="e" cm="1">
        <f t="array" ref="E311">_xlfn.XLOOKUP(MIN(Omia_150°C!C48:O48),Omia_150°C!C48:O48,_xlfn.ANCHORARRAY(Omia_150°C!C47))</f>
        <v>#N/A</v>
      </c>
      <c r="F311" s="131" t="e">
        <f>_xlfn.XLOOKUP(INT(SUBSTITUTE(E311,"Connecteur ","")),Mesures_Omia!C23:C35,Mesures_Omia!B23:B35)</f>
        <v>#N/A</v>
      </c>
    </row>
    <row r="312" spans="1:6" x14ac:dyDescent="0.25">
      <c r="A312" s="208"/>
      <c r="B312" s="129" t="s">
        <v>213</v>
      </c>
      <c r="C312" s="132" t="e">
        <f>MIN(Omia_150°C!C48:O48)</f>
        <v>#N/A</v>
      </c>
      <c r="D312" s="130" t="e">
        <f>_xlfn.XLOOKUP(INT(SUBSTITUTE(E312,"Connecteur ","")),Mesures_Omia!C24:C36,Mesures_Omia!A24:A36)</f>
        <v>#N/A</v>
      </c>
      <c r="E312" s="130" t="e" cm="1">
        <f t="array" ref="E312">_xlfn.XLOOKUP(MIN(Omia_150°C!C49:O49),Omia_150°C!C49:O49,_xlfn.ANCHORARRAY(Omia_150°C!C47))</f>
        <v>#N/A</v>
      </c>
      <c r="F312" s="131" t="e">
        <f>_xlfn.XLOOKUP(INT(SUBSTITUTE(E312,"Connecteur ","")),Mesures_Omia!C24:C36,Mesures_Omia!B24:B36)</f>
        <v>#N/A</v>
      </c>
    </row>
    <row r="313" spans="1:6" x14ac:dyDescent="0.25">
      <c r="A313" s="208"/>
      <c r="B313" s="129" t="s">
        <v>214</v>
      </c>
      <c r="C313" s="132" t="e">
        <f>AVERAGE(Omia_150°C!C48:O48)</f>
        <v>#N/A</v>
      </c>
      <c r="D313" s="130" t="s">
        <v>208</v>
      </c>
      <c r="E313" s="130" t="s">
        <v>208</v>
      </c>
      <c r="F313" s="131" t="s">
        <v>208</v>
      </c>
    </row>
    <row r="314" spans="1:6" x14ac:dyDescent="0.25">
      <c r="C314" s="89"/>
      <c r="D314" s="89"/>
      <c r="E314" s="89"/>
      <c r="F314" s="89"/>
    </row>
    <row r="324" spans="1:14" ht="36" x14ac:dyDescent="0.25">
      <c r="B324" s="200" t="s">
        <v>255</v>
      </c>
      <c r="C324" s="200"/>
      <c r="D324" s="200"/>
      <c r="E324" s="200"/>
      <c r="F324" s="200"/>
    </row>
    <row r="327" spans="1:14" x14ac:dyDescent="0.25">
      <c r="B327" s="192" t="s">
        <v>216</v>
      </c>
      <c r="C327" s="192"/>
    </row>
    <row r="331" spans="1:14" x14ac:dyDescent="0.25">
      <c r="A331" s="1"/>
      <c r="B331" s="152" t="str" cm="1">
        <f t="array" ref="B331:N331">Donnees_Brutes_60[[#Headers],[Connecteur 1]:[Connecteur 13]]</f>
        <v>Connecteur 1</v>
      </c>
      <c r="C331" s="152" t="str">
        <v>Connecteur 2</v>
      </c>
      <c r="D331" s="152" t="str">
        <v>Connecteur 3</v>
      </c>
      <c r="E331" s="152" t="str">
        <v>Connecteur 4</v>
      </c>
      <c r="F331" s="152" t="str">
        <v>Connecteur 5</v>
      </c>
      <c r="G331" s="152" t="str">
        <v>Connecteur 6</v>
      </c>
      <c r="H331" s="152" t="str">
        <v>Connecteur 7</v>
      </c>
      <c r="I331" s="152" t="str">
        <v>Connecteur 8</v>
      </c>
      <c r="J331" s="152" t="str">
        <v>Connecteur 9</v>
      </c>
      <c r="K331" s="152" t="str">
        <v>Connecteur 10</v>
      </c>
      <c r="L331" s="152" t="str">
        <v>Connecteur 11</v>
      </c>
      <c r="M331" s="152" t="str">
        <v>Connecteur 12</v>
      </c>
      <c r="N331" s="152" t="str">
        <v>Connecteur 13</v>
      </c>
    </row>
    <row r="332" spans="1:14" x14ac:dyDescent="0.25">
      <c r="A332" s="42" t="s">
        <v>98</v>
      </c>
      <c r="B332" s="43" t="e" cm="1">
        <f t="array" ref="B332:N335">Omia_150°C!C48:O51</f>
        <v>#N/A</v>
      </c>
      <c r="C332" s="43" t="e">
        <v>#N/A</v>
      </c>
      <c r="D332" s="43" t="e">
        <v>#N/A</v>
      </c>
      <c r="E332" s="43" t="e">
        <v>#N/A</v>
      </c>
      <c r="F332" s="43" t="e">
        <v>#N/A</v>
      </c>
      <c r="G332" s="43" t="e">
        <v>#N/A</v>
      </c>
      <c r="H332" s="43" t="e">
        <v>#N/A</v>
      </c>
      <c r="I332" s="43" t="e">
        <v>#N/A</v>
      </c>
      <c r="J332" s="43" t="e">
        <v>#N/A</v>
      </c>
      <c r="K332" s="43" t="e">
        <v>#N/A</v>
      </c>
      <c r="L332" s="43" t="e">
        <v>#N/A</v>
      </c>
      <c r="M332" s="43" t="e">
        <v>#N/A</v>
      </c>
      <c r="N332" s="43" t="e">
        <v>#N/A</v>
      </c>
    </row>
    <row r="333" spans="1:14" x14ac:dyDescent="0.25">
      <c r="A333" s="42" t="s">
        <v>100</v>
      </c>
      <c r="B333" s="43" t="e">
        <v>#N/A</v>
      </c>
      <c r="C333" s="43" t="e">
        <v>#N/A</v>
      </c>
      <c r="D333" s="43" t="e">
        <v>#N/A</v>
      </c>
      <c r="E333" s="43" t="e">
        <v>#N/A</v>
      </c>
      <c r="F333" s="43" t="e">
        <v>#N/A</v>
      </c>
      <c r="G333" s="43" t="e">
        <v>#N/A</v>
      </c>
      <c r="H333" s="43" t="e">
        <v>#N/A</v>
      </c>
      <c r="I333" s="43" t="e">
        <v>#N/A</v>
      </c>
      <c r="J333" s="43" t="e">
        <v>#N/A</v>
      </c>
      <c r="K333" s="43" t="e">
        <v>#N/A</v>
      </c>
      <c r="L333" s="43" t="e">
        <v>#N/A</v>
      </c>
      <c r="M333" s="43" t="e">
        <v>#N/A</v>
      </c>
      <c r="N333" s="43" t="e">
        <v>#N/A</v>
      </c>
    </row>
    <row r="334" spans="1:14" x14ac:dyDescent="0.25">
      <c r="A334" s="42" t="s">
        <v>102</v>
      </c>
      <c r="B334" s="43" t="e">
        <v>#N/A</v>
      </c>
      <c r="C334" s="43" t="e">
        <v>#N/A</v>
      </c>
      <c r="D334" s="43" t="e">
        <v>#N/A</v>
      </c>
      <c r="E334" s="43" t="e">
        <v>#N/A</v>
      </c>
      <c r="F334" s="43" t="e">
        <v>#N/A</v>
      </c>
      <c r="G334" s="43" t="e">
        <v>#N/A</v>
      </c>
      <c r="H334" s="43" t="e">
        <v>#N/A</v>
      </c>
      <c r="I334" s="43" t="e">
        <v>#N/A</v>
      </c>
      <c r="J334" s="43" t="e">
        <v>#N/A</v>
      </c>
      <c r="K334" s="43" t="e">
        <v>#N/A</v>
      </c>
      <c r="L334" s="43" t="e">
        <v>#N/A</v>
      </c>
      <c r="M334" s="43" t="e">
        <v>#N/A</v>
      </c>
      <c r="N334" s="43" t="e">
        <v>#N/A</v>
      </c>
    </row>
    <row r="335" spans="1:14" x14ac:dyDescent="0.25">
      <c r="A335" s="42" t="s">
        <v>103</v>
      </c>
      <c r="B335" s="43" t="e">
        <v>#N/A</v>
      </c>
      <c r="C335" s="43" t="e">
        <v>#N/A</v>
      </c>
      <c r="D335" s="43" t="e">
        <v>#N/A</v>
      </c>
      <c r="E335" s="43" t="e">
        <v>#N/A</v>
      </c>
      <c r="F335" s="43" t="e">
        <v>#N/A</v>
      </c>
      <c r="G335" s="43" t="e">
        <v>#N/A</v>
      </c>
      <c r="H335" s="43" t="e">
        <v>#N/A</v>
      </c>
      <c r="I335" s="43" t="e">
        <v>#N/A</v>
      </c>
      <c r="J335" s="43" t="e">
        <v>#N/A</v>
      </c>
      <c r="K335" s="43" t="e">
        <v>#N/A</v>
      </c>
      <c r="L335" s="43" t="e">
        <v>#N/A</v>
      </c>
      <c r="M335" s="43" t="e">
        <v>#N/A</v>
      </c>
      <c r="N335" s="43" t="e">
        <v>#N/A</v>
      </c>
    </row>
    <row r="336" spans="1:14" x14ac:dyDescent="0.25">
      <c r="A336" s="42" t="s">
        <v>104</v>
      </c>
      <c r="B336" s="239" t="e">
        <f>Omia_150°C!C52</f>
        <v>#N/A</v>
      </c>
      <c r="C336" s="240"/>
      <c r="D336" s="240"/>
      <c r="E336" s="240"/>
      <c r="F336" s="240"/>
      <c r="G336" s="240"/>
      <c r="H336" s="240"/>
      <c r="I336" s="240"/>
      <c r="J336" s="240"/>
      <c r="K336" s="240"/>
      <c r="L336" s="240"/>
      <c r="M336" s="240"/>
      <c r="N336" s="241"/>
    </row>
    <row r="337" spans="1:14" x14ac:dyDescent="0.25">
      <c r="A337" s="42" t="s">
        <v>105</v>
      </c>
      <c r="B337" s="239" t="e">
        <f>Omia_150°C!C53</f>
        <v>#N/A</v>
      </c>
      <c r="C337" s="240"/>
      <c r="D337" s="240"/>
      <c r="E337" s="240"/>
      <c r="F337" s="240"/>
      <c r="G337" s="240"/>
      <c r="H337" s="240"/>
      <c r="I337" s="240"/>
      <c r="J337" s="240"/>
      <c r="K337" s="240"/>
      <c r="L337" s="240"/>
      <c r="M337" s="240"/>
      <c r="N337" s="241"/>
    </row>
    <row r="338" spans="1:14" x14ac:dyDescent="0.25">
      <c r="A338" s="36" t="s">
        <v>106</v>
      </c>
      <c r="B338" s="153" t="e" cm="1">
        <f t="array" aca="1" ref="B338:N338" ca="1">Omia_150°C!C54:O54</f>
        <v>#REF!</v>
      </c>
      <c r="C338" s="154" t="e">
        <f ca="1"/>
        <v>#REF!</v>
      </c>
      <c r="D338" s="154" t="e">
        <f ca="1"/>
        <v>#REF!</v>
      </c>
      <c r="E338" s="154" t="e">
        <f ca="1"/>
        <v>#REF!</v>
      </c>
      <c r="F338" s="154" t="e">
        <f ca="1"/>
        <v>#REF!</v>
      </c>
      <c r="G338" s="154" t="e">
        <f ca="1"/>
        <v>#REF!</v>
      </c>
      <c r="H338" s="154" t="e">
        <f ca="1"/>
        <v>#REF!</v>
      </c>
      <c r="I338" s="154" t="e">
        <f ca="1"/>
        <v>#REF!</v>
      </c>
      <c r="J338" s="154" t="e">
        <f ca="1"/>
        <v>#REF!</v>
      </c>
      <c r="K338" s="154" t="e">
        <f ca="1"/>
        <v>#REF!</v>
      </c>
      <c r="L338" s="154" t="e">
        <f ca="1"/>
        <v>#REF!</v>
      </c>
      <c r="M338" s="154" t="e">
        <f ca="1"/>
        <v>#REF!</v>
      </c>
      <c r="N338" s="154" t="e">
        <f ca="1"/>
        <v>#REF!</v>
      </c>
    </row>
    <row r="348" spans="1:14" x14ac:dyDescent="0.25">
      <c r="B348" s="135"/>
    </row>
    <row r="350" spans="1:14" ht="36" x14ac:dyDescent="0.3">
      <c r="C350" s="136" t="s">
        <v>256</v>
      </c>
      <c r="D350" s="137"/>
      <c r="E350" s="137"/>
      <c r="F350" s="137"/>
    </row>
    <row r="353" spans="2:2" x14ac:dyDescent="0.25">
      <c r="B353" t="s">
        <v>223</v>
      </c>
    </row>
    <row r="409" spans="1:9" x14ac:dyDescent="0.25">
      <c r="A409" s="122" t="s">
        <v>251</v>
      </c>
      <c r="B409" s="124">
        <v>190</v>
      </c>
      <c r="G409" s="204" t="s">
        <v>198</v>
      </c>
      <c r="H409" s="205"/>
      <c r="I409" s="206"/>
    </row>
    <row r="410" spans="1:9" x14ac:dyDescent="0.25">
      <c r="A410" s="122" t="s">
        <v>252</v>
      </c>
      <c r="B410" s="151">
        <f>Mesures_Omia!B20</f>
        <v>0</v>
      </c>
      <c r="G410" s="22" t="s">
        <v>199</v>
      </c>
      <c r="H410" s="22" t="s">
        <v>200</v>
      </c>
      <c r="I410" s="22" t="s">
        <v>201</v>
      </c>
    </row>
    <row r="411" spans="1:9" x14ac:dyDescent="0.25">
      <c r="G411" s="125">
        <f>Omia_190°C!B11</f>
        <v>0</v>
      </c>
      <c r="H411" s="125">
        <f>Omia_190°C!B41</f>
        <v>0</v>
      </c>
      <c r="I411" s="125">
        <f>H411-G411</f>
        <v>0</v>
      </c>
    </row>
    <row r="414" spans="1:9" ht="23.25" x14ac:dyDescent="0.25">
      <c r="B414" s="207" t="s">
        <v>202</v>
      </c>
      <c r="C414" s="207"/>
    </row>
    <row r="417" spans="1:6" ht="30" x14ac:dyDescent="0.25">
      <c r="B417" s="126" t="s">
        <v>203</v>
      </c>
      <c r="C417" s="127" t="s">
        <v>204</v>
      </c>
      <c r="D417" s="127" t="s">
        <v>119</v>
      </c>
      <c r="E417" s="128" t="s">
        <v>205</v>
      </c>
      <c r="F417" s="127" t="s">
        <v>206</v>
      </c>
    </row>
    <row r="418" spans="1:6" x14ac:dyDescent="0.25">
      <c r="B418" s="129" t="s">
        <v>207</v>
      </c>
      <c r="C418" s="130" t="str">
        <f>"190°C"</f>
        <v>190°C</v>
      </c>
      <c r="D418" s="130" t="s">
        <v>208</v>
      </c>
      <c r="E418" s="130" t="s">
        <v>208</v>
      </c>
      <c r="F418" s="131" t="s">
        <v>208</v>
      </c>
    </row>
    <row r="419" spans="1:6" x14ac:dyDescent="0.25">
      <c r="B419" s="129" t="s">
        <v>209</v>
      </c>
      <c r="C419" s="130" t="str">
        <f>"190°C"</f>
        <v>190°C</v>
      </c>
      <c r="D419" s="130" t="s">
        <v>208</v>
      </c>
      <c r="E419" s="130" t="s">
        <v>208</v>
      </c>
      <c r="F419" s="131" t="s">
        <v>208</v>
      </c>
    </row>
    <row r="420" spans="1:6" x14ac:dyDescent="0.25">
      <c r="A420" s="208" t="s">
        <v>210</v>
      </c>
      <c r="B420" s="129" t="s">
        <v>211</v>
      </c>
      <c r="C420" s="132" t="e">
        <f>MAX(Omia_190°C!C48:O48)</f>
        <v>#N/A</v>
      </c>
      <c r="D420" s="130" t="e">
        <f>_xlfn.XLOOKUP(INT(SUBSTITUTE(E420,"Connecteur ","")),Mesures_Omia!C23:C35,Mesures_Omia!A23:A35)</f>
        <v>#N/A</v>
      </c>
      <c r="E420" s="130" t="e" cm="1">
        <f t="array" ref="E420">_xlfn.XLOOKUP(MAX(Omia_190°C!C48:O48),Omia_190°C!C48:O48,_xlfn.ANCHORARRAY(Omia_190°C!C47))</f>
        <v>#N/A</v>
      </c>
      <c r="F420" s="130" t="e">
        <f>_xlfn.XLOOKUP(INT(SUBSTITUTE(E420,"Connecteur ","")),Mesures_Omia!C23:C35,Mesures_Omia!B23:B35)</f>
        <v>#N/A</v>
      </c>
    </row>
    <row r="421" spans="1:6" x14ac:dyDescent="0.25">
      <c r="A421" s="208"/>
      <c r="B421" s="129" t="s">
        <v>212</v>
      </c>
      <c r="C421" s="132" t="e">
        <f>MIN(Omia_190°C!C48:O48)</f>
        <v>#N/A</v>
      </c>
      <c r="D421" s="130" t="e">
        <f>_xlfn.XLOOKUP(INT(SUBSTITUTE(E421,"Connecteur ","")),Mesures_Omia!C23:C35,Mesures_Omia!A23:A35)</f>
        <v>#N/A</v>
      </c>
      <c r="E421" s="130" t="e" cm="1">
        <f t="array" ref="E421">_xlfn.XLOOKUP(MIN(Omia_190°C!C48:O48),Omia_190°C!C48:O48,_xlfn.ANCHORARRAY(Omia_190°C!C47))</f>
        <v>#N/A</v>
      </c>
      <c r="F421" s="131" t="e">
        <f>_xlfn.XLOOKUP(INT(SUBSTITUTE(E421,"Connecteur ","")),Mesures_Omia!C23:C35,Mesures_Omia!B23:B35)</f>
        <v>#N/A</v>
      </c>
    </row>
    <row r="422" spans="1:6" x14ac:dyDescent="0.25">
      <c r="A422" s="208"/>
      <c r="B422" s="129" t="s">
        <v>213</v>
      </c>
      <c r="C422" s="132" t="e">
        <f>MIN(Omia_190°C!C49:O49)</f>
        <v>#N/A</v>
      </c>
      <c r="D422" s="130" t="e">
        <f>_xlfn.XLOOKUP(INT(SUBSTITUTE(E422,"Connecteur ","")),Mesures_Omia!C23:C35,Mesures_Omia!A23:A35)</f>
        <v>#N/A</v>
      </c>
      <c r="E422" s="130" t="e" cm="1">
        <f t="array" ref="E422">_xlfn.XLOOKUP(MAX(Omia_190°C!C49:O49),Omia_190°C!C49:O49,_xlfn.ANCHORARRAY(Omia_190°C!C47))</f>
        <v>#N/A</v>
      </c>
      <c r="F422" s="131" t="e">
        <f>_xlfn.XLOOKUP(INT(SUBSTITUTE(E422,"Connecteur ","")),Mesures_Omia!C23:C35,Mesures_Omia!B23:B35)</f>
        <v>#N/A</v>
      </c>
    </row>
    <row r="423" spans="1:6" x14ac:dyDescent="0.25">
      <c r="A423" s="208"/>
      <c r="B423" s="129" t="s">
        <v>214</v>
      </c>
      <c r="C423" s="132" t="e">
        <f>AVERAGE(Omia_190°C!C50:O50)</f>
        <v>#N/A</v>
      </c>
      <c r="D423" s="130" t="s">
        <v>208</v>
      </c>
      <c r="E423" s="130" t="s">
        <v>208</v>
      </c>
      <c r="F423" s="131" t="s">
        <v>208</v>
      </c>
    </row>
    <row r="424" spans="1:6" x14ac:dyDescent="0.25">
      <c r="C424" s="89"/>
      <c r="D424" s="89"/>
      <c r="E424" s="89"/>
      <c r="F424" s="89"/>
    </row>
    <row r="433" spans="1:14" ht="36" x14ac:dyDescent="0.25">
      <c r="B433" s="200" t="s">
        <v>255</v>
      </c>
      <c r="C433" s="200"/>
      <c r="D433" s="200"/>
      <c r="E433" s="200"/>
      <c r="F433" s="200"/>
    </row>
    <row r="436" spans="1:14" x14ac:dyDescent="0.25">
      <c r="B436" s="192" t="s">
        <v>216</v>
      </c>
      <c r="C436" s="192"/>
    </row>
    <row r="440" spans="1:14" x14ac:dyDescent="0.25">
      <c r="A440" s="1"/>
      <c r="B440" s="152" t="str" cm="1">
        <f t="array" ref="B440:N440">Donnees_Brutes_60[[#Headers],[Connecteur 1]:[Connecteur 13]]</f>
        <v>Connecteur 1</v>
      </c>
      <c r="C440" s="152" t="str">
        <v>Connecteur 2</v>
      </c>
      <c r="D440" s="152" t="str">
        <v>Connecteur 3</v>
      </c>
      <c r="E440" s="152" t="str">
        <v>Connecteur 4</v>
      </c>
      <c r="F440" s="152" t="str">
        <v>Connecteur 5</v>
      </c>
      <c r="G440" s="152" t="str">
        <v>Connecteur 6</v>
      </c>
      <c r="H440" s="152" t="str">
        <v>Connecteur 7</v>
      </c>
      <c r="I440" s="152" t="str">
        <v>Connecteur 8</v>
      </c>
      <c r="J440" s="152" t="str">
        <v>Connecteur 9</v>
      </c>
      <c r="K440" s="152" t="str">
        <v>Connecteur 10</v>
      </c>
      <c r="L440" s="152" t="str">
        <v>Connecteur 11</v>
      </c>
      <c r="M440" s="152" t="str">
        <v>Connecteur 12</v>
      </c>
      <c r="N440" s="152" t="str">
        <v>Connecteur 13</v>
      </c>
    </row>
    <row r="441" spans="1:14" x14ac:dyDescent="0.25">
      <c r="A441" s="42" t="s">
        <v>98</v>
      </c>
      <c r="B441" s="43" t="e" cm="1">
        <f t="array" ref="B441:N444">Omia_190°C!C48:O51</f>
        <v>#N/A</v>
      </c>
      <c r="C441" s="43" t="e">
        <v>#N/A</v>
      </c>
      <c r="D441" s="43" t="e">
        <v>#N/A</v>
      </c>
      <c r="E441" s="43" t="e">
        <v>#N/A</v>
      </c>
      <c r="F441" s="43" t="e">
        <v>#N/A</v>
      </c>
      <c r="G441" s="43" t="e">
        <v>#N/A</v>
      </c>
      <c r="H441" s="43" t="e">
        <v>#N/A</v>
      </c>
      <c r="I441" s="43" t="e">
        <v>#N/A</v>
      </c>
      <c r="J441" s="43" t="e">
        <v>#N/A</v>
      </c>
      <c r="K441" s="43" t="e">
        <v>#N/A</v>
      </c>
      <c r="L441" s="43" t="e">
        <v>#N/A</v>
      </c>
      <c r="M441" s="43" t="e">
        <v>#N/A</v>
      </c>
      <c r="N441" s="43" t="e">
        <v>#N/A</v>
      </c>
    </row>
    <row r="442" spans="1:14" x14ac:dyDescent="0.25">
      <c r="A442" s="42" t="s">
        <v>100</v>
      </c>
      <c r="B442" s="43" t="e">
        <v>#N/A</v>
      </c>
      <c r="C442" s="43" t="e">
        <v>#N/A</v>
      </c>
      <c r="D442" s="43" t="e">
        <v>#N/A</v>
      </c>
      <c r="E442" s="43" t="e">
        <v>#N/A</v>
      </c>
      <c r="F442" s="43" t="e">
        <v>#N/A</v>
      </c>
      <c r="G442" s="43" t="e">
        <v>#N/A</v>
      </c>
      <c r="H442" s="43" t="e">
        <v>#N/A</v>
      </c>
      <c r="I442" s="43" t="e">
        <v>#N/A</v>
      </c>
      <c r="J442" s="43" t="e">
        <v>#N/A</v>
      </c>
      <c r="K442" s="43" t="e">
        <v>#N/A</v>
      </c>
      <c r="L442" s="43" t="e">
        <v>#N/A</v>
      </c>
      <c r="M442" s="43" t="e">
        <v>#N/A</v>
      </c>
      <c r="N442" s="43" t="e">
        <v>#N/A</v>
      </c>
    </row>
    <row r="443" spans="1:14" x14ac:dyDescent="0.25">
      <c r="A443" s="42" t="s">
        <v>102</v>
      </c>
      <c r="B443" s="43" t="e">
        <v>#N/A</v>
      </c>
      <c r="C443" s="43" t="e">
        <v>#N/A</v>
      </c>
      <c r="D443" s="43" t="e">
        <v>#N/A</v>
      </c>
      <c r="E443" s="43" t="e">
        <v>#N/A</v>
      </c>
      <c r="F443" s="43" t="e">
        <v>#N/A</v>
      </c>
      <c r="G443" s="43" t="e">
        <v>#N/A</v>
      </c>
      <c r="H443" s="43" t="e">
        <v>#N/A</v>
      </c>
      <c r="I443" s="43" t="e">
        <v>#N/A</v>
      </c>
      <c r="J443" s="43" t="e">
        <v>#N/A</v>
      </c>
      <c r="K443" s="43" t="e">
        <v>#N/A</v>
      </c>
      <c r="L443" s="43" t="e">
        <v>#N/A</v>
      </c>
      <c r="M443" s="43" t="e">
        <v>#N/A</v>
      </c>
      <c r="N443" s="43" t="e">
        <v>#N/A</v>
      </c>
    </row>
    <row r="444" spans="1:14" x14ac:dyDescent="0.25">
      <c r="A444" s="42" t="s">
        <v>103</v>
      </c>
      <c r="B444" s="43" t="e">
        <v>#N/A</v>
      </c>
      <c r="C444" s="43" t="e">
        <v>#N/A</v>
      </c>
      <c r="D444" s="43" t="e">
        <v>#N/A</v>
      </c>
      <c r="E444" s="43" t="e">
        <v>#N/A</v>
      </c>
      <c r="F444" s="43" t="e">
        <v>#N/A</v>
      </c>
      <c r="G444" s="43" t="e">
        <v>#N/A</v>
      </c>
      <c r="H444" s="43" t="e">
        <v>#N/A</v>
      </c>
      <c r="I444" s="43" t="e">
        <v>#N/A</v>
      </c>
      <c r="J444" s="43" t="e">
        <v>#N/A</v>
      </c>
      <c r="K444" s="43" t="e">
        <v>#N/A</v>
      </c>
      <c r="L444" s="43" t="e">
        <v>#N/A</v>
      </c>
      <c r="M444" s="43" t="e">
        <v>#N/A</v>
      </c>
      <c r="N444" s="43" t="e">
        <v>#N/A</v>
      </c>
    </row>
    <row r="445" spans="1:14" x14ac:dyDescent="0.25">
      <c r="A445" s="42" t="s">
        <v>104</v>
      </c>
      <c r="B445" s="239" t="e">
        <f>Omia_190°C!C52</f>
        <v>#N/A</v>
      </c>
      <c r="C445" s="240"/>
      <c r="D445" s="240"/>
      <c r="E445" s="240"/>
      <c r="F445" s="240"/>
      <c r="G445" s="240"/>
      <c r="H445" s="240"/>
      <c r="I445" s="240"/>
      <c r="J445" s="240"/>
      <c r="K445" s="240"/>
      <c r="L445" s="240"/>
      <c r="M445" s="240"/>
      <c r="N445" s="241"/>
    </row>
    <row r="446" spans="1:14" x14ac:dyDescent="0.25">
      <c r="A446" s="42" t="s">
        <v>105</v>
      </c>
      <c r="B446" s="239" t="e">
        <f>Omia_190°C!C53</f>
        <v>#N/A</v>
      </c>
      <c r="C446" s="240"/>
      <c r="D446" s="240"/>
      <c r="E446" s="240"/>
      <c r="F446" s="240"/>
      <c r="G446" s="240"/>
      <c r="H446" s="240"/>
      <c r="I446" s="240"/>
      <c r="J446" s="240"/>
      <c r="K446" s="240"/>
      <c r="L446" s="240"/>
      <c r="M446" s="240"/>
      <c r="N446" s="241"/>
    </row>
    <row r="447" spans="1:14" x14ac:dyDescent="0.25">
      <c r="A447" s="36" t="s">
        <v>106</v>
      </c>
      <c r="B447" s="153" t="e" cm="1">
        <f t="array" aca="1" ref="B447:N447" ca="1">Omia_190°C!C54:O54</f>
        <v>#REF!</v>
      </c>
      <c r="C447" s="154" t="e">
        <f ca="1"/>
        <v>#REF!</v>
      </c>
      <c r="D447" s="154" t="e">
        <f ca="1"/>
        <v>#REF!</v>
      </c>
      <c r="E447" s="154" t="e">
        <f ca="1"/>
        <v>#REF!</v>
      </c>
      <c r="F447" s="154" t="e">
        <f ca="1"/>
        <v>#REF!</v>
      </c>
      <c r="G447" s="154" t="e">
        <f ca="1"/>
        <v>#REF!</v>
      </c>
      <c r="H447" s="154" t="e">
        <f ca="1"/>
        <v>#REF!</v>
      </c>
      <c r="I447" s="154" t="e">
        <f ca="1"/>
        <v>#REF!</v>
      </c>
      <c r="J447" s="154" t="e">
        <f ca="1"/>
        <v>#REF!</v>
      </c>
      <c r="K447" s="154" t="e">
        <f ca="1"/>
        <v>#REF!</v>
      </c>
      <c r="L447" s="154" t="e">
        <f ca="1"/>
        <v>#REF!</v>
      </c>
      <c r="M447" s="154" t="e">
        <f ca="1"/>
        <v>#REF!</v>
      </c>
      <c r="N447" s="154" t="e">
        <f ca="1"/>
        <v>#REF!</v>
      </c>
    </row>
    <row r="453" spans="2:6" x14ac:dyDescent="0.25">
      <c r="B453" s="135"/>
    </row>
    <row r="455" spans="2:6" ht="36" x14ac:dyDescent="0.3">
      <c r="C455" s="136" t="s">
        <v>256</v>
      </c>
      <c r="D455" s="137"/>
      <c r="E455" s="137"/>
      <c r="F455" s="137"/>
    </row>
    <row r="458" spans="2:6" x14ac:dyDescent="0.25">
      <c r="B458" t="s">
        <v>223</v>
      </c>
    </row>
    <row r="505" spans="3:7" x14ac:dyDescent="0.25">
      <c r="C505" s="129" t="s">
        <v>226</v>
      </c>
      <c r="D505" s="129"/>
      <c r="E505" s="22" t="s">
        <v>257</v>
      </c>
      <c r="F505" s="22" t="s">
        <v>258</v>
      </c>
      <c r="G505" s="22" t="s">
        <v>259</v>
      </c>
    </row>
    <row r="506" spans="3:7" x14ac:dyDescent="0.25">
      <c r="C506" s="210" t="s">
        <v>227</v>
      </c>
      <c r="D506" s="211"/>
      <c r="E506" s="130">
        <v>60</v>
      </c>
      <c r="F506" s="130">
        <v>150</v>
      </c>
      <c r="G506" s="130">
        <v>190</v>
      </c>
    </row>
    <row r="507" spans="3:7" x14ac:dyDescent="0.25">
      <c r="C507" s="210" t="s">
        <v>228</v>
      </c>
      <c r="D507" s="211"/>
      <c r="E507" s="132" t="e">
        <f>Omia_60°C!C52</f>
        <v>#N/A</v>
      </c>
      <c r="F507" s="132" t="e">
        <f>Omia_150°C!C52</f>
        <v>#N/A</v>
      </c>
      <c r="G507" s="132" t="e">
        <f>Omia_190°C!C52</f>
        <v>#N/A</v>
      </c>
    </row>
    <row r="508" spans="3:7" x14ac:dyDescent="0.25">
      <c r="C508" s="210" t="s">
        <v>229</v>
      </c>
      <c r="D508" s="211"/>
      <c r="E508" s="155">
        <f>Mesures_Omia!B20</f>
        <v>0</v>
      </c>
      <c r="F508" s="155">
        <f>Mesures_Omia!B20</f>
        <v>0</v>
      </c>
      <c r="G508" s="155">
        <f>Mesures_Omia!B20</f>
        <v>0</v>
      </c>
    </row>
    <row r="509" spans="3:7" x14ac:dyDescent="0.25">
      <c r="C509" s="210" t="s">
        <v>260</v>
      </c>
      <c r="D509" s="211"/>
      <c r="E509" s="130" t="e">
        <f>IF(MIN(Omia_60°C!C49:O49)&lt;Omia_60°C!P49,"NON CONFORME","CONFORME")</f>
        <v>#N/A</v>
      </c>
      <c r="F509" s="130" t="e">
        <f>IF(MIN(Omia_150°C!C49:O49)&lt;Omia_150°C!P49,"NON CONFORME","CONFORME")</f>
        <v>#N/A</v>
      </c>
      <c r="G509" s="130" t="e">
        <f>IF(MIN(Omia_190°C!C49:O49)&lt;Omia_190°C!P49,"NON CONFORME","CONFORME")</f>
        <v>#N/A</v>
      </c>
    </row>
    <row r="510" spans="3:7" x14ac:dyDescent="0.25">
      <c r="C510" s="210" t="s">
        <v>261</v>
      </c>
      <c r="D510" s="211"/>
      <c r="E510" s="130" t="e">
        <f>IF(MAX(Omia_60°C!C48:O48)&gt;Omia_60°C!P48,"NON CONFORME","CONFORME")</f>
        <v>#N/A</v>
      </c>
      <c r="F510" s="130" t="e">
        <f>IF(MAX(Omia_150°C!C48:O48)&gt;Omia_150°C!P48,"NON CONFORME","CONFORME")</f>
        <v>#N/A</v>
      </c>
      <c r="G510" s="130" t="e">
        <f>IF(MAX(Omia_190°C!C48:O48)&gt;Omia_190°C!P48,"NON CONFORME","CONFORME")</f>
        <v>#N/A</v>
      </c>
    </row>
    <row r="511" spans="3:7" x14ac:dyDescent="0.25">
      <c r="C511" s="210" t="s">
        <v>262</v>
      </c>
      <c r="D511" s="211"/>
      <c r="E511" s="130" t="e">
        <f>IF(OR(Omia_60°C!C53&lt;Omia_60°C!P49,Omia_60°C!C53&gt;Omia_60°C!P48),"NON CONFORME","CONFORME")</f>
        <v>#N/A</v>
      </c>
      <c r="F511" s="130" t="e">
        <f>IF(OR(Omia_150°C!C53&lt;Omia_150°C!P49,Omia_150°C!C53&gt;Omia_150°C!P48),"NON CONFORME","CONFORME")</f>
        <v>#N/A</v>
      </c>
      <c r="G511" s="130" t="e">
        <f>IF(OR(Omia_190°C!C53&lt;Omia_190°C!P49,Omia_190°C!C53&gt;Omia_190°C!P48),"NON CONFORME","CONFORME")</f>
        <v>#N/A</v>
      </c>
    </row>
    <row r="512" spans="3:7" x14ac:dyDescent="0.25">
      <c r="C512" s="210" t="s">
        <v>231</v>
      </c>
      <c r="D512" s="211"/>
      <c r="E512" s="130" t="e">
        <f>(MAX(Omia_60°C!C48:O48)- MIN(Omia_60°C!C49:O49))/2</f>
        <v>#N/A</v>
      </c>
      <c r="F512" s="130" t="e">
        <f>(MAX(Omia_150°C!C48:O48)- MIN(Omia_150°C!C49:O49))/2</f>
        <v>#N/A</v>
      </c>
      <c r="G512" s="130" t="e">
        <f>(MAX(Omia_190°C!C48:O48)- MIN(Omia_190°C!C49:O49))/2</f>
        <v>#N/A</v>
      </c>
    </row>
  </sheetData>
  <sheetProtection algorithmName="SHA-512" hashValue="nrvY+a/Lp9H79OMNLrY+KgNCJoaGzHfJqvrLCEjeVuHMs2UC0dFmGJNOLXCD0wUTX1i01wVeWTzYBgl0ZeGCwA==" saltValue="2s1RcqC1D7INseO9BQNONw==" spinCount="100000" sheet="1" objects="1" scenarios="1" autoFilter="0"/>
  <mergeCells count="68">
    <mergeCell ref="C512:D512"/>
    <mergeCell ref="C506:D506"/>
    <mergeCell ref="C507:D507"/>
    <mergeCell ref="C508:D508"/>
    <mergeCell ref="C509:D509"/>
    <mergeCell ref="C510:D510"/>
    <mergeCell ref="C511:D511"/>
    <mergeCell ref="B446:N446"/>
    <mergeCell ref="A310:A313"/>
    <mergeCell ref="B324:F324"/>
    <mergeCell ref="B327:C327"/>
    <mergeCell ref="B336:N336"/>
    <mergeCell ref="B337:N337"/>
    <mergeCell ref="G409:I409"/>
    <mergeCell ref="B414:C414"/>
    <mergeCell ref="A420:A423"/>
    <mergeCell ref="B433:F433"/>
    <mergeCell ref="B436:C436"/>
    <mergeCell ref="B445:N445"/>
    <mergeCell ref="B304:C304"/>
    <mergeCell ref="B129:I144"/>
    <mergeCell ref="C163:H163"/>
    <mergeCell ref="C196:H196"/>
    <mergeCell ref="G200:I200"/>
    <mergeCell ref="B205:C205"/>
    <mergeCell ref="B226:F226"/>
    <mergeCell ref="B229:C229"/>
    <mergeCell ref="B238:N238"/>
    <mergeCell ref="B239:N239"/>
    <mergeCell ref="G299:I299"/>
    <mergeCell ref="A211:A214"/>
    <mergeCell ref="C105:D105"/>
    <mergeCell ref="C106:D106"/>
    <mergeCell ref="C107:D107"/>
    <mergeCell ref="C108:D108"/>
    <mergeCell ref="B116:F116"/>
    <mergeCell ref="C127:F127"/>
    <mergeCell ref="C104:D104"/>
    <mergeCell ref="C85:G85"/>
    <mergeCell ref="C94:H94"/>
    <mergeCell ref="C95:D95"/>
    <mergeCell ref="C96:D96"/>
    <mergeCell ref="C97:D97"/>
    <mergeCell ref="C98:D98"/>
    <mergeCell ref="C99:D99"/>
    <mergeCell ref="C100:D100"/>
    <mergeCell ref="C101:D101"/>
    <mergeCell ref="C102:D102"/>
    <mergeCell ref="C103:D103"/>
    <mergeCell ref="B69:D69"/>
    <mergeCell ref="E69:H69"/>
    <mergeCell ref="E55:F55"/>
    <mergeCell ref="E56:G56"/>
    <mergeCell ref="B57:C57"/>
    <mergeCell ref="E57:F57"/>
    <mergeCell ref="B61:C61"/>
    <mergeCell ref="E61:G61"/>
    <mergeCell ref="B62:C62"/>
    <mergeCell ref="E66:F66"/>
    <mergeCell ref="E67:H67"/>
    <mergeCell ref="B68:D68"/>
    <mergeCell ref="E68:I68"/>
    <mergeCell ref="C51:F51"/>
    <mergeCell ref="B4:F6"/>
    <mergeCell ref="C10:D10"/>
    <mergeCell ref="E10:F10"/>
    <mergeCell ref="A28:B28"/>
    <mergeCell ref="A30:I47"/>
  </mergeCells>
  <conditionalFormatting sqref="E509">
    <cfRule type="containsText" dxfId="22" priority="6" operator="containsText" text="NON CONFORME">
      <formula>NOT(ISERROR(SEARCH("NON CONFORME",E509)))</formula>
    </cfRule>
  </conditionalFormatting>
  <conditionalFormatting sqref="E510">
    <cfRule type="containsText" dxfId="21" priority="5" operator="containsText" text="NON CONFORME">
      <formula>NOT(ISERROR(SEARCH("NON CONFORME",E510)))</formula>
    </cfRule>
  </conditionalFormatting>
  <conditionalFormatting sqref="F509">
    <cfRule type="containsText" dxfId="20" priority="4" operator="containsText" text="NON CONFORME">
      <formula>NOT(ISERROR(SEARCH("NON CONFORME",F509)))</formula>
    </cfRule>
  </conditionalFormatting>
  <conditionalFormatting sqref="F510">
    <cfRule type="containsText" dxfId="19" priority="3" operator="containsText" text="NON CONFORME">
      <formula>NOT(ISERROR(SEARCH("NON CONFORME",F510)))</formula>
    </cfRule>
  </conditionalFormatting>
  <conditionalFormatting sqref="G509">
    <cfRule type="containsText" dxfId="18" priority="2" operator="containsText" text="NON CONFORME">
      <formula>NOT(ISERROR(SEARCH("NON CONFORME",G509)))</formula>
    </cfRule>
  </conditionalFormatting>
  <conditionalFormatting sqref="G510">
    <cfRule type="containsText" dxfId="17" priority="1" operator="containsText" text="NON CONFORME">
      <formula>NOT(ISERROR(SEARCH("NON CONFORME",G510)))</formula>
    </cfRule>
  </conditionalFormatting>
  <pageMargins left="0.7" right="0.7" top="0.75" bottom="0.75" header="0.3" footer="0.3"/>
  <pageSetup paperSize="9" scale="24" orientation="portrait" r:id="rId1"/>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2:O48"/>
  <sheetViews>
    <sheetView topLeftCell="A31" zoomScale="115" zoomScaleNormal="115" workbookViewId="0">
      <selection activeCell="H43" sqref="H43"/>
    </sheetView>
  </sheetViews>
  <sheetFormatPr baseColWidth="10" defaultRowHeight="15" x14ac:dyDescent="0.25"/>
  <cols>
    <col min="1" max="1" width="13.5703125" bestFit="1" customWidth="1"/>
    <col min="2" max="2" width="14.7109375" bestFit="1" customWidth="1"/>
    <col min="3" max="3" width="18.85546875" bestFit="1" customWidth="1"/>
    <col min="4" max="4" width="17.85546875" customWidth="1"/>
    <col min="5" max="5" width="17.5703125" customWidth="1"/>
    <col min="6" max="6" width="18.85546875" customWidth="1"/>
    <col min="7" max="7" width="14.5703125" customWidth="1"/>
    <col min="8" max="8" width="15.85546875" customWidth="1"/>
    <col min="9" max="9" width="17.5703125" customWidth="1"/>
    <col min="11" max="11" width="21.42578125" bestFit="1" customWidth="1"/>
    <col min="12" max="12" width="17.28515625" bestFit="1" customWidth="1"/>
    <col min="13" max="13" width="25.85546875" bestFit="1" customWidth="1"/>
  </cols>
  <sheetData>
    <row r="2" spans="1:13" x14ac:dyDescent="0.25">
      <c r="B2" s="189" t="s">
        <v>50</v>
      </c>
      <c r="C2" s="190"/>
      <c r="D2" s="190"/>
      <c r="E2" s="190"/>
      <c r="F2" s="190"/>
      <c r="G2" s="190"/>
      <c r="H2" s="190"/>
      <c r="I2" s="190"/>
      <c r="J2" s="190"/>
      <c r="K2" s="190"/>
    </row>
    <row r="3" spans="1:13" x14ac:dyDescent="0.25">
      <c r="B3" s="190"/>
      <c r="C3" s="190"/>
      <c r="D3" s="190"/>
      <c r="E3" s="190"/>
      <c r="F3" s="190"/>
      <c r="G3" s="190"/>
      <c r="H3" s="190"/>
      <c r="I3" s="190"/>
      <c r="J3" s="190"/>
      <c r="K3" s="190"/>
    </row>
    <row r="4" spans="1:13" ht="57" x14ac:dyDescent="0.25">
      <c r="A4" s="1"/>
      <c r="B4" s="2"/>
      <c r="C4" s="2"/>
      <c r="D4" s="2"/>
      <c r="E4" s="2"/>
      <c r="F4" s="2"/>
      <c r="G4" s="2"/>
    </row>
    <row r="5" spans="1:13" x14ac:dyDescent="0.25">
      <c r="A5" s="183" t="s">
        <v>0</v>
      </c>
      <c r="B5" s="183"/>
      <c r="C5" s="183"/>
      <c r="D5" s="164"/>
      <c r="E5" s="1"/>
      <c r="F5" s="1"/>
    </row>
    <row r="6" spans="1:13" x14ac:dyDescent="0.25">
      <c r="A6" s="1"/>
      <c r="B6" s="1"/>
      <c r="C6" s="1"/>
      <c r="D6" s="1"/>
      <c r="E6" s="1"/>
      <c r="F6" s="1"/>
      <c r="G6" s="1"/>
    </row>
    <row r="7" spans="1:13" x14ac:dyDescent="0.25">
      <c r="A7" s="183" t="s">
        <v>1</v>
      </c>
      <c r="B7" s="183"/>
      <c r="C7" s="4"/>
      <c r="D7" s="1"/>
      <c r="E7" s="183" t="s">
        <v>19</v>
      </c>
      <c r="F7" s="183"/>
      <c r="G7" s="4"/>
      <c r="H7" s="157"/>
      <c r="M7" s="5"/>
    </row>
    <row r="8" spans="1:13" x14ac:dyDescent="0.25">
      <c r="A8" s="183" t="s">
        <v>2</v>
      </c>
      <c r="B8" s="183"/>
      <c r="C8" s="6"/>
      <c r="D8" s="1"/>
      <c r="E8" s="183" t="s">
        <v>20</v>
      </c>
      <c r="F8" s="183"/>
      <c r="G8" s="6"/>
      <c r="M8" s="5"/>
    </row>
    <row r="9" spans="1:13" x14ac:dyDescent="0.25">
      <c r="A9" s="1"/>
      <c r="B9" s="1"/>
      <c r="C9" s="1"/>
      <c r="D9" s="1"/>
      <c r="E9" s="1"/>
      <c r="F9" s="1"/>
      <c r="G9" s="1"/>
      <c r="M9" s="5"/>
    </row>
    <row r="10" spans="1:13" x14ac:dyDescent="0.25">
      <c r="A10" s="179" t="s">
        <v>3</v>
      </c>
      <c r="B10" s="180"/>
      <c r="C10" s="7"/>
      <c r="D10" s="1"/>
      <c r="E10" s="179" t="s">
        <v>21</v>
      </c>
      <c r="F10" s="180"/>
      <c r="G10" s="8"/>
    </row>
    <row r="11" spans="1:13" x14ac:dyDescent="0.25">
      <c r="A11" s="179" t="s">
        <v>4</v>
      </c>
      <c r="B11" s="180"/>
      <c r="C11" s="8"/>
      <c r="D11" s="1"/>
      <c r="E11" s="183" t="s">
        <v>22</v>
      </c>
      <c r="F11" s="183"/>
      <c r="G11" s="161">
        <v>15</v>
      </c>
    </row>
    <row r="12" spans="1:13" x14ac:dyDescent="0.25">
      <c r="A12" s="1"/>
      <c r="B12" s="1"/>
      <c r="C12" s="1"/>
      <c r="D12" s="1"/>
      <c r="E12" s="183" t="s">
        <v>23</v>
      </c>
      <c r="F12" s="183"/>
      <c r="G12" s="10"/>
    </row>
    <row r="13" spans="1:13" x14ac:dyDescent="0.25">
      <c r="A13" s="1"/>
      <c r="B13" s="1"/>
      <c r="C13" s="1"/>
      <c r="D13" s="1"/>
      <c r="E13" s="1"/>
      <c r="F13" s="1"/>
      <c r="G13" s="1"/>
    </row>
    <row r="14" spans="1:13" x14ac:dyDescent="0.25">
      <c r="A14" s="179" t="s">
        <v>5</v>
      </c>
      <c r="B14" s="180"/>
      <c r="C14" s="4"/>
      <c r="D14" s="1"/>
      <c r="E14" s="1"/>
      <c r="F14" s="1"/>
      <c r="G14" s="1"/>
    </row>
    <row r="15" spans="1:13" x14ac:dyDescent="0.25">
      <c r="A15" s="179" t="s">
        <v>6</v>
      </c>
      <c r="B15" s="180"/>
      <c r="C15" s="10"/>
      <c r="D15" s="1"/>
      <c r="E15" s="1"/>
      <c r="F15" s="1"/>
      <c r="G15" s="1"/>
    </row>
    <row r="16" spans="1:13" x14ac:dyDescent="0.25">
      <c r="A16" s="1"/>
      <c r="B16" s="1"/>
      <c r="C16" s="1"/>
      <c r="D16" s="5" t="s">
        <v>14</v>
      </c>
      <c r="E16" s="1"/>
      <c r="F16" s="1"/>
      <c r="G16" s="1"/>
    </row>
    <row r="17" spans="1:9" x14ac:dyDescent="0.25">
      <c r="A17" s="1"/>
      <c r="B17" s="1"/>
      <c r="C17" s="1"/>
      <c r="D17" s="5" t="s">
        <v>232</v>
      </c>
      <c r="E17" s="1"/>
      <c r="F17" s="1"/>
      <c r="G17" s="1"/>
      <c r="H17" s="1"/>
    </row>
    <row r="18" spans="1:9" x14ac:dyDescent="0.25">
      <c r="A18" s="1"/>
      <c r="B18" s="1"/>
      <c r="C18" s="1"/>
      <c r="D18" s="5" t="s">
        <v>233</v>
      </c>
      <c r="E18" s="1"/>
      <c r="F18" s="1"/>
      <c r="G18" s="1"/>
      <c r="H18" s="1"/>
    </row>
    <row r="19" spans="1:9" x14ac:dyDescent="0.25">
      <c r="A19" s="1"/>
      <c r="B19" s="1"/>
      <c r="C19" s="1"/>
      <c r="D19" s="1"/>
      <c r="E19" s="1"/>
    </row>
    <row r="20" spans="1:9" x14ac:dyDescent="0.25">
      <c r="A20" s="3" t="s">
        <v>8</v>
      </c>
      <c r="B20" s="11"/>
      <c r="C20" s="1"/>
      <c r="D20" s="1"/>
      <c r="E20" s="1"/>
      <c r="F20" s="1"/>
      <c r="G20" s="1"/>
    </row>
    <row r="21" spans="1:9" ht="15.75" thickBot="1" x14ac:dyDescent="0.3">
      <c r="A21" s="1"/>
      <c r="B21" s="1"/>
      <c r="C21" s="1"/>
      <c r="D21" s="1"/>
      <c r="E21" s="1"/>
      <c r="F21" s="1"/>
      <c r="G21" s="1"/>
    </row>
    <row r="22" spans="1:9" ht="45.75" thickBot="1" x14ac:dyDescent="0.3">
      <c r="A22" s="12" t="s">
        <v>9</v>
      </c>
      <c r="B22" s="13" t="s">
        <v>12</v>
      </c>
      <c r="C22" s="13" t="s">
        <v>15</v>
      </c>
      <c r="D22" s="25" t="s">
        <v>268</v>
      </c>
      <c r="E22" s="25" t="s">
        <v>269</v>
      </c>
      <c r="F22" s="25" t="s">
        <v>52</v>
      </c>
      <c r="G22" s="26" t="s">
        <v>270</v>
      </c>
      <c r="H22" s="26" t="s">
        <v>271</v>
      </c>
      <c r="I22" s="26" t="s">
        <v>55</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6" spans="1:15" ht="26.25" x14ac:dyDescent="0.25">
      <c r="A36" s="1"/>
      <c r="B36" s="182" t="s">
        <v>13</v>
      </c>
      <c r="C36" s="182"/>
      <c r="D36" s="1"/>
      <c r="E36" s="1"/>
      <c r="F36" s="1"/>
      <c r="G36" s="1"/>
      <c r="H36" s="1"/>
      <c r="I36" s="1"/>
      <c r="J36" s="182" t="s">
        <v>31</v>
      </c>
      <c r="K36" s="182"/>
      <c r="L36" s="1"/>
      <c r="M36" s="1"/>
    </row>
    <row r="37" spans="1:15" x14ac:dyDescent="0.25">
      <c r="A37" s="1"/>
      <c r="B37" s="1"/>
      <c r="C37" s="1"/>
      <c r="D37" s="1"/>
      <c r="E37" s="1"/>
      <c r="F37" s="1"/>
      <c r="G37" s="1"/>
      <c r="H37" s="1"/>
      <c r="I37" s="1"/>
      <c r="J37" s="1"/>
      <c r="K37" s="1"/>
      <c r="L37" s="1"/>
      <c r="M37" s="1"/>
      <c r="N37" s="1"/>
      <c r="O37" s="1"/>
    </row>
    <row r="38" spans="1:15" x14ac:dyDescent="0.25">
      <c r="A38" s="179" t="s">
        <v>10</v>
      </c>
      <c r="B38" s="228"/>
      <c r="C38" s="228"/>
      <c r="D38" s="228"/>
      <c r="E38" s="228"/>
      <c r="F38" s="180"/>
      <c r="G38" s="1"/>
      <c r="H38" s="1"/>
      <c r="I38" s="183" t="s">
        <v>27</v>
      </c>
      <c r="J38" s="183"/>
      <c r="K38" s="183"/>
      <c r="L38" s="183"/>
      <c r="M38" s="183"/>
    </row>
    <row r="39" spans="1:15" ht="30" x14ac:dyDescent="0.25">
      <c r="A39" s="183"/>
      <c r="B39" s="183"/>
      <c r="C39" s="3" t="s">
        <v>16</v>
      </c>
      <c r="D39" s="20" t="s">
        <v>18</v>
      </c>
      <c r="E39" s="20" t="s">
        <v>25</v>
      </c>
      <c r="F39" s="20" t="s">
        <v>26</v>
      </c>
      <c r="G39" s="1"/>
      <c r="H39" s="1"/>
      <c r="I39" s="186"/>
      <c r="J39" s="186"/>
      <c r="K39" s="3" t="s">
        <v>33</v>
      </c>
      <c r="L39" s="3" t="s">
        <v>35</v>
      </c>
      <c r="M39" s="3" t="s">
        <v>36</v>
      </c>
    </row>
    <row r="40" spans="1:15" x14ac:dyDescent="0.25">
      <c r="A40" s="179" t="str">
        <f t="shared" ref="A40:A48" si="0">CONCATENATE("Sonde ", B23)</f>
        <v xml:space="preserve">Sonde </v>
      </c>
      <c r="B40" s="180"/>
      <c r="C40" s="10"/>
      <c r="D40" s="10"/>
      <c r="E40" s="10"/>
      <c r="F40" s="10"/>
      <c r="G40" s="1"/>
      <c r="H40" s="1"/>
      <c r="I40" s="187" t="s">
        <v>28</v>
      </c>
      <c r="J40" s="188"/>
      <c r="K40" s="10"/>
      <c r="L40" s="10"/>
      <c r="M40" s="10"/>
    </row>
    <row r="41" spans="1:15" x14ac:dyDescent="0.25">
      <c r="A41" s="179" t="str">
        <f t="shared" si="0"/>
        <v xml:space="preserve">Sonde </v>
      </c>
      <c r="B41" s="180"/>
      <c r="C41" s="10"/>
      <c r="D41" s="10"/>
      <c r="E41" s="10"/>
      <c r="F41" s="10"/>
      <c r="G41" s="1"/>
      <c r="H41" s="1"/>
      <c r="I41" s="1"/>
      <c r="J41" s="1"/>
      <c r="K41" s="1"/>
      <c r="L41" s="1"/>
      <c r="M41" s="1"/>
    </row>
    <row r="42" spans="1:15" x14ac:dyDescent="0.25">
      <c r="A42" s="179" t="str">
        <f t="shared" si="0"/>
        <v xml:space="preserve">Sonde </v>
      </c>
      <c r="B42" s="180"/>
      <c r="C42" s="10"/>
      <c r="D42" s="10"/>
      <c r="E42" s="10"/>
      <c r="F42" s="10"/>
      <c r="G42" s="1"/>
      <c r="H42" s="1"/>
      <c r="I42" s="1"/>
      <c r="J42" s="1"/>
      <c r="K42" s="1"/>
      <c r="L42" s="1"/>
      <c r="M42" s="1"/>
    </row>
    <row r="43" spans="1:15" x14ac:dyDescent="0.25">
      <c r="A43" s="179" t="str">
        <f t="shared" si="0"/>
        <v xml:space="preserve">Sonde </v>
      </c>
      <c r="B43" s="180"/>
      <c r="C43" s="10"/>
      <c r="D43" s="10"/>
      <c r="E43" s="10"/>
      <c r="F43" s="10"/>
      <c r="G43" s="1"/>
      <c r="H43" s="1"/>
      <c r="I43" s="1"/>
      <c r="J43" s="1"/>
      <c r="K43" s="1"/>
      <c r="L43" s="1"/>
      <c r="M43" s="1"/>
    </row>
    <row r="44" spans="1:15" x14ac:dyDescent="0.25">
      <c r="A44" s="179" t="str">
        <f t="shared" si="0"/>
        <v xml:space="preserve">Sonde </v>
      </c>
      <c r="B44" s="180"/>
      <c r="C44" s="10"/>
      <c r="D44" s="10"/>
      <c r="E44" s="10"/>
      <c r="F44" s="10"/>
      <c r="G44" s="1"/>
      <c r="H44" s="1"/>
      <c r="I44" s="1"/>
      <c r="J44" s="1"/>
    </row>
    <row r="45" spans="1:15" x14ac:dyDescent="0.25">
      <c r="A45" s="179" t="str">
        <f t="shared" si="0"/>
        <v xml:space="preserve">Sonde </v>
      </c>
      <c r="B45" s="180"/>
      <c r="C45" s="10"/>
      <c r="D45" s="10"/>
      <c r="E45" s="10"/>
      <c r="F45" s="10"/>
      <c r="G45" s="1"/>
      <c r="H45" s="1"/>
      <c r="I45" s="1"/>
      <c r="J45" s="1"/>
    </row>
    <row r="46" spans="1:15" x14ac:dyDescent="0.25">
      <c r="A46" s="179" t="str">
        <f t="shared" si="0"/>
        <v xml:space="preserve">Sonde </v>
      </c>
      <c r="B46" s="180"/>
      <c r="C46" s="10"/>
      <c r="D46" s="10"/>
      <c r="E46" s="10"/>
      <c r="F46" s="10"/>
      <c r="G46" s="1"/>
      <c r="H46" s="1"/>
      <c r="I46" s="1"/>
      <c r="J46" s="1"/>
    </row>
    <row r="47" spans="1:15" x14ac:dyDescent="0.25">
      <c r="A47" s="179" t="str">
        <f t="shared" si="0"/>
        <v xml:space="preserve">Sonde </v>
      </c>
      <c r="B47" s="180"/>
      <c r="C47" s="10"/>
      <c r="D47" s="10"/>
      <c r="E47" s="10"/>
      <c r="F47" s="10"/>
      <c r="G47" s="1"/>
      <c r="H47" s="1"/>
      <c r="I47" s="1"/>
      <c r="J47" s="1"/>
    </row>
    <row r="48" spans="1:15" x14ac:dyDescent="0.25">
      <c r="A48" s="179" t="str">
        <f t="shared" si="0"/>
        <v xml:space="preserve">Sonde </v>
      </c>
      <c r="B48" s="180"/>
      <c r="C48" s="10"/>
      <c r="D48" s="10"/>
      <c r="E48" s="10"/>
      <c r="F48" s="10"/>
      <c r="G48" s="1"/>
      <c r="H48" s="1"/>
      <c r="I48" s="1"/>
      <c r="J48" s="1"/>
    </row>
  </sheetData>
  <sheetProtection algorithmName="SHA-512" hashValue="RfRhm1j8vwQZPzdQpS+w1m5IJrNtJ+Wuj4UYU/Uj7D/zpaIVzybarcNWwsAHSG2fNGIIupKjYUKjNcEA69bQKw==" saltValue="ydTcmaGUR+/cLFQENMKpxQ==" spinCount="100000" sheet="1" objects="1" scenarios="1" autoFilter="0"/>
  <protectedRanges>
    <protectedRange sqref="C10" name="Donnees controleur"/>
  </protectedRanges>
  <mergeCells count="29">
    <mergeCell ref="B2:K3"/>
    <mergeCell ref="A5:C5"/>
    <mergeCell ref="A7:B7"/>
    <mergeCell ref="E7:F7"/>
    <mergeCell ref="A8:B8"/>
    <mergeCell ref="E8:F8"/>
    <mergeCell ref="A39:B39"/>
    <mergeCell ref="I39:J39"/>
    <mergeCell ref="A10:B10"/>
    <mergeCell ref="E10:F10"/>
    <mergeCell ref="A11:B11"/>
    <mergeCell ref="E11:F11"/>
    <mergeCell ref="E12:F12"/>
    <mergeCell ref="A14:B14"/>
    <mergeCell ref="A15:B15"/>
    <mergeCell ref="B36:C36"/>
    <mergeCell ref="J36:K36"/>
    <mergeCell ref="A38:F38"/>
    <mergeCell ref="I38:M38"/>
    <mergeCell ref="I40:J40"/>
    <mergeCell ref="A41:B41"/>
    <mergeCell ref="A42:B42"/>
    <mergeCell ref="A43:B43"/>
    <mergeCell ref="A44:B44"/>
    <mergeCell ref="A45:B45"/>
    <mergeCell ref="A46:B46"/>
    <mergeCell ref="A47:B47"/>
    <mergeCell ref="A48:B48"/>
    <mergeCell ref="A40:B40"/>
  </mergeCells>
  <conditionalFormatting sqref="A1:N4 A6:N49 A5:M5">
    <cfRule type="expression" dxfId="16" priority="1">
      <formula>AND(NOT(CELL("protege", A1)), A1="")</formula>
    </cfRule>
  </conditionalFormatting>
  <dataValidations disablePrompts="1" count="2">
    <dataValidation type="list" allowBlank="1" showInputMessage="1" showErrorMessage="1" sqref="C10" xr:uid="{8E4C1123-B088-4ED5-9031-95064819C800}">
      <formula1>"BCH , LV"</formula1>
    </dataValidation>
    <dataValidation type="list" allowBlank="1" showInputMessage="1" showErrorMessage="1" sqref="C15" xr:uid="{28D26A77-82EE-45D9-B198-1283C7796FFA}">
      <formula1>$D$16:$D$18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6</xdr:row>
                    <xdr:rowOff>47625</xdr:rowOff>
                  </from>
                  <to>
                    <xdr:col>13</xdr:col>
                    <xdr:colOff>400050</xdr:colOff>
                    <xdr:row>12</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1"/>
  <sheetViews>
    <sheetView workbookViewId="0">
      <selection activeCell="D28" sqref="D28"/>
    </sheetView>
  </sheetViews>
  <sheetFormatPr baseColWidth="10" defaultRowHeight="15" x14ac:dyDescent="0.25"/>
  <cols>
    <col min="1" max="1" width="13.7109375" bestFit="1" customWidth="1"/>
    <col min="2" max="10" width="15" bestFit="1" customWidth="1"/>
  </cols>
  <sheetData>
    <row r="1" spans="1:10" x14ac:dyDescent="0.25">
      <c r="A1" t="s">
        <v>37</v>
      </c>
      <c r="B1" t="s">
        <v>38</v>
      </c>
      <c r="C1" t="s">
        <v>39</v>
      </c>
      <c r="D1" t="s">
        <v>40</v>
      </c>
      <c r="E1" t="s">
        <v>41</v>
      </c>
      <c r="F1" t="s">
        <v>42</v>
      </c>
      <c r="G1" t="s">
        <v>43</v>
      </c>
      <c r="H1" t="s">
        <v>44</v>
      </c>
      <c r="I1" t="s">
        <v>45</v>
      </c>
      <c r="J1" t="s">
        <v>46</v>
      </c>
    </row>
  </sheetData>
  <sheetProtection algorithmName="SHA-512" hashValue="5h3/p0bVhevsNXe6csdUAQGh4Orm9etzUs4QpC0NqeEKZETlF2XshhPBo6ZdHSm/6t+8SuxCCqiLIGnwV2zByA==" saltValue="nO0rLDY+vcQlKNMaK5WipA==" spinCount="100000" sheet="1" objects="1" scenarios="1" autoFilter="0"/>
  <dataConsolidate/>
  <phoneticPr fontId="40" type="noConversion"/>
  <pageMargins left="0.7" right="0.7" top="0.75" bottom="0.75" header="0.3" footer="0.3"/>
  <pageSetup paperSize="9"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1"/>
  <sheetViews>
    <sheetView workbookViewId="0">
      <selection activeCell="D28" sqref="D28"/>
    </sheetView>
  </sheetViews>
  <sheetFormatPr baseColWidth="10" defaultRowHeight="15" x14ac:dyDescent="0.25"/>
  <cols>
    <col min="1" max="1" width="13.7109375" bestFit="1" customWidth="1"/>
    <col min="2" max="10" width="15" bestFit="1" customWidth="1"/>
  </cols>
  <sheetData>
    <row r="1" spans="1:10" x14ac:dyDescent="0.25">
      <c r="A1" t="s">
        <v>37</v>
      </c>
      <c r="B1" t="s">
        <v>38</v>
      </c>
      <c r="C1" t="s">
        <v>39</v>
      </c>
      <c r="D1" t="s">
        <v>40</v>
      </c>
      <c r="E1" t="s">
        <v>41</v>
      </c>
      <c r="F1" t="s">
        <v>42</v>
      </c>
      <c r="G1" t="s">
        <v>43</v>
      </c>
      <c r="H1" t="s">
        <v>44</v>
      </c>
      <c r="I1" t="s">
        <v>45</v>
      </c>
      <c r="J1" t="s">
        <v>46</v>
      </c>
    </row>
  </sheetData>
  <sheetProtection algorithmName="SHA-512" hashValue="8xR9KmKCjB/IipvkLa8G2QvFrmWlxNDJLEWfx4QgbWqIVpgBNW0YHUHKx/etUZj6ZgFYZJxQZfpkUpY/KyOIsQ==" saltValue="e1h+sIRiPYFweCvbA4ZGdw==" spinCount="100000" sheet="1" objects="1" scenarios="1" autoFilter="0"/>
  <phoneticPr fontId="40"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1"/>
  <sheetViews>
    <sheetView workbookViewId="0">
      <selection activeCell="D28" sqref="D28"/>
    </sheetView>
  </sheetViews>
  <sheetFormatPr baseColWidth="10" defaultRowHeight="15" x14ac:dyDescent="0.25"/>
  <cols>
    <col min="1" max="1" width="13.7109375" bestFit="1" customWidth="1"/>
    <col min="2" max="10" width="15" bestFit="1" customWidth="1"/>
  </cols>
  <sheetData>
    <row r="1" spans="1:10" x14ac:dyDescent="0.25">
      <c r="A1" t="s">
        <v>37</v>
      </c>
      <c r="B1" t="s">
        <v>38</v>
      </c>
      <c r="C1" t="s">
        <v>39</v>
      </c>
      <c r="D1" t="s">
        <v>40</v>
      </c>
      <c r="E1" t="s">
        <v>41</v>
      </c>
      <c r="F1" t="s">
        <v>42</v>
      </c>
      <c r="G1" t="s">
        <v>43</v>
      </c>
      <c r="H1" t="s">
        <v>44</v>
      </c>
      <c r="I1" t="s">
        <v>45</v>
      </c>
      <c r="J1" t="s">
        <v>46</v>
      </c>
    </row>
  </sheetData>
  <sheetProtection algorithmName="SHA-512" hashValue="5msOTuAebgvB4nMMLATGolIJIhL6UJOKV3nbqAHajdjyy1KrAioStR9pZHTRZoRunybDGiY4RdlZEo9stjSP4g==" saltValue="GKP1O3rfRjRwLKNfquXd/A==" spinCount="100000" sheet="1" objects="1" scenarios="1" autoFilter="0"/>
  <phoneticPr fontId="4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5"/>
  <sheetViews>
    <sheetView topLeftCell="A37" workbookViewId="0">
      <selection activeCell="D28" sqref="D28"/>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191" t="str">
        <f>"50°C"</f>
        <v>50°C</v>
      </c>
      <c r="B1" s="191"/>
      <c r="C1" s="191"/>
      <c r="D1" s="191"/>
      <c r="E1" s="191"/>
      <c r="F1" s="191"/>
      <c r="G1" s="191"/>
      <c r="H1" s="191"/>
      <c r="I1" s="191"/>
      <c r="J1" s="191"/>
      <c r="K1" s="191"/>
      <c r="L1" s="191"/>
      <c r="M1" s="191"/>
      <c r="N1" s="191"/>
      <c r="O1" s="191"/>
    </row>
    <row r="2" spans="1:15" s="27" customFormat="1" x14ac:dyDescent="0.25">
      <c r="A2" s="191"/>
      <c r="B2" s="191"/>
      <c r="C2" s="191"/>
      <c r="D2" s="191"/>
      <c r="E2" s="191"/>
      <c r="F2" s="191"/>
      <c r="G2" s="191"/>
      <c r="H2" s="191"/>
      <c r="I2" s="191"/>
      <c r="J2" s="191"/>
      <c r="K2" s="191"/>
      <c r="L2" s="191"/>
      <c r="M2" s="191"/>
      <c r="N2" s="191"/>
      <c r="O2" s="191"/>
    </row>
    <row r="3" spans="1:15" s="27" customFormat="1" x14ac:dyDescent="0.25">
      <c r="A3" s="191"/>
      <c r="B3" s="191"/>
      <c r="C3" s="191"/>
      <c r="D3" s="191"/>
      <c r="E3" s="191"/>
      <c r="F3" s="191"/>
      <c r="G3" s="191"/>
      <c r="H3" s="191"/>
      <c r="I3" s="191"/>
      <c r="J3" s="191"/>
      <c r="K3" s="191"/>
      <c r="L3" s="191"/>
      <c r="M3" s="191"/>
      <c r="N3" s="191"/>
      <c r="O3" s="191"/>
    </row>
    <row r="4" spans="1:15" s="27" customFormat="1" x14ac:dyDescent="0.25">
      <c r="L4" s="33"/>
    </row>
    <row r="5" spans="1:15" s="27" customFormat="1" x14ac:dyDescent="0.25">
      <c r="B5" s="34" t="s">
        <v>24</v>
      </c>
      <c r="C5" s="35" t="e">
        <f>_xlfn.XLOOKUP(INT(SUBSTITUTE(C47,"Connecteur ","")),Mesures_Dover!C23:C31,Mesures_Dover!G23:G31)</f>
        <v>#N/A</v>
      </c>
      <c r="D5" s="35" t="e">
        <f>_xlfn.XLOOKUP(INT(SUBSTITUTE(D47,"Connecteur ","")),Mesures_Dover!C23:C31,Mesures_Dover!G23:G31)</f>
        <v>#N/A</v>
      </c>
      <c r="E5" s="35" t="e">
        <f>_xlfn.XLOOKUP(INT(SUBSTITUTE(E47,"Connecteur ","")),Mesures_Dover!C23:C31,Mesures_Dover!G23:G31)</f>
        <v>#N/A</v>
      </c>
      <c r="F5" s="35" t="e">
        <f>_xlfn.XLOOKUP(INT(SUBSTITUTE(F47,"Connecteur ","")),Mesures_Dover!C23:C31,Mesures_Dover!G23:G31)</f>
        <v>#N/A</v>
      </c>
      <c r="G5" s="35" t="e">
        <f>_xlfn.XLOOKUP(INT(SUBSTITUTE(G47,"Connecteur ","")),Mesures_Dover!C23:C31,Mesures_Dover!G23:G31)</f>
        <v>#N/A</v>
      </c>
      <c r="H5" s="35" t="e">
        <f>_xlfn.XLOOKUP(INT(SUBSTITUTE(H47,"Connecteur ","")),Mesures_Dover!C23:C31,Mesures_Dover!G23:G31)</f>
        <v>#N/A</v>
      </c>
      <c r="I5" s="35" t="e">
        <f>_xlfn.XLOOKUP(INT(SUBSTITUTE(I47,"Connecteur ","")),Mesures_Dover!C23:C31,Mesures_Dover!G23:G31)</f>
        <v>#N/A</v>
      </c>
      <c r="J5" s="35" t="e">
        <f>_xlfn.XLOOKUP(INT(SUBSTITUTE(J47,"Connecteur ","")),Mesures_Dover!C23:C31,Mesures_Dover!G23:G31)</f>
        <v>#N/A</v>
      </c>
      <c r="K5" s="35" t="e">
        <f>_xlfn.XLOOKUP(INT(SUBSTITUTE(K47,"Connecteur ","")),Mesures_Dover!C23:C31,Mesures_Dover!G23:G31)</f>
        <v>#N/A</v>
      </c>
      <c r="L5" s="33"/>
    </row>
    <row r="6" spans="1:15" s="27" customFormat="1" x14ac:dyDescent="0.25">
      <c r="B6" s="34" t="s">
        <v>94</v>
      </c>
      <c r="C6" s="35" t="e">
        <f>_xlfn.XLOOKUP(INT(SUBSTITUTE(C47,"Connecteur ","")),Mesures_Dover!C23:C31,Mesures_Dover!D23:D31)</f>
        <v>#N/A</v>
      </c>
      <c r="D6" s="35" t="e">
        <f>_xlfn.XLOOKUP(INT(SUBSTITUTE(D47,"Connecteur ","")),Mesures_Dover!C23:C31,Mesures_Dover!D23:D31)</f>
        <v>#N/A</v>
      </c>
      <c r="E6" s="35" t="e">
        <f>_xlfn.XLOOKUP(INT(SUBSTITUTE(E47,"Connecteur ","")),Mesures_Dover!C23:C31,Mesures_Dover!D23:D31)</f>
        <v>#N/A</v>
      </c>
      <c r="F6" s="35" t="e">
        <f>_xlfn.XLOOKUP(INT(SUBSTITUTE(F47,"Connecteur ","")),Mesures_Dover!C23:C31,Mesures_Dover!D23:D31)</f>
        <v>#N/A</v>
      </c>
      <c r="G6" s="35" t="e">
        <f>_xlfn.XLOOKUP(INT(SUBSTITUTE(G47,"Connecteur ","")),Mesures_Dover!C23:C31,Mesures_Dover!D23:D31)</f>
        <v>#N/A</v>
      </c>
      <c r="H6" s="35" t="e">
        <f>_xlfn.XLOOKUP(INT(SUBSTITUTE(H47,"Connecteur ","")),Mesures_Dover!C23:C31,Mesures_Dover!D23:D31)</f>
        <v>#N/A</v>
      </c>
      <c r="I6" s="35" t="e">
        <f>_xlfn.XLOOKUP(INT(SUBSTITUTE(I47,"Connecteur ","")),Mesures_Dover!C23:C31,Mesures_Dover!D23:D31)</f>
        <v>#N/A</v>
      </c>
      <c r="J6" s="35" t="e">
        <f>_xlfn.XLOOKUP(INT(SUBSTITUTE(J47,"Connecteur ","")),Mesures_Dover!C23:C31,Mesures_Dover!D23:D31)</f>
        <v>#N/A</v>
      </c>
      <c r="K6" s="35" t="e">
        <f>_xlfn.XLOOKUP(INT(SUBSTITUTE(K47,"Connecteur ","")),Mesures_Dover!C23:C31,Mesures_Dover!D23:D31)</f>
        <v>#N/A</v>
      </c>
      <c r="L6" s="33"/>
    </row>
    <row r="7" spans="1:15" s="27" customFormat="1" x14ac:dyDescent="0.25">
      <c r="L7" s="33"/>
    </row>
    <row r="8" spans="1:15" s="27" customFormat="1" x14ac:dyDescent="0.25">
      <c r="L8" s="33"/>
    </row>
    <row r="9" spans="1:15" s="27" customFormat="1" x14ac:dyDescent="0.25">
      <c r="A9" s="229" t="s">
        <v>95</v>
      </c>
      <c r="B9" s="229"/>
      <c r="C9" s="229"/>
      <c r="D9" s="229"/>
      <c r="E9" s="229"/>
      <c r="F9" s="229"/>
      <c r="G9" s="229"/>
      <c r="H9" s="229"/>
      <c r="I9" s="229"/>
      <c r="J9" s="229"/>
      <c r="K9" s="229"/>
      <c r="L9" s="33"/>
    </row>
    <row r="10" spans="1:15" s="27" customFormat="1" x14ac:dyDescent="0.25">
      <c r="A10" s="33"/>
      <c r="B10" s="34" t="str" cm="1">
        <f t="array" ref="B10:K10">Valeurs_Brutes_50[#Headers]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230" t="s">
        <v>96</v>
      </c>
      <c r="B11" s="145" cm="1">
        <f t="array" ref="B11">Valeurs_Brutes_50[Date/Heure]</f>
        <v>0</v>
      </c>
      <c r="C11" s="130" t="e" cm="1">
        <f t="array" ref="C11:K11">Valeurs_Brutes_50[[Connecteur 1]:[Connecteur 9]] + C5:K5 +C6:K6</f>
        <v>#N/A</v>
      </c>
      <c r="D11" s="130" t="e">
        <v>#N/A</v>
      </c>
      <c r="E11" s="130" t="e">
        <v>#N/A</v>
      </c>
      <c r="F11" s="130" t="e">
        <v>#N/A</v>
      </c>
      <c r="G11" s="130" t="e">
        <v>#N/A</v>
      </c>
      <c r="H11" s="130" t="e">
        <v>#N/A</v>
      </c>
      <c r="I11" s="130" t="e">
        <v>#N/A</v>
      </c>
      <c r="J11" s="130" t="e">
        <v>#N/A</v>
      </c>
      <c r="K11" s="130" t="e">
        <v>#N/A</v>
      </c>
      <c r="L11" s="33"/>
    </row>
    <row r="12" spans="1:15" s="27" customFormat="1" x14ac:dyDescent="0.25">
      <c r="A12" s="230"/>
      <c r="B12" s="145"/>
      <c r="C12" s="130"/>
      <c r="D12" s="130"/>
      <c r="E12" s="130"/>
      <c r="F12" s="130"/>
      <c r="G12" s="130"/>
      <c r="H12" s="130"/>
      <c r="I12" s="130"/>
      <c r="J12" s="130"/>
      <c r="K12" s="130"/>
      <c r="L12" s="33"/>
    </row>
    <row r="13" spans="1:15" x14ac:dyDescent="0.25">
      <c r="A13" s="230"/>
      <c r="B13" s="145"/>
      <c r="C13" s="130"/>
      <c r="D13" s="130"/>
      <c r="E13" s="130"/>
      <c r="F13" s="130"/>
      <c r="G13" s="130"/>
      <c r="H13" s="130"/>
      <c r="I13" s="130"/>
      <c r="J13" s="130"/>
      <c r="K13" s="130"/>
    </row>
    <row r="14" spans="1:15" x14ac:dyDescent="0.25">
      <c r="A14" s="230"/>
      <c r="B14" s="145"/>
      <c r="C14" s="130"/>
      <c r="D14" s="130"/>
      <c r="E14" s="130"/>
      <c r="F14" s="130"/>
      <c r="G14" s="130"/>
      <c r="H14" s="130"/>
      <c r="I14" s="130"/>
      <c r="J14" s="130"/>
      <c r="K14" s="130"/>
    </row>
    <row r="15" spans="1:15" x14ac:dyDescent="0.25">
      <c r="A15" s="230"/>
      <c r="B15" s="145"/>
      <c r="C15" s="130"/>
      <c r="D15" s="130"/>
      <c r="E15" s="130"/>
      <c r="F15" s="130"/>
      <c r="G15" s="130"/>
      <c r="H15" s="130"/>
      <c r="I15" s="130"/>
      <c r="J15" s="130"/>
      <c r="K15" s="130"/>
    </row>
    <row r="16" spans="1:15" x14ac:dyDescent="0.25">
      <c r="A16" s="230"/>
      <c r="B16" s="145"/>
      <c r="C16" s="130"/>
      <c r="D16" s="130"/>
      <c r="E16" s="130"/>
      <c r="F16" s="130"/>
      <c r="G16" s="130"/>
      <c r="H16" s="130"/>
      <c r="I16" s="130"/>
      <c r="J16" s="130"/>
      <c r="K16" s="130"/>
    </row>
    <row r="17" spans="1:12" x14ac:dyDescent="0.25">
      <c r="A17" s="230"/>
      <c r="B17" s="145"/>
      <c r="C17" s="130"/>
      <c r="D17" s="130"/>
      <c r="E17" s="130"/>
      <c r="F17" s="130"/>
      <c r="G17" s="130"/>
      <c r="H17" s="130"/>
      <c r="I17" s="130"/>
      <c r="J17" s="130"/>
      <c r="K17" s="130"/>
    </row>
    <row r="18" spans="1:12" x14ac:dyDescent="0.25">
      <c r="A18" s="230"/>
      <c r="B18" s="145"/>
      <c r="C18" s="130"/>
      <c r="D18" s="130"/>
      <c r="E18" s="130"/>
      <c r="F18" s="130"/>
      <c r="G18" s="130"/>
      <c r="H18" s="130"/>
      <c r="I18" s="130"/>
      <c r="J18" s="130"/>
      <c r="K18" s="130"/>
    </row>
    <row r="19" spans="1:12" x14ac:dyDescent="0.25">
      <c r="A19" s="230"/>
      <c r="B19" s="145"/>
      <c r="C19" s="130"/>
      <c r="D19" s="130"/>
      <c r="E19" s="130"/>
      <c r="F19" s="130"/>
      <c r="G19" s="130"/>
      <c r="H19" s="130"/>
      <c r="I19" s="130"/>
      <c r="J19" s="130"/>
      <c r="K19" s="130"/>
    </row>
    <row r="20" spans="1:12" x14ac:dyDescent="0.25">
      <c r="A20" s="230"/>
      <c r="B20" s="145"/>
      <c r="C20" s="130"/>
      <c r="D20" s="130"/>
      <c r="E20" s="130"/>
      <c r="F20" s="130"/>
      <c r="G20" s="130"/>
      <c r="H20" s="130"/>
      <c r="I20" s="130"/>
      <c r="J20" s="130"/>
      <c r="K20" s="130"/>
    </row>
    <row r="21" spans="1:12" x14ac:dyDescent="0.25">
      <c r="A21" s="230"/>
      <c r="B21" s="145"/>
      <c r="C21" s="130"/>
      <c r="D21" s="130"/>
      <c r="E21" s="130"/>
      <c r="F21" s="130"/>
      <c r="G21" s="130"/>
      <c r="H21" s="130"/>
      <c r="I21" s="130"/>
      <c r="J21" s="130"/>
      <c r="K21" s="130"/>
    </row>
    <row r="22" spans="1:12" x14ac:dyDescent="0.25">
      <c r="A22" s="230"/>
      <c r="B22" s="145"/>
      <c r="C22" s="130"/>
      <c r="D22" s="130"/>
      <c r="E22" s="130"/>
      <c r="F22" s="130"/>
      <c r="G22" s="130"/>
      <c r="H22" s="130"/>
      <c r="I22" s="130"/>
      <c r="J22" s="130"/>
      <c r="K22" s="130"/>
    </row>
    <row r="23" spans="1:12" s="27" customFormat="1" x14ac:dyDescent="0.25">
      <c r="A23" s="230"/>
      <c r="B23" s="145"/>
      <c r="C23" s="130"/>
      <c r="D23" s="130"/>
      <c r="E23" s="130"/>
      <c r="F23" s="130"/>
      <c r="G23" s="130"/>
      <c r="H23" s="130"/>
      <c r="I23" s="130"/>
      <c r="J23" s="130"/>
      <c r="K23" s="130"/>
      <c r="L23" s="33"/>
    </row>
    <row r="24" spans="1:12" x14ac:dyDescent="0.25">
      <c r="A24" s="230"/>
      <c r="B24" s="145"/>
      <c r="C24" s="130"/>
      <c r="D24" s="130"/>
      <c r="E24" s="130"/>
      <c r="F24" s="130"/>
      <c r="G24" s="130"/>
      <c r="H24" s="130"/>
      <c r="I24" s="130"/>
      <c r="J24" s="130"/>
      <c r="K24" s="130"/>
    </row>
    <row r="25" spans="1:12" x14ac:dyDescent="0.25">
      <c r="A25" s="230"/>
      <c r="B25" s="145"/>
      <c r="C25" s="130"/>
      <c r="D25" s="130"/>
      <c r="E25" s="130"/>
      <c r="F25" s="130"/>
      <c r="G25" s="130"/>
      <c r="H25" s="130"/>
      <c r="I25" s="130"/>
      <c r="J25" s="130"/>
      <c r="K25" s="130"/>
    </row>
    <row r="26" spans="1:12" x14ac:dyDescent="0.25">
      <c r="A26" s="230"/>
      <c r="B26" s="145"/>
      <c r="C26" s="130"/>
      <c r="D26" s="130"/>
      <c r="E26" s="130"/>
      <c r="F26" s="130"/>
      <c r="G26" s="130"/>
      <c r="H26" s="130"/>
      <c r="I26" s="130"/>
      <c r="J26" s="130"/>
      <c r="K26" s="130"/>
    </row>
    <row r="27" spans="1:12" x14ac:dyDescent="0.25">
      <c r="A27" s="230"/>
      <c r="B27" s="145"/>
      <c r="C27" s="130"/>
      <c r="D27" s="130"/>
      <c r="E27" s="130"/>
      <c r="F27" s="130"/>
      <c r="G27" s="130"/>
      <c r="H27" s="130"/>
      <c r="I27" s="130"/>
      <c r="J27" s="130"/>
      <c r="K27" s="130"/>
    </row>
    <row r="28" spans="1:12" x14ac:dyDescent="0.25">
      <c r="A28" s="230"/>
      <c r="B28" s="145"/>
      <c r="C28" s="130"/>
      <c r="D28" s="130"/>
      <c r="E28" s="130"/>
      <c r="F28" s="130"/>
      <c r="G28" s="130"/>
      <c r="H28" s="130"/>
      <c r="I28" s="130"/>
      <c r="J28" s="130"/>
      <c r="K28" s="130"/>
    </row>
    <row r="29" spans="1:12" x14ac:dyDescent="0.25">
      <c r="A29" s="230"/>
      <c r="B29" s="145"/>
      <c r="C29" s="130"/>
      <c r="D29" s="130"/>
      <c r="E29" s="130"/>
      <c r="F29" s="130"/>
      <c r="G29" s="130"/>
      <c r="H29" s="130"/>
      <c r="I29" s="130"/>
      <c r="J29" s="130"/>
      <c r="K29" s="130"/>
    </row>
    <row r="30" spans="1:12" x14ac:dyDescent="0.25">
      <c r="A30" s="230"/>
      <c r="B30" s="145"/>
      <c r="C30" s="130"/>
      <c r="D30" s="130"/>
      <c r="E30" s="130"/>
      <c r="F30" s="130"/>
      <c r="G30" s="130"/>
      <c r="H30" s="130"/>
      <c r="I30" s="130"/>
      <c r="J30" s="130"/>
      <c r="K30" s="130"/>
    </row>
    <row r="31" spans="1:12" x14ac:dyDescent="0.25">
      <c r="A31" s="230"/>
      <c r="B31" s="145"/>
      <c r="C31" s="130"/>
      <c r="D31" s="130"/>
      <c r="E31" s="130"/>
      <c r="F31" s="130"/>
      <c r="G31" s="130"/>
      <c r="H31" s="130"/>
      <c r="I31" s="130"/>
      <c r="J31" s="130"/>
      <c r="K31" s="130"/>
    </row>
    <row r="32" spans="1:12" x14ac:dyDescent="0.25">
      <c r="A32" s="230"/>
      <c r="B32" s="145"/>
      <c r="C32" s="130"/>
      <c r="D32" s="130"/>
      <c r="E32" s="130"/>
      <c r="F32" s="130"/>
      <c r="G32" s="130"/>
      <c r="H32" s="130"/>
      <c r="I32" s="130"/>
      <c r="J32" s="130"/>
      <c r="K32" s="130"/>
    </row>
    <row r="33" spans="1:15" x14ac:dyDescent="0.25">
      <c r="A33" s="230"/>
      <c r="B33" s="145"/>
      <c r="C33" s="130"/>
      <c r="D33" s="130"/>
      <c r="E33" s="130"/>
      <c r="F33" s="130"/>
      <c r="G33" s="130"/>
      <c r="H33" s="130"/>
      <c r="I33" s="130"/>
      <c r="J33" s="130"/>
      <c r="K33" s="130"/>
    </row>
    <row r="34" spans="1:15" x14ac:dyDescent="0.25">
      <c r="A34" s="230"/>
      <c r="B34" s="145"/>
      <c r="C34" s="130"/>
      <c r="D34" s="130"/>
      <c r="E34" s="130"/>
      <c r="F34" s="130"/>
      <c r="G34" s="130"/>
      <c r="H34" s="130"/>
      <c r="I34" s="130"/>
      <c r="J34" s="130"/>
      <c r="K34" s="130"/>
    </row>
    <row r="35" spans="1:15" x14ac:dyDescent="0.25">
      <c r="A35" s="230"/>
      <c r="B35" s="145"/>
      <c r="C35" s="130"/>
      <c r="D35" s="130"/>
      <c r="E35" s="130"/>
      <c r="F35" s="130"/>
      <c r="G35" s="130"/>
      <c r="H35" s="130"/>
      <c r="I35" s="130"/>
      <c r="J35" s="130"/>
      <c r="K35" s="130"/>
    </row>
    <row r="36" spans="1:15" x14ac:dyDescent="0.25">
      <c r="A36" s="230"/>
      <c r="B36" s="145"/>
      <c r="C36" s="130"/>
      <c r="D36" s="130"/>
      <c r="E36" s="130"/>
      <c r="F36" s="130"/>
      <c r="G36" s="130"/>
      <c r="H36" s="130"/>
      <c r="I36" s="130"/>
      <c r="J36" s="130"/>
      <c r="K36" s="130"/>
    </row>
    <row r="37" spans="1:15" x14ac:dyDescent="0.25">
      <c r="A37" s="230"/>
      <c r="B37" s="145"/>
      <c r="C37" s="130"/>
      <c r="D37" s="130"/>
      <c r="E37" s="130"/>
      <c r="F37" s="130"/>
      <c r="G37" s="130"/>
      <c r="H37" s="130"/>
      <c r="I37" s="130"/>
      <c r="J37" s="130"/>
      <c r="K37" s="130"/>
    </row>
    <row r="38" spans="1:15" x14ac:dyDescent="0.25">
      <c r="A38" s="230"/>
      <c r="B38" s="145"/>
      <c r="C38" s="130"/>
      <c r="D38" s="130"/>
      <c r="E38" s="130"/>
      <c r="F38" s="130"/>
      <c r="G38" s="130"/>
      <c r="H38" s="130"/>
      <c r="I38" s="130"/>
      <c r="J38" s="130"/>
      <c r="K38" s="130"/>
    </row>
    <row r="39" spans="1:15" x14ac:dyDescent="0.25">
      <c r="A39" s="230"/>
      <c r="B39" s="145"/>
      <c r="C39" s="130"/>
      <c r="D39" s="130"/>
      <c r="E39" s="130"/>
      <c r="F39" s="130"/>
      <c r="G39" s="130"/>
      <c r="H39" s="130"/>
      <c r="I39" s="130"/>
      <c r="J39" s="130"/>
      <c r="K39" s="130"/>
    </row>
    <row r="40" spans="1:15" x14ac:dyDescent="0.25">
      <c r="A40" s="230"/>
      <c r="B40" s="145"/>
      <c r="C40" s="130"/>
      <c r="D40" s="130"/>
      <c r="E40" s="130"/>
      <c r="F40" s="130"/>
      <c r="G40" s="130"/>
      <c r="H40" s="130"/>
      <c r="I40" s="130"/>
      <c r="J40" s="130"/>
      <c r="K40" s="130"/>
    </row>
    <row r="41" spans="1:15" x14ac:dyDescent="0.25">
      <c r="A41" s="230"/>
      <c r="B41" s="145"/>
      <c r="C41" s="130"/>
      <c r="D41" s="130"/>
      <c r="E41" s="130"/>
      <c r="F41" s="130"/>
      <c r="G41" s="130"/>
      <c r="H41" s="130"/>
      <c r="I41" s="130"/>
      <c r="J41" s="130"/>
      <c r="K41" s="130"/>
    </row>
    <row r="46" spans="1:15" s="193" customFormat="1" x14ac:dyDescent="0.25"/>
    <row r="47" spans="1:15" s="27" customFormat="1" x14ac:dyDescent="0.25">
      <c r="C47" s="41" t="str" cm="1">
        <f t="array" ref="C47:K47">Valeurs_Brutes_50[[#Headers],[Connecteur 1]:[Connecteur 9]]</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M47" s="33"/>
    </row>
    <row r="48" spans="1:15" s="27" customFormat="1" x14ac:dyDescent="0.25">
      <c r="B48" s="42" t="s">
        <v>98</v>
      </c>
      <c r="C48" s="43" t="e">
        <f>MAX(C11:C41)</f>
        <v>#N/A</v>
      </c>
      <c r="D48" s="43" t="e">
        <f>MAX(D11:D41)</f>
        <v>#N/A</v>
      </c>
      <c r="E48" s="43" t="e">
        <f t="shared" ref="E48:K48" si="0">MAX(E11:E41)</f>
        <v>#N/A</v>
      </c>
      <c r="F48" s="43" t="e">
        <f t="shared" si="0"/>
        <v>#N/A</v>
      </c>
      <c r="G48" s="43" t="e">
        <f t="shared" si="0"/>
        <v>#N/A</v>
      </c>
      <c r="H48" s="43" t="e">
        <f t="shared" si="0"/>
        <v>#N/A</v>
      </c>
      <c r="I48" s="43" t="e">
        <f t="shared" si="0"/>
        <v>#N/A</v>
      </c>
      <c r="J48" s="43" t="e">
        <f t="shared" si="0"/>
        <v>#N/A</v>
      </c>
      <c r="K48" s="43" t="e">
        <f t="shared" si="0"/>
        <v>#N/A</v>
      </c>
      <c r="L48" s="48">
        <f>50+Mesures_Dover!B20</f>
        <v>50</v>
      </c>
      <c r="N48" s="36" t="s">
        <v>7</v>
      </c>
      <c r="O48" s="48" t="str">
        <f>"50°C"</f>
        <v>50°C</v>
      </c>
    </row>
    <row r="49" spans="2:15" s="27" customFormat="1" x14ac:dyDescent="0.25">
      <c r="B49" s="42" t="s">
        <v>100</v>
      </c>
      <c r="C49" s="43" t="e">
        <f>MIN(C11:C41)</f>
        <v>#N/A</v>
      </c>
      <c r="D49" s="43" t="e">
        <f t="shared" ref="D49:K49" si="1">MIN(D11:D41)</f>
        <v>#N/A</v>
      </c>
      <c r="E49" s="43" t="e">
        <f t="shared" si="1"/>
        <v>#N/A</v>
      </c>
      <c r="F49" s="43" t="e">
        <f t="shared" si="1"/>
        <v>#N/A</v>
      </c>
      <c r="G49" s="43" t="e">
        <f t="shared" si="1"/>
        <v>#N/A</v>
      </c>
      <c r="H49" s="43" t="e">
        <f t="shared" si="1"/>
        <v>#N/A</v>
      </c>
      <c r="I49" s="43" t="e">
        <f t="shared" si="1"/>
        <v>#N/A</v>
      </c>
      <c r="J49" s="43" t="e">
        <f t="shared" si="1"/>
        <v>#N/A</v>
      </c>
      <c r="K49" s="43" t="e">
        <f t="shared" si="1"/>
        <v>#N/A</v>
      </c>
      <c r="L49" s="48">
        <f>50-Mesures_Dover!B20</f>
        <v>50</v>
      </c>
      <c r="N49" s="36" t="s">
        <v>99</v>
      </c>
      <c r="O49" s="35" t="str">
        <f>"+" &amp; Mesures_Dover!B20 &amp; "°C"</f>
        <v>+°C</v>
      </c>
    </row>
    <row r="50" spans="2:15" s="27" customFormat="1" x14ac:dyDescent="0.25">
      <c r="B50" s="42" t="s">
        <v>102</v>
      </c>
      <c r="C50" s="43" t="e">
        <f>AVERAGE(C11:C41)</f>
        <v>#N/A</v>
      </c>
      <c r="D50" s="43" t="e">
        <f t="shared" ref="D50:K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33"/>
      <c r="M50" s="33"/>
      <c r="N50" s="36" t="s">
        <v>101</v>
      </c>
      <c r="O50" s="35" t="str">
        <f>"-" &amp; Mesures_Dover!B20 &amp; "°C"</f>
        <v>-°C</v>
      </c>
    </row>
    <row r="51" spans="2:15" s="27" customFormat="1" x14ac:dyDescent="0.25">
      <c r="B51" s="42" t="s">
        <v>103</v>
      </c>
      <c r="C51" s="45" t="e">
        <f>C48-C49</f>
        <v>#N/A</v>
      </c>
      <c r="D51" s="45" t="e">
        <f t="shared" ref="D51:K51" si="3">D48-D49</f>
        <v>#N/A</v>
      </c>
      <c r="E51" s="45" t="e">
        <f t="shared" si="3"/>
        <v>#N/A</v>
      </c>
      <c r="F51" s="45" t="e">
        <f t="shared" si="3"/>
        <v>#N/A</v>
      </c>
      <c r="G51" s="45" t="e">
        <f t="shared" si="3"/>
        <v>#N/A</v>
      </c>
      <c r="H51" s="45" t="e">
        <f t="shared" si="3"/>
        <v>#N/A</v>
      </c>
      <c r="I51" s="45" t="e">
        <f t="shared" si="3"/>
        <v>#N/A</v>
      </c>
      <c r="J51" s="45" t="e">
        <f t="shared" si="3"/>
        <v>#N/A</v>
      </c>
      <c r="K51" s="45" t="e">
        <f t="shared" si="3"/>
        <v>#N/A</v>
      </c>
      <c r="L51" s="33"/>
    </row>
    <row r="52" spans="2:15" s="27" customFormat="1" x14ac:dyDescent="0.25">
      <c r="B52" s="42" t="s">
        <v>104</v>
      </c>
      <c r="C52" s="194" t="e">
        <f>ABS(MAX(C48:K48)-MIN(C49:K49))</f>
        <v>#N/A</v>
      </c>
      <c r="D52" s="194"/>
      <c r="E52" s="194"/>
      <c r="F52" s="194"/>
      <c r="G52" s="194"/>
      <c r="H52" s="194"/>
      <c r="I52" s="194"/>
      <c r="J52" s="194"/>
      <c r="K52" s="194"/>
      <c r="L52" s="33"/>
    </row>
    <row r="53" spans="2:15" s="27" customFormat="1" x14ac:dyDescent="0.25">
      <c r="B53" s="42" t="s">
        <v>105</v>
      </c>
      <c r="C53" s="194" t="e">
        <f>AVERAGE(C50:K50)</f>
        <v>#N/A</v>
      </c>
      <c r="D53" s="194"/>
      <c r="E53" s="194"/>
      <c r="F53" s="194"/>
      <c r="G53" s="194"/>
      <c r="H53" s="194"/>
      <c r="I53" s="194"/>
      <c r="J53" s="194"/>
      <c r="K53" s="194"/>
      <c r="L53" s="33"/>
    </row>
    <row r="54" spans="2:15" s="27" customFormat="1" x14ac:dyDescent="0.25">
      <c r="B54" s="36" t="s">
        <v>106</v>
      </c>
      <c r="C54" s="46" t="e">
        <f ca="1">STDEV(OFFSET(INDEX(Valeurs_Brutes_50[Connecteur 1],1),COUNT(Valeurs_Brutes_50[Connecteur 1])-30,0,30))+C5+C6</f>
        <v>#REF!</v>
      </c>
      <c r="D54" s="46" t="e">
        <f ca="1">STDEV(OFFSET(INDEX(Valeurs_Brutes_50[Connecteur 2],1),COUNT(Valeurs_Brutes_50[Connecteur 2])-30,0,30))+D5+D6</f>
        <v>#REF!</v>
      </c>
      <c r="E54" s="46" t="e">
        <f ca="1">STDEV(OFFSET(INDEX(Valeurs_Brutes_50[Connecteur 3],1),COUNT(Valeurs_Brutes_50[Connecteur 3])-30,0,30))+E5+E6</f>
        <v>#REF!</v>
      </c>
      <c r="F54" s="46" t="e">
        <f ca="1">STDEV(OFFSET(INDEX(Valeurs_Brutes_50[Connecteur 4],1),COUNT(Valeurs_Brutes_50[Connecteur 4])-30,0,30))+F5+F6</f>
        <v>#REF!</v>
      </c>
      <c r="G54" s="46" t="e">
        <f ca="1">STDEV(OFFSET(INDEX(Valeurs_Brutes_50[Connecteur 5],1),COUNT(Valeurs_Brutes_50[Connecteur 5])-30,0,30))+G5+G6</f>
        <v>#REF!</v>
      </c>
      <c r="H54" s="46" t="e">
        <f ca="1">STDEV(OFFSET(INDEX(Valeurs_Brutes_50[Connecteur 6],1),COUNT(Valeurs_Brutes_50[Connecteur 6])-30,0,30))+H5+H6</f>
        <v>#REF!</v>
      </c>
      <c r="I54" s="46" t="e">
        <f ca="1">STDEV(OFFSET(INDEX(Valeurs_Brutes_50[Connecteur 7],1),COUNT(Valeurs_Brutes_50[Connecteur 7])-30,0,30))+I5+I6</f>
        <v>#REF!</v>
      </c>
      <c r="J54" s="46" t="e">
        <f ca="1">STDEV(OFFSET(INDEX(Valeurs_Brutes_50[Connecteur 8],1),COUNT(Valeurs_Brutes_50[Connecteur 8])-30,0,30))+J5+J6</f>
        <v>#REF!</v>
      </c>
      <c r="K54" s="46" t="e">
        <f ca="1">STDEV(OFFSET(INDEX(Valeurs_Brutes_50[Connecteur 9],1),COUNT(Valeurs_Brutes_50[Connecteur 9])-30,0,30))+K5+K6</f>
        <v>#REF!</v>
      </c>
      <c r="L54" s="33"/>
    </row>
    <row r="55" spans="2:15" s="27" customFormat="1" x14ac:dyDescent="0.25">
      <c r="B55"/>
      <c r="C55"/>
      <c r="D55"/>
      <c r="E55"/>
      <c r="F55"/>
      <c r="G55"/>
      <c r="H55"/>
      <c r="I55"/>
      <c r="J55"/>
      <c r="K55"/>
      <c r="L55"/>
    </row>
  </sheetData>
  <sheetProtection algorithmName="SHA-512" hashValue="XDMLGw8bSqVNyrRNbjnKrPB/EdXp5VbIrV7QuG3sHEDUv1M1xG5hgnK7YMcwC0FIc1pxHwjyvx7mbgW7Airh6w==" saltValue="WdebSfup+Bx+7AdVryNoBA==" spinCount="100000" sheet="1" objects="1" scenarios="1" autoFilter="0"/>
  <mergeCells count="6">
    <mergeCell ref="C53:K53"/>
    <mergeCell ref="A1:O3"/>
    <mergeCell ref="A9:K9"/>
    <mergeCell ref="A11:A41"/>
    <mergeCell ref="A46:XFD46"/>
    <mergeCell ref="C52:K52"/>
  </mergeCells>
  <conditionalFormatting sqref="C48:K48">
    <cfRule type="cellIs" dxfId="15" priority="9" operator="greaterThan">
      <formula>$L$48</formula>
    </cfRule>
  </conditionalFormatting>
  <conditionalFormatting sqref="C49:K49">
    <cfRule type="cellIs" dxfId="14" priority="10" operator="lessThan">
      <formula>$L$49</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O55"/>
  <sheetViews>
    <sheetView topLeftCell="A43" workbookViewId="0">
      <selection activeCell="D28" sqref="D28"/>
    </sheetView>
  </sheetViews>
  <sheetFormatPr baseColWidth="10" defaultRowHeight="15" x14ac:dyDescent="0.25"/>
  <cols>
    <col min="1" max="1" width="9.85546875" customWidth="1"/>
    <col min="2" max="2" width="15" bestFit="1" customWidth="1"/>
    <col min="3" max="11" width="12.7109375" bestFit="1" customWidth="1"/>
    <col min="14" max="14" width="15.28515625" bestFit="1" customWidth="1"/>
  </cols>
  <sheetData>
    <row r="1" spans="1:15" s="27" customFormat="1" x14ac:dyDescent="0.25">
      <c r="A1" s="191" t="str">
        <f>"100°C"</f>
        <v>100°C</v>
      </c>
      <c r="B1" s="191"/>
      <c r="C1" s="191"/>
      <c r="D1" s="191"/>
      <c r="E1" s="191"/>
      <c r="F1" s="191"/>
      <c r="G1" s="191"/>
      <c r="H1" s="191"/>
      <c r="I1" s="191"/>
      <c r="J1" s="191"/>
      <c r="K1" s="191"/>
      <c r="L1" s="191"/>
      <c r="M1" s="191"/>
      <c r="N1" s="191"/>
      <c r="O1" s="191"/>
    </row>
    <row r="2" spans="1:15" s="27" customFormat="1" x14ac:dyDescent="0.25">
      <c r="A2" s="191"/>
      <c r="B2" s="191"/>
      <c r="C2" s="191"/>
      <c r="D2" s="191"/>
      <c r="E2" s="191"/>
      <c r="F2" s="191"/>
      <c r="G2" s="191"/>
      <c r="H2" s="191"/>
      <c r="I2" s="191"/>
      <c r="J2" s="191"/>
      <c r="K2" s="191"/>
      <c r="L2" s="191"/>
      <c r="M2" s="191"/>
      <c r="N2" s="191"/>
      <c r="O2" s="191"/>
    </row>
    <row r="3" spans="1:15" s="27" customFormat="1" x14ac:dyDescent="0.25">
      <c r="A3" s="191"/>
      <c r="B3" s="191"/>
      <c r="C3" s="191"/>
      <c r="D3" s="191"/>
      <c r="E3" s="191"/>
      <c r="F3" s="191"/>
      <c r="G3" s="191"/>
      <c r="H3" s="191"/>
      <c r="I3" s="191"/>
      <c r="J3" s="191"/>
      <c r="K3" s="191"/>
      <c r="L3" s="191"/>
      <c r="M3" s="191"/>
      <c r="N3" s="191"/>
      <c r="O3" s="191"/>
    </row>
    <row r="4" spans="1:15" s="27" customFormat="1" x14ac:dyDescent="0.25">
      <c r="L4" s="33"/>
    </row>
    <row r="5" spans="1:15" s="27" customFormat="1" x14ac:dyDescent="0.25">
      <c r="B5" s="34" t="s">
        <v>24</v>
      </c>
      <c r="C5" s="35" t="e">
        <f>_xlfn.XLOOKUP(INT(SUBSTITUTE(C47,"Connecteur ","")),Mesures_Dover!C23:C31,Mesures_Dover!G23:G31)</f>
        <v>#N/A</v>
      </c>
      <c r="D5" s="35" t="e">
        <f>_xlfn.XLOOKUP(INT(SUBSTITUTE(D47,"Connecteur ","")),Mesures_Dover!C23:C31,Mesures_Dover!G23:G31)</f>
        <v>#N/A</v>
      </c>
      <c r="E5" s="35" t="e">
        <f>_xlfn.XLOOKUP(INT(SUBSTITUTE(E47,"Connecteur ","")),Mesures_Dover!C23:C31,Mesures_Dover!G23:G31)</f>
        <v>#N/A</v>
      </c>
      <c r="F5" s="35" t="e">
        <f>_xlfn.XLOOKUP(INT(SUBSTITUTE(F47,"Connecteur ","")),Mesures_Dover!C23:C31,Mesures_Dover!G23:G31)</f>
        <v>#N/A</v>
      </c>
      <c r="G5" s="35" t="e">
        <f>_xlfn.XLOOKUP(INT(SUBSTITUTE(G47,"Connecteur ","")),Mesures_Dover!C23:C31,Mesures_Dover!G23:G31)</f>
        <v>#N/A</v>
      </c>
      <c r="H5" s="35" t="e">
        <f>_xlfn.XLOOKUP(INT(SUBSTITUTE(H47,"Connecteur ","")),Mesures_Dover!C23:C31,Mesures_Dover!G23:G31)</f>
        <v>#N/A</v>
      </c>
      <c r="I5" s="35" t="e">
        <f>_xlfn.XLOOKUP(INT(SUBSTITUTE(I47,"Connecteur ","")),Mesures_Dover!C23:C31,Mesures_Dover!G23:G31)</f>
        <v>#N/A</v>
      </c>
      <c r="J5" s="35" t="e">
        <f>_xlfn.XLOOKUP(INT(SUBSTITUTE(J47,"Connecteur ","")),Mesures_Dover!C23:C31,Mesures_Dover!G23:G31)</f>
        <v>#N/A</v>
      </c>
      <c r="K5" s="35" t="e">
        <f>_xlfn.XLOOKUP(INT(SUBSTITUTE(K47,"Connecteur ","")),Mesures_Dover!C23:C31,Mesures_Dover!G23:G31)</f>
        <v>#N/A</v>
      </c>
      <c r="L5" s="33"/>
    </row>
    <row r="6" spans="1:15" s="27" customFormat="1" x14ac:dyDescent="0.25">
      <c r="B6" s="34" t="s">
        <v>94</v>
      </c>
      <c r="C6" s="35" t="e">
        <f>_xlfn.XLOOKUP(INT(SUBSTITUTE(C47,"Connecteur ","")),Mesures_Dover!C23:C31,Mesures_Dover!D23:D31)</f>
        <v>#N/A</v>
      </c>
      <c r="D6" s="35" t="e">
        <f>_xlfn.XLOOKUP(INT(SUBSTITUTE(D47,"Connecteur ","")),Mesures_Dover!C23:C31,Mesures_Dover!D23:D31)</f>
        <v>#N/A</v>
      </c>
      <c r="E6" s="35" t="e">
        <f>_xlfn.XLOOKUP(INT(SUBSTITUTE(E47,"Connecteur ","")),Mesures_Dover!C23:C31,Mesures_Dover!D23:D31)</f>
        <v>#N/A</v>
      </c>
      <c r="F6" s="35" t="e">
        <f>_xlfn.XLOOKUP(INT(SUBSTITUTE(F47,"Connecteur ","")),Mesures_Dover!C23:C31,Mesures_Dover!D23:D31)</f>
        <v>#N/A</v>
      </c>
      <c r="G6" s="35" t="e">
        <f>_xlfn.XLOOKUP(INT(SUBSTITUTE(G47,"Connecteur ","")),Mesures_Dover!C23:C31,Mesures_Dover!D23:D31)</f>
        <v>#N/A</v>
      </c>
      <c r="H6" s="35" t="e">
        <f>_xlfn.XLOOKUP(INT(SUBSTITUTE(H47,"Connecteur ","")),Mesures_Dover!C23:C31,Mesures_Dover!D23:D31)</f>
        <v>#N/A</v>
      </c>
      <c r="I6" s="35" t="e">
        <f>_xlfn.XLOOKUP(INT(SUBSTITUTE(I47,"Connecteur ","")),Mesures_Dover!C23:C31,Mesures_Dover!D23:D31)</f>
        <v>#N/A</v>
      </c>
      <c r="J6" s="35" t="e">
        <f>_xlfn.XLOOKUP(INT(SUBSTITUTE(J47,"Connecteur ","")),Mesures_Dover!C23:C31,Mesures_Dover!D23:D31)</f>
        <v>#N/A</v>
      </c>
      <c r="K6" s="35" t="e">
        <f>_xlfn.XLOOKUP(INT(SUBSTITUTE(K47,"Connecteur ","")),Mesures_Dover!C23:C31,Mesures_Dover!D23:D31)</f>
        <v>#N/A</v>
      </c>
      <c r="L6" s="33"/>
    </row>
    <row r="7" spans="1:15" s="27" customFormat="1" x14ac:dyDescent="0.25">
      <c r="L7" s="33"/>
    </row>
    <row r="8" spans="1:15" s="27" customFormat="1" x14ac:dyDescent="0.25">
      <c r="L8" s="33"/>
    </row>
    <row r="9" spans="1:15" s="27" customFormat="1" x14ac:dyDescent="0.25">
      <c r="A9" s="229" t="s">
        <v>95</v>
      </c>
      <c r="B9" s="229"/>
      <c r="C9" s="229"/>
      <c r="D9" s="229"/>
      <c r="E9" s="229"/>
      <c r="F9" s="229"/>
      <c r="G9" s="229"/>
      <c r="H9" s="229"/>
      <c r="I9" s="229"/>
      <c r="J9" s="229"/>
      <c r="K9" s="229"/>
      <c r="L9" s="33"/>
    </row>
    <row r="10" spans="1:15" s="27" customFormat="1" x14ac:dyDescent="0.25">
      <c r="A10" s="33"/>
      <c r="B10" s="34" t="str" cm="1">
        <f t="array" ref="B10:K10">Valeurs_Brutes_100[#Headers]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230" t="s">
        <v>96</v>
      </c>
      <c r="B11" s="145" cm="1">
        <f t="array" ref="B11">Valeurs_Brutes_100[Date/Heure]</f>
        <v>0</v>
      </c>
      <c r="C11" s="130" t="e" cm="1">
        <f t="array" ref="C11:K11">Valeurs_Brutes_100[[Connecteur 1]:[Connecteur 9]] + C5:K5 +C6:K6</f>
        <v>#N/A</v>
      </c>
      <c r="D11" s="130" t="e">
        <v>#N/A</v>
      </c>
      <c r="E11" s="130" t="e">
        <v>#N/A</v>
      </c>
      <c r="F11" s="130" t="e">
        <v>#N/A</v>
      </c>
      <c r="G11" s="130" t="e">
        <v>#N/A</v>
      </c>
      <c r="H11" s="130" t="e">
        <v>#N/A</v>
      </c>
      <c r="I11" s="130" t="e">
        <v>#N/A</v>
      </c>
      <c r="J11" s="130" t="e">
        <v>#N/A</v>
      </c>
      <c r="K11" s="130" t="e">
        <v>#N/A</v>
      </c>
      <c r="L11" s="33"/>
    </row>
    <row r="12" spans="1:15" s="27" customFormat="1" x14ac:dyDescent="0.25">
      <c r="A12" s="230"/>
      <c r="B12" s="145"/>
      <c r="C12" s="130"/>
      <c r="D12" s="130"/>
      <c r="E12" s="130"/>
      <c r="F12" s="130"/>
      <c r="G12" s="130"/>
      <c r="H12" s="130"/>
      <c r="I12" s="130"/>
      <c r="J12" s="130"/>
      <c r="K12" s="130"/>
      <c r="L12" s="33"/>
    </row>
    <row r="13" spans="1:15" x14ac:dyDescent="0.25">
      <c r="A13" s="230"/>
      <c r="B13" s="145"/>
      <c r="C13" s="130"/>
      <c r="D13" s="130"/>
      <c r="E13" s="130"/>
      <c r="F13" s="130"/>
      <c r="G13" s="130"/>
      <c r="H13" s="130"/>
      <c r="I13" s="130"/>
      <c r="J13" s="130"/>
      <c r="K13" s="130"/>
    </row>
    <row r="14" spans="1:15" x14ac:dyDescent="0.25">
      <c r="A14" s="230"/>
      <c r="B14" s="145"/>
      <c r="C14" s="130"/>
      <c r="D14" s="130"/>
      <c r="E14" s="130"/>
      <c r="F14" s="130"/>
      <c r="G14" s="130"/>
      <c r="H14" s="130"/>
      <c r="I14" s="130"/>
      <c r="J14" s="130"/>
      <c r="K14" s="130"/>
    </row>
    <row r="15" spans="1:15" x14ac:dyDescent="0.25">
      <c r="A15" s="230"/>
      <c r="B15" s="145"/>
      <c r="C15" s="130"/>
      <c r="D15" s="130"/>
      <c r="E15" s="130"/>
      <c r="F15" s="130"/>
      <c r="G15" s="130"/>
      <c r="H15" s="130"/>
      <c r="I15" s="130"/>
      <c r="J15" s="130"/>
      <c r="K15" s="130"/>
    </row>
    <row r="16" spans="1:15" x14ac:dyDescent="0.25">
      <c r="A16" s="230"/>
      <c r="B16" s="145"/>
      <c r="C16" s="130"/>
      <c r="D16" s="130"/>
      <c r="E16" s="130"/>
      <c r="F16" s="130"/>
      <c r="G16" s="130"/>
      <c r="H16" s="130"/>
      <c r="I16" s="130"/>
      <c r="J16" s="130"/>
      <c r="K16" s="130"/>
    </row>
    <row r="17" spans="1:12" x14ac:dyDescent="0.25">
      <c r="A17" s="230"/>
      <c r="B17" s="145"/>
      <c r="C17" s="130"/>
      <c r="D17" s="130"/>
      <c r="E17" s="130"/>
      <c r="F17" s="130"/>
      <c r="G17" s="130"/>
      <c r="H17" s="130"/>
      <c r="I17" s="130"/>
      <c r="J17" s="130"/>
      <c r="K17" s="130"/>
    </row>
    <row r="18" spans="1:12" x14ac:dyDescent="0.25">
      <c r="A18" s="230"/>
      <c r="B18" s="145"/>
      <c r="C18" s="130"/>
      <c r="D18" s="130"/>
      <c r="E18" s="130"/>
      <c r="F18" s="130"/>
      <c r="G18" s="130"/>
      <c r="H18" s="130"/>
      <c r="I18" s="130"/>
      <c r="J18" s="130"/>
      <c r="K18" s="130"/>
    </row>
    <row r="19" spans="1:12" x14ac:dyDescent="0.25">
      <c r="A19" s="230"/>
      <c r="B19" s="145"/>
      <c r="C19" s="130"/>
      <c r="D19" s="130"/>
      <c r="E19" s="130"/>
      <c r="F19" s="130"/>
      <c r="G19" s="130"/>
      <c r="H19" s="130"/>
      <c r="I19" s="130"/>
      <c r="J19" s="130"/>
      <c r="K19" s="130"/>
    </row>
    <row r="20" spans="1:12" x14ac:dyDescent="0.25">
      <c r="A20" s="230"/>
      <c r="B20" s="145"/>
      <c r="C20" s="130"/>
      <c r="D20" s="130"/>
      <c r="E20" s="130"/>
      <c r="F20" s="130"/>
      <c r="G20" s="130"/>
      <c r="H20" s="130"/>
      <c r="I20" s="130"/>
      <c r="J20" s="130"/>
      <c r="K20" s="130"/>
    </row>
    <row r="21" spans="1:12" x14ac:dyDescent="0.25">
      <c r="A21" s="230"/>
      <c r="B21" s="145"/>
      <c r="C21" s="130"/>
      <c r="D21" s="130"/>
      <c r="E21" s="130"/>
      <c r="F21" s="130"/>
      <c r="G21" s="130"/>
      <c r="H21" s="130"/>
      <c r="I21" s="130"/>
      <c r="J21" s="130"/>
      <c r="K21" s="130"/>
    </row>
    <row r="22" spans="1:12" x14ac:dyDescent="0.25">
      <c r="A22" s="230"/>
      <c r="B22" s="145"/>
      <c r="C22" s="130"/>
      <c r="D22" s="130"/>
      <c r="E22" s="130"/>
      <c r="F22" s="130"/>
      <c r="G22" s="130"/>
      <c r="H22" s="130"/>
      <c r="I22" s="130"/>
      <c r="J22" s="130"/>
      <c r="K22" s="130"/>
    </row>
    <row r="23" spans="1:12" s="27" customFormat="1" x14ac:dyDescent="0.25">
      <c r="A23" s="230"/>
      <c r="B23" s="145"/>
      <c r="C23" s="130"/>
      <c r="D23" s="130"/>
      <c r="E23" s="130"/>
      <c r="F23" s="130"/>
      <c r="G23" s="130"/>
      <c r="H23" s="130"/>
      <c r="I23" s="130"/>
      <c r="J23" s="130"/>
      <c r="K23" s="130"/>
      <c r="L23" s="33"/>
    </row>
    <row r="24" spans="1:12" x14ac:dyDescent="0.25">
      <c r="A24" s="230"/>
      <c r="B24" s="145"/>
      <c r="C24" s="130"/>
      <c r="D24" s="130"/>
      <c r="E24" s="130"/>
      <c r="F24" s="130"/>
      <c r="G24" s="130"/>
      <c r="H24" s="130"/>
      <c r="I24" s="130"/>
      <c r="J24" s="130"/>
      <c r="K24" s="130"/>
    </row>
    <row r="25" spans="1:12" x14ac:dyDescent="0.25">
      <c r="A25" s="230"/>
      <c r="B25" s="145"/>
      <c r="C25" s="130"/>
      <c r="D25" s="130"/>
      <c r="E25" s="130"/>
      <c r="F25" s="130"/>
      <c r="G25" s="130"/>
      <c r="H25" s="130"/>
      <c r="I25" s="130"/>
      <c r="J25" s="130"/>
      <c r="K25" s="130"/>
    </row>
    <row r="26" spans="1:12" x14ac:dyDescent="0.25">
      <c r="A26" s="230"/>
      <c r="B26" s="145"/>
      <c r="C26" s="130"/>
      <c r="D26" s="130"/>
      <c r="E26" s="130"/>
      <c r="F26" s="130"/>
      <c r="G26" s="130"/>
      <c r="H26" s="130"/>
      <c r="I26" s="130"/>
      <c r="J26" s="130"/>
      <c r="K26" s="130"/>
    </row>
    <row r="27" spans="1:12" x14ac:dyDescent="0.25">
      <c r="A27" s="230"/>
      <c r="B27" s="145"/>
      <c r="C27" s="130"/>
      <c r="D27" s="130"/>
      <c r="E27" s="130"/>
      <c r="F27" s="130"/>
      <c r="G27" s="130"/>
      <c r="H27" s="130"/>
      <c r="I27" s="130"/>
      <c r="J27" s="130"/>
      <c r="K27" s="130"/>
    </row>
    <row r="28" spans="1:12" x14ac:dyDescent="0.25">
      <c r="A28" s="230"/>
      <c r="B28" s="145"/>
      <c r="C28" s="130"/>
      <c r="D28" s="130"/>
      <c r="E28" s="130"/>
      <c r="F28" s="130"/>
      <c r="G28" s="130"/>
      <c r="H28" s="130"/>
      <c r="I28" s="130"/>
      <c r="J28" s="130"/>
      <c r="K28" s="130"/>
    </row>
    <row r="29" spans="1:12" x14ac:dyDescent="0.25">
      <c r="A29" s="230"/>
      <c r="B29" s="145"/>
      <c r="C29" s="130"/>
      <c r="D29" s="130"/>
      <c r="E29" s="130"/>
      <c r="F29" s="130"/>
      <c r="G29" s="130"/>
      <c r="H29" s="130"/>
      <c r="I29" s="130"/>
      <c r="J29" s="130"/>
      <c r="K29" s="130"/>
    </row>
    <row r="30" spans="1:12" x14ac:dyDescent="0.25">
      <c r="A30" s="230"/>
      <c r="B30" s="145"/>
      <c r="C30" s="130"/>
      <c r="D30" s="130"/>
      <c r="E30" s="130"/>
      <c r="F30" s="130"/>
      <c r="G30" s="130"/>
      <c r="H30" s="130"/>
      <c r="I30" s="130"/>
      <c r="J30" s="130"/>
      <c r="K30" s="130"/>
    </row>
    <row r="31" spans="1:12" x14ac:dyDescent="0.25">
      <c r="A31" s="230"/>
      <c r="B31" s="145"/>
      <c r="C31" s="130"/>
      <c r="D31" s="130"/>
      <c r="E31" s="130"/>
      <c r="F31" s="130"/>
      <c r="G31" s="130"/>
      <c r="H31" s="130"/>
      <c r="I31" s="130"/>
      <c r="J31" s="130"/>
      <c r="K31" s="130"/>
    </row>
    <row r="32" spans="1:12" x14ac:dyDescent="0.25">
      <c r="A32" s="230"/>
      <c r="B32" s="145"/>
      <c r="C32" s="130"/>
      <c r="D32" s="130"/>
      <c r="E32" s="130"/>
      <c r="F32" s="130"/>
      <c r="G32" s="130"/>
      <c r="H32" s="130"/>
      <c r="I32" s="130"/>
      <c r="J32" s="130"/>
      <c r="K32" s="130"/>
    </row>
    <row r="33" spans="1:15" x14ac:dyDescent="0.25">
      <c r="A33" s="230"/>
      <c r="B33" s="145"/>
      <c r="C33" s="130"/>
      <c r="D33" s="130"/>
      <c r="E33" s="130"/>
      <c r="F33" s="130"/>
      <c r="G33" s="130"/>
      <c r="H33" s="130"/>
      <c r="I33" s="130"/>
      <c r="J33" s="130"/>
      <c r="K33" s="130"/>
    </row>
    <row r="34" spans="1:15" x14ac:dyDescent="0.25">
      <c r="A34" s="230"/>
      <c r="B34" s="145"/>
      <c r="C34" s="130"/>
      <c r="D34" s="130"/>
      <c r="E34" s="130"/>
      <c r="F34" s="130"/>
      <c r="G34" s="130"/>
      <c r="H34" s="130"/>
      <c r="I34" s="130"/>
      <c r="J34" s="130"/>
      <c r="K34" s="130"/>
    </row>
    <row r="35" spans="1:15" x14ac:dyDescent="0.25">
      <c r="A35" s="230"/>
      <c r="B35" s="145"/>
      <c r="C35" s="130"/>
      <c r="D35" s="130"/>
      <c r="E35" s="130"/>
      <c r="F35" s="130"/>
      <c r="G35" s="130"/>
      <c r="H35" s="130"/>
      <c r="I35" s="130"/>
      <c r="J35" s="130"/>
      <c r="K35" s="130"/>
    </row>
    <row r="36" spans="1:15" x14ac:dyDescent="0.25">
      <c r="A36" s="230"/>
      <c r="B36" s="145"/>
      <c r="C36" s="130"/>
      <c r="D36" s="130"/>
      <c r="E36" s="130"/>
      <c r="F36" s="130"/>
      <c r="G36" s="130"/>
      <c r="H36" s="130"/>
      <c r="I36" s="130"/>
      <c r="J36" s="130"/>
      <c r="K36" s="130"/>
    </row>
    <row r="37" spans="1:15" x14ac:dyDescent="0.25">
      <c r="A37" s="230"/>
      <c r="B37" s="145"/>
      <c r="C37" s="130"/>
      <c r="D37" s="130"/>
      <c r="E37" s="130"/>
      <c r="F37" s="130"/>
      <c r="G37" s="130"/>
      <c r="H37" s="130"/>
      <c r="I37" s="130"/>
      <c r="J37" s="130"/>
      <c r="K37" s="130"/>
    </row>
    <row r="38" spans="1:15" x14ac:dyDescent="0.25">
      <c r="A38" s="230"/>
      <c r="B38" s="145"/>
      <c r="C38" s="130"/>
      <c r="D38" s="130"/>
      <c r="E38" s="130"/>
      <c r="F38" s="130"/>
      <c r="G38" s="130"/>
      <c r="H38" s="130"/>
      <c r="I38" s="130"/>
      <c r="J38" s="130"/>
      <c r="K38" s="130"/>
    </row>
    <row r="39" spans="1:15" x14ac:dyDescent="0.25">
      <c r="A39" s="230"/>
      <c r="B39" s="145"/>
      <c r="C39" s="130"/>
      <c r="D39" s="130"/>
      <c r="E39" s="130"/>
      <c r="F39" s="130"/>
      <c r="G39" s="130"/>
      <c r="H39" s="130"/>
      <c r="I39" s="130"/>
      <c r="J39" s="130"/>
      <c r="K39" s="130"/>
    </row>
    <row r="40" spans="1:15" x14ac:dyDescent="0.25">
      <c r="A40" s="230"/>
      <c r="B40" s="145"/>
      <c r="C40" s="130"/>
      <c r="D40" s="130"/>
      <c r="E40" s="130"/>
      <c r="F40" s="130"/>
      <c r="G40" s="130"/>
      <c r="H40" s="130"/>
      <c r="I40" s="130"/>
      <c r="J40" s="130"/>
      <c r="K40" s="130"/>
    </row>
    <row r="41" spans="1:15" x14ac:dyDescent="0.25">
      <c r="A41" s="230"/>
      <c r="B41" s="145"/>
      <c r="C41" s="130"/>
      <c r="D41" s="130"/>
      <c r="E41" s="130"/>
      <c r="F41" s="130"/>
      <c r="G41" s="130"/>
      <c r="H41" s="130"/>
      <c r="I41" s="130"/>
      <c r="J41" s="130"/>
      <c r="K41" s="130"/>
    </row>
    <row r="46" spans="1:15" s="193" customFormat="1" x14ac:dyDescent="0.25"/>
    <row r="47" spans="1:15" s="27" customFormat="1" x14ac:dyDescent="0.25">
      <c r="C47" s="41" t="str" cm="1">
        <f t="array" ref="C47:K47">Valeurs_Brutes_100[[#Headers],[Connecteur 1]:[Connecteur 9]]</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M47" s="33"/>
    </row>
    <row r="48" spans="1:15" s="27" customFormat="1" x14ac:dyDescent="0.25">
      <c r="B48" s="42" t="s">
        <v>98</v>
      </c>
      <c r="C48" s="43" t="e">
        <f>MAX(C11:C41)</f>
        <v>#N/A</v>
      </c>
      <c r="D48" s="43" t="e">
        <f>MAX(D11:D41)</f>
        <v>#N/A</v>
      </c>
      <c r="E48" s="43" t="e">
        <f t="shared" ref="E48:K48" si="0">MAX(E11:E41)</f>
        <v>#N/A</v>
      </c>
      <c r="F48" s="43" t="e">
        <f t="shared" si="0"/>
        <v>#N/A</v>
      </c>
      <c r="G48" s="43" t="e">
        <f t="shared" si="0"/>
        <v>#N/A</v>
      </c>
      <c r="H48" s="43" t="e">
        <f t="shared" si="0"/>
        <v>#N/A</v>
      </c>
      <c r="I48" s="43" t="e">
        <f t="shared" si="0"/>
        <v>#N/A</v>
      </c>
      <c r="J48" s="43" t="e">
        <f t="shared" si="0"/>
        <v>#N/A</v>
      </c>
      <c r="K48" s="43" t="e">
        <f t="shared" si="0"/>
        <v>#N/A</v>
      </c>
      <c r="L48" s="48">
        <f>100+Mesures_Dover!B20</f>
        <v>100</v>
      </c>
      <c r="N48" s="36" t="s">
        <v>7</v>
      </c>
      <c r="O48" s="48" t="str">
        <f>"100°C"</f>
        <v>100°C</v>
      </c>
    </row>
    <row r="49" spans="2:15" s="27" customFormat="1" x14ac:dyDescent="0.25">
      <c r="B49" s="42" t="s">
        <v>100</v>
      </c>
      <c r="C49" s="43" t="e">
        <f>MIN(C11:C41)</f>
        <v>#N/A</v>
      </c>
      <c r="D49" s="43" t="e">
        <f t="shared" ref="D49:K49" si="1">MIN(D11:D41)</f>
        <v>#N/A</v>
      </c>
      <c r="E49" s="43" t="e">
        <f t="shared" si="1"/>
        <v>#N/A</v>
      </c>
      <c r="F49" s="43" t="e">
        <f t="shared" si="1"/>
        <v>#N/A</v>
      </c>
      <c r="G49" s="43" t="e">
        <f t="shared" si="1"/>
        <v>#N/A</v>
      </c>
      <c r="H49" s="43" t="e">
        <f t="shared" si="1"/>
        <v>#N/A</v>
      </c>
      <c r="I49" s="43" t="e">
        <f t="shared" si="1"/>
        <v>#N/A</v>
      </c>
      <c r="J49" s="43" t="e">
        <f t="shared" si="1"/>
        <v>#N/A</v>
      </c>
      <c r="K49" s="43" t="e">
        <f t="shared" si="1"/>
        <v>#N/A</v>
      </c>
      <c r="L49" s="48">
        <f>100-Mesures_Dover!B20</f>
        <v>100</v>
      </c>
      <c r="N49" s="36" t="s">
        <v>99</v>
      </c>
      <c r="O49" s="35" t="str">
        <f>"+" &amp; Mesures_Dover!B20 &amp; "°C"</f>
        <v>+°C</v>
      </c>
    </row>
    <row r="50" spans="2:15" s="27" customFormat="1" x14ac:dyDescent="0.25">
      <c r="B50" s="42" t="s">
        <v>102</v>
      </c>
      <c r="C50" s="43" t="e">
        <f>AVERAGE(C11:C41)</f>
        <v>#N/A</v>
      </c>
      <c r="D50" s="43" t="e">
        <f t="shared" ref="D50:K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33"/>
      <c r="M50" s="33"/>
      <c r="N50" s="36" t="s">
        <v>101</v>
      </c>
      <c r="O50" s="35" t="str">
        <f>"-" &amp; Mesures_Dover!B20 &amp; "°C"</f>
        <v>-°C</v>
      </c>
    </row>
    <row r="51" spans="2:15" s="27" customFormat="1" x14ac:dyDescent="0.25">
      <c r="B51" s="42" t="s">
        <v>103</v>
      </c>
      <c r="C51" s="45" t="e">
        <f>C48-C49</f>
        <v>#N/A</v>
      </c>
      <c r="D51" s="45" t="e">
        <f t="shared" ref="D51:K51" si="3">D48-D49</f>
        <v>#N/A</v>
      </c>
      <c r="E51" s="45" t="e">
        <f t="shared" si="3"/>
        <v>#N/A</v>
      </c>
      <c r="F51" s="45" t="e">
        <f t="shared" si="3"/>
        <v>#N/A</v>
      </c>
      <c r="G51" s="45" t="e">
        <f t="shared" si="3"/>
        <v>#N/A</v>
      </c>
      <c r="H51" s="45" t="e">
        <f t="shared" si="3"/>
        <v>#N/A</v>
      </c>
      <c r="I51" s="45" t="e">
        <f t="shared" si="3"/>
        <v>#N/A</v>
      </c>
      <c r="J51" s="45" t="e">
        <f t="shared" si="3"/>
        <v>#N/A</v>
      </c>
      <c r="K51" s="45" t="e">
        <f t="shared" si="3"/>
        <v>#N/A</v>
      </c>
      <c r="L51" s="33"/>
    </row>
    <row r="52" spans="2:15" s="27" customFormat="1" x14ac:dyDescent="0.25">
      <c r="B52" s="42" t="s">
        <v>104</v>
      </c>
      <c r="C52" s="194" t="e">
        <f>ABS(MAX(C48:K48)-MIN(C49:K49))</f>
        <v>#N/A</v>
      </c>
      <c r="D52" s="194"/>
      <c r="E52" s="194"/>
      <c r="F52" s="194"/>
      <c r="G52" s="194"/>
      <c r="H52" s="194"/>
      <c r="I52" s="194"/>
      <c r="J52" s="194"/>
      <c r="K52" s="194"/>
      <c r="L52" s="33"/>
    </row>
    <row r="53" spans="2:15" s="27" customFormat="1" x14ac:dyDescent="0.25">
      <c r="B53" s="42" t="s">
        <v>105</v>
      </c>
      <c r="C53" s="194" t="e">
        <f>AVERAGE(C50:K50)</f>
        <v>#N/A</v>
      </c>
      <c r="D53" s="194"/>
      <c r="E53" s="194"/>
      <c r="F53" s="194"/>
      <c r="G53" s="194"/>
      <c r="H53" s="194"/>
      <c r="I53" s="194"/>
      <c r="J53" s="194"/>
      <c r="K53" s="194"/>
      <c r="L53" s="33"/>
    </row>
    <row r="54" spans="2:15" s="27" customFormat="1" x14ac:dyDescent="0.25">
      <c r="B54" s="36" t="s">
        <v>106</v>
      </c>
      <c r="C54" s="46" t="e">
        <f ca="1">STDEV(OFFSET(INDEX(Valeurs_Brutes_100[Connecteur 1],1),COUNT(Valeurs_Brutes_100[Connecteur 1])-30,0,30))+C5+C6</f>
        <v>#REF!</v>
      </c>
      <c r="D54" s="46" t="e">
        <f ca="1">STDEV(OFFSET(INDEX(Valeurs_Brutes_100[Connecteur 2],1),COUNT(Valeurs_Brutes_100[Connecteur 2])-30,0,30))+D5+D6</f>
        <v>#REF!</v>
      </c>
      <c r="E54" s="46" t="e">
        <f ca="1">STDEV(OFFSET(INDEX(Valeurs_Brutes_100[Connecteur 3],1),COUNT(Valeurs_Brutes_100[Connecteur 3])-30,0,30))+E5+E6</f>
        <v>#REF!</v>
      </c>
      <c r="F54" s="46" t="e">
        <f ca="1">STDEV(OFFSET(INDEX(Valeurs_Brutes_100[Connecteur 4],1),COUNT(Valeurs_Brutes_100[Connecteur 4])-30,0,30))+F5+F6</f>
        <v>#REF!</v>
      </c>
      <c r="G54" s="46" t="e">
        <f ca="1">STDEV(OFFSET(INDEX(Valeurs_Brutes_100[Connecteur 5],1),COUNT(Valeurs_Brutes_100[Connecteur 5])-30,0,30))+G5+G6</f>
        <v>#REF!</v>
      </c>
      <c r="H54" s="46" t="e">
        <f ca="1">STDEV(OFFSET(INDEX(Valeurs_Brutes_100[Connecteur 6],1),COUNT(Valeurs_Brutes_100[Connecteur 6])-30,0,30))+H5+H6</f>
        <v>#REF!</v>
      </c>
      <c r="I54" s="46" t="e">
        <f ca="1">STDEV(OFFSET(INDEX(Valeurs_Brutes_100[Connecteur 7],1),COUNT(Valeurs_Brutes_100[Connecteur 7])-30,0,30))+I5+I6</f>
        <v>#REF!</v>
      </c>
      <c r="J54" s="46" t="e">
        <f ca="1">STDEV(OFFSET(INDEX(Valeurs_Brutes_100[Connecteur 8],1),COUNT(Valeurs_Brutes_100[Connecteur 8])-30,0,30))+J5+J6</f>
        <v>#REF!</v>
      </c>
      <c r="K54" s="46" t="e">
        <f ca="1">STDEV(OFFSET(INDEX(Valeurs_Brutes_100[Connecteur 9],1),COUNT(Valeurs_Brutes_100[Connecteur 9])-30,0,30))+K5+K6</f>
        <v>#REF!</v>
      </c>
      <c r="L54" s="33"/>
    </row>
    <row r="55" spans="2:15" s="27" customFormat="1" x14ac:dyDescent="0.25">
      <c r="B55"/>
      <c r="C55"/>
      <c r="D55"/>
      <c r="E55"/>
      <c r="F55"/>
      <c r="G55"/>
      <c r="H55"/>
      <c r="I55"/>
      <c r="J55"/>
      <c r="K55"/>
      <c r="L55"/>
    </row>
  </sheetData>
  <sheetProtection algorithmName="SHA-512" hashValue="eIWPP0A0lpVDck6BAru0RzC+QVSWJ/qmOxqe+j3Q2kzs8VxRdPVhIb/O4Tkhp8hq5lK0i9GkF4ukmDPotTIfIw==" saltValue="V1n8OUNL0jQJBETnRukR/g==" spinCount="100000" sheet="1" objects="1" scenarios="1" autoFilter="0"/>
  <mergeCells count="6">
    <mergeCell ref="C53:K53"/>
    <mergeCell ref="A1:O3"/>
    <mergeCell ref="A9:K9"/>
    <mergeCell ref="A11:A41"/>
    <mergeCell ref="A46:XFD46"/>
    <mergeCell ref="C52:K52"/>
  </mergeCells>
  <conditionalFormatting sqref="C48:K48">
    <cfRule type="cellIs" dxfId="13" priority="1" operator="greaterThan">
      <formula>$L$48</formula>
    </cfRule>
  </conditionalFormatting>
  <conditionalFormatting sqref="C49:K49">
    <cfRule type="cellIs" dxfId="12" priority="2" operator="lessThan">
      <formula>$L$49</formula>
    </cfRule>
  </conditionalFormatting>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55"/>
  <sheetViews>
    <sheetView topLeftCell="A43" workbookViewId="0">
      <selection activeCell="D28" sqref="D28"/>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191" t="str">
        <f>"100°C"</f>
        <v>100°C</v>
      </c>
      <c r="B1" s="191"/>
      <c r="C1" s="191"/>
      <c r="D1" s="191"/>
      <c r="E1" s="191"/>
      <c r="F1" s="191"/>
      <c r="G1" s="191"/>
      <c r="H1" s="191"/>
      <c r="I1" s="191"/>
      <c r="J1" s="191"/>
      <c r="K1" s="191"/>
      <c r="L1" s="191"/>
      <c r="M1" s="191"/>
      <c r="N1" s="191"/>
      <c r="O1" s="191"/>
    </row>
    <row r="2" spans="1:15" s="27" customFormat="1" x14ac:dyDescent="0.25">
      <c r="A2" s="191"/>
      <c r="B2" s="191"/>
      <c r="C2" s="191"/>
      <c r="D2" s="191"/>
      <c r="E2" s="191"/>
      <c r="F2" s="191"/>
      <c r="G2" s="191"/>
      <c r="H2" s="191"/>
      <c r="I2" s="191"/>
      <c r="J2" s="191"/>
      <c r="K2" s="191"/>
      <c r="L2" s="191"/>
      <c r="M2" s="191"/>
      <c r="N2" s="191"/>
      <c r="O2" s="191"/>
    </row>
    <row r="3" spans="1:15" s="27" customFormat="1" x14ac:dyDescent="0.25">
      <c r="A3" s="191"/>
      <c r="B3" s="191"/>
      <c r="C3" s="191"/>
      <c r="D3" s="191"/>
      <c r="E3" s="191"/>
      <c r="F3" s="191"/>
      <c r="G3" s="191"/>
      <c r="H3" s="191"/>
      <c r="I3" s="191"/>
      <c r="J3" s="191"/>
      <c r="K3" s="191"/>
      <c r="L3" s="191"/>
      <c r="M3" s="191"/>
      <c r="N3" s="191"/>
      <c r="O3" s="191"/>
    </row>
    <row r="4" spans="1:15" s="27" customFormat="1" x14ac:dyDescent="0.25">
      <c r="L4" s="33"/>
    </row>
    <row r="5" spans="1:15" s="27" customFormat="1" x14ac:dyDescent="0.25">
      <c r="B5" s="34" t="s">
        <v>24</v>
      </c>
      <c r="C5" s="35" t="e">
        <f>_xlfn.XLOOKUP(INT(SUBSTITUTE(C47,"Connecteur ","")),Mesures_Dover!C23:C31,Mesures_Dover!G23:G31)</f>
        <v>#N/A</v>
      </c>
      <c r="D5" s="35" t="e">
        <f>_xlfn.XLOOKUP(INT(SUBSTITUTE(D47,"Connecteur ","")),Mesures_Dover!C23:C31,Mesures_Dover!G23:G31)</f>
        <v>#N/A</v>
      </c>
      <c r="E5" s="35" t="e">
        <f>_xlfn.XLOOKUP(INT(SUBSTITUTE(E47,"Connecteur ","")),Mesures_Dover!C23:C31,Mesures_Dover!G23:G31)</f>
        <v>#N/A</v>
      </c>
      <c r="F5" s="35" t="e">
        <f>_xlfn.XLOOKUP(INT(SUBSTITUTE(F47,"Connecteur ","")),Mesures_Dover!C23:C31,Mesures_Dover!G23:G31)</f>
        <v>#N/A</v>
      </c>
      <c r="G5" s="35" t="e">
        <f>_xlfn.XLOOKUP(INT(SUBSTITUTE(G47,"Connecteur ","")),Mesures_Dover!C23:C31,Mesures_Dover!G23:G31)</f>
        <v>#N/A</v>
      </c>
      <c r="H5" s="35" t="e">
        <f>_xlfn.XLOOKUP(INT(SUBSTITUTE(H47,"Connecteur ","")),Mesures_Dover!C23:C31,Mesures_Dover!G23:G31)</f>
        <v>#N/A</v>
      </c>
      <c r="I5" s="35" t="e">
        <f>_xlfn.XLOOKUP(INT(SUBSTITUTE(I47,"Connecteur ","")),Mesures_Dover!C23:C31,Mesures_Dover!G23:G31)</f>
        <v>#N/A</v>
      </c>
      <c r="J5" s="35" t="e">
        <f>_xlfn.XLOOKUP(INT(SUBSTITUTE(J47,"Connecteur ","")),Mesures_Dover!C23:C31,Mesures_Dover!G23:G31)</f>
        <v>#N/A</v>
      </c>
      <c r="K5" s="35" t="e">
        <f>_xlfn.XLOOKUP(INT(SUBSTITUTE(K47,"Connecteur ","")),Mesures_Dover!C23:C31,Mesures_Dover!G23:G31)</f>
        <v>#N/A</v>
      </c>
      <c r="L5" s="33"/>
    </row>
    <row r="6" spans="1:15" s="27" customFormat="1" x14ac:dyDescent="0.25">
      <c r="B6" s="34" t="s">
        <v>94</v>
      </c>
      <c r="C6" s="35" t="e">
        <f>_xlfn.XLOOKUP(INT(SUBSTITUTE(C47,"Connecteur ","")),Mesures_Dover!C23:C31,Mesures_Dover!D23:D31)</f>
        <v>#N/A</v>
      </c>
      <c r="D6" s="35" t="e">
        <f>_xlfn.XLOOKUP(INT(SUBSTITUTE(D47,"Connecteur ","")),Mesures_Dover!C23:C31,Mesures_Dover!D23:D31)</f>
        <v>#N/A</v>
      </c>
      <c r="E6" s="35" t="e">
        <f>_xlfn.XLOOKUP(INT(SUBSTITUTE(E47,"Connecteur ","")),Mesures_Dover!C23:C31,Mesures_Dover!D23:D31)</f>
        <v>#N/A</v>
      </c>
      <c r="F6" s="35" t="e">
        <f>_xlfn.XLOOKUP(INT(SUBSTITUTE(F47,"Connecteur ","")),Mesures_Dover!C23:C31,Mesures_Dover!D23:D31)</f>
        <v>#N/A</v>
      </c>
      <c r="G6" s="35" t="e">
        <f>_xlfn.XLOOKUP(INT(SUBSTITUTE(G47,"Connecteur ","")),Mesures_Dover!C23:C31,Mesures_Dover!D23:D31)</f>
        <v>#N/A</v>
      </c>
      <c r="H6" s="35" t="e">
        <f>_xlfn.XLOOKUP(INT(SUBSTITUTE(H47,"Connecteur ","")),Mesures_Dover!C23:C31,Mesures_Dover!D23:D31)</f>
        <v>#N/A</v>
      </c>
      <c r="I6" s="35" t="e">
        <f>_xlfn.XLOOKUP(INT(SUBSTITUTE(I47,"Connecteur ","")),Mesures_Dover!C23:C31,Mesures_Dover!D23:D31)</f>
        <v>#N/A</v>
      </c>
      <c r="J6" s="35" t="e">
        <f>_xlfn.XLOOKUP(INT(SUBSTITUTE(J47,"Connecteur ","")),Mesures_Dover!C23:C31,Mesures_Dover!D23:D31)</f>
        <v>#N/A</v>
      </c>
      <c r="K6" s="35" t="e">
        <f>_xlfn.XLOOKUP(INT(SUBSTITUTE(K47,"Connecteur ","")),Mesures_Dover!C23:C31,Mesures_Dover!D23:D31)</f>
        <v>#N/A</v>
      </c>
      <c r="L6" s="33"/>
    </row>
    <row r="7" spans="1:15" s="27" customFormat="1" x14ac:dyDescent="0.25">
      <c r="L7" s="33"/>
    </row>
    <row r="8" spans="1:15" s="27" customFormat="1" x14ac:dyDescent="0.25">
      <c r="L8" s="33"/>
    </row>
    <row r="9" spans="1:15" s="27" customFormat="1" x14ac:dyDescent="0.25">
      <c r="A9" s="229" t="s">
        <v>95</v>
      </c>
      <c r="B9" s="229"/>
      <c r="C9" s="229"/>
      <c r="D9" s="229"/>
      <c r="E9" s="229"/>
      <c r="F9" s="229"/>
      <c r="G9" s="229"/>
      <c r="H9" s="229"/>
      <c r="I9" s="229"/>
      <c r="J9" s="229"/>
      <c r="K9" s="229"/>
      <c r="L9" s="33"/>
    </row>
    <row r="10" spans="1:15" s="27" customFormat="1" x14ac:dyDescent="0.25">
      <c r="A10" s="33"/>
      <c r="B10" s="34" t="str" cm="1">
        <f t="array" ref="B10:K10">Valeurs_Brutes_150[#Headers]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230" t="s">
        <v>96</v>
      </c>
      <c r="B11" s="145" cm="1">
        <f t="array" ref="B11">Valeurs_Brutes_150[Date/Heure]</f>
        <v>0</v>
      </c>
      <c r="C11" s="130" t="e" cm="1">
        <f t="array" ref="C11:K11">Valeurs_Brutes_150[[Connecteur 1]:[Connecteur 9]] + C5:K5 +C6:K6</f>
        <v>#N/A</v>
      </c>
      <c r="D11" s="130" t="e">
        <v>#N/A</v>
      </c>
      <c r="E11" s="130" t="e">
        <v>#N/A</v>
      </c>
      <c r="F11" s="130" t="e">
        <v>#N/A</v>
      </c>
      <c r="G11" s="130" t="e">
        <v>#N/A</v>
      </c>
      <c r="H11" s="130" t="e">
        <v>#N/A</v>
      </c>
      <c r="I11" s="130" t="e">
        <v>#N/A</v>
      </c>
      <c r="J11" s="130" t="e">
        <v>#N/A</v>
      </c>
      <c r="K11" s="130" t="e">
        <v>#N/A</v>
      </c>
      <c r="L11" s="33"/>
    </row>
    <row r="12" spans="1:15" s="27" customFormat="1" x14ac:dyDescent="0.25">
      <c r="A12" s="230"/>
      <c r="B12" s="145"/>
      <c r="C12" s="130"/>
      <c r="D12" s="130"/>
      <c r="E12" s="130"/>
      <c r="F12" s="130"/>
      <c r="G12" s="130"/>
      <c r="H12" s="130"/>
      <c r="I12" s="130"/>
      <c r="J12" s="130"/>
      <c r="K12" s="130"/>
      <c r="L12" s="33"/>
    </row>
    <row r="13" spans="1:15" x14ac:dyDescent="0.25">
      <c r="A13" s="230"/>
      <c r="B13" s="145"/>
      <c r="C13" s="130"/>
      <c r="D13" s="130"/>
      <c r="E13" s="130"/>
      <c r="F13" s="130"/>
      <c r="G13" s="130"/>
      <c r="H13" s="130"/>
      <c r="I13" s="130"/>
      <c r="J13" s="130"/>
      <c r="K13" s="130"/>
    </row>
    <row r="14" spans="1:15" x14ac:dyDescent="0.25">
      <c r="A14" s="230"/>
      <c r="B14" s="145"/>
      <c r="C14" s="130"/>
      <c r="D14" s="130"/>
      <c r="E14" s="130"/>
      <c r="F14" s="130"/>
      <c r="G14" s="130"/>
      <c r="H14" s="130"/>
      <c r="I14" s="130"/>
      <c r="J14" s="130"/>
      <c r="K14" s="130"/>
    </row>
    <row r="15" spans="1:15" x14ac:dyDescent="0.25">
      <c r="A15" s="230"/>
      <c r="B15" s="145"/>
      <c r="C15" s="130"/>
      <c r="D15" s="130"/>
      <c r="E15" s="130"/>
      <c r="F15" s="130"/>
      <c r="G15" s="130"/>
      <c r="H15" s="130"/>
      <c r="I15" s="130"/>
      <c r="J15" s="130"/>
      <c r="K15" s="130"/>
    </row>
    <row r="16" spans="1:15" x14ac:dyDescent="0.25">
      <c r="A16" s="230"/>
      <c r="B16" s="145"/>
      <c r="C16" s="130"/>
      <c r="D16" s="130"/>
      <c r="E16" s="130"/>
      <c r="F16" s="130"/>
      <c r="G16" s="130"/>
      <c r="H16" s="130"/>
      <c r="I16" s="130"/>
      <c r="J16" s="130"/>
      <c r="K16" s="130"/>
    </row>
    <row r="17" spans="1:12" x14ac:dyDescent="0.25">
      <c r="A17" s="230"/>
      <c r="B17" s="145"/>
      <c r="C17" s="130"/>
      <c r="D17" s="130"/>
      <c r="E17" s="130"/>
      <c r="F17" s="130"/>
      <c r="G17" s="130"/>
      <c r="H17" s="130"/>
      <c r="I17" s="130"/>
      <c r="J17" s="130"/>
      <c r="K17" s="130"/>
    </row>
    <row r="18" spans="1:12" x14ac:dyDescent="0.25">
      <c r="A18" s="230"/>
      <c r="B18" s="145"/>
      <c r="C18" s="130"/>
      <c r="D18" s="130"/>
      <c r="E18" s="130"/>
      <c r="F18" s="130"/>
      <c r="G18" s="130"/>
      <c r="H18" s="130"/>
      <c r="I18" s="130"/>
      <c r="J18" s="130"/>
      <c r="K18" s="130"/>
    </row>
    <row r="19" spans="1:12" x14ac:dyDescent="0.25">
      <c r="A19" s="230"/>
      <c r="B19" s="145"/>
      <c r="C19" s="130"/>
      <c r="D19" s="130"/>
      <c r="E19" s="130"/>
      <c r="F19" s="130"/>
      <c r="G19" s="130"/>
      <c r="H19" s="130"/>
      <c r="I19" s="130"/>
      <c r="J19" s="130"/>
      <c r="K19" s="130"/>
    </row>
    <row r="20" spans="1:12" x14ac:dyDescent="0.25">
      <c r="A20" s="230"/>
      <c r="B20" s="145"/>
      <c r="C20" s="130"/>
      <c r="D20" s="130"/>
      <c r="E20" s="130"/>
      <c r="F20" s="130"/>
      <c r="G20" s="130"/>
      <c r="H20" s="130"/>
      <c r="I20" s="130"/>
      <c r="J20" s="130"/>
      <c r="K20" s="130"/>
    </row>
    <row r="21" spans="1:12" x14ac:dyDescent="0.25">
      <c r="A21" s="230"/>
      <c r="B21" s="145"/>
      <c r="C21" s="130"/>
      <c r="D21" s="130"/>
      <c r="E21" s="130"/>
      <c r="F21" s="130"/>
      <c r="G21" s="130"/>
      <c r="H21" s="130"/>
      <c r="I21" s="130"/>
      <c r="J21" s="130"/>
      <c r="K21" s="130"/>
    </row>
    <row r="22" spans="1:12" x14ac:dyDescent="0.25">
      <c r="A22" s="230"/>
      <c r="B22" s="145"/>
      <c r="C22" s="130"/>
      <c r="D22" s="130"/>
      <c r="E22" s="130"/>
      <c r="F22" s="130"/>
      <c r="G22" s="130"/>
      <c r="H22" s="130"/>
      <c r="I22" s="130"/>
      <c r="J22" s="130"/>
      <c r="K22" s="130"/>
    </row>
    <row r="23" spans="1:12" s="27" customFormat="1" x14ac:dyDescent="0.25">
      <c r="A23" s="230"/>
      <c r="B23" s="145"/>
      <c r="C23" s="130"/>
      <c r="D23" s="130"/>
      <c r="E23" s="130"/>
      <c r="F23" s="130"/>
      <c r="G23" s="130"/>
      <c r="H23" s="130"/>
      <c r="I23" s="130"/>
      <c r="J23" s="130"/>
      <c r="K23" s="130"/>
      <c r="L23" s="33"/>
    </row>
    <row r="24" spans="1:12" x14ac:dyDescent="0.25">
      <c r="A24" s="230"/>
      <c r="B24" s="145"/>
      <c r="C24" s="130"/>
      <c r="D24" s="130"/>
      <c r="E24" s="130"/>
      <c r="F24" s="130"/>
      <c r="G24" s="130"/>
      <c r="H24" s="130"/>
      <c r="I24" s="130"/>
      <c r="J24" s="130"/>
      <c r="K24" s="130"/>
    </row>
    <row r="25" spans="1:12" x14ac:dyDescent="0.25">
      <c r="A25" s="230"/>
      <c r="B25" s="145"/>
      <c r="C25" s="130"/>
      <c r="D25" s="130"/>
      <c r="E25" s="130"/>
      <c r="F25" s="130"/>
      <c r="G25" s="130"/>
      <c r="H25" s="130"/>
      <c r="I25" s="130"/>
      <c r="J25" s="130"/>
      <c r="K25" s="130"/>
    </row>
    <row r="26" spans="1:12" x14ac:dyDescent="0.25">
      <c r="A26" s="230"/>
      <c r="B26" s="145"/>
      <c r="C26" s="130"/>
      <c r="D26" s="130"/>
      <c r="E26" s="130"/>
      <c r="F26" s="130"/>
      <c r="G26" s="130"/>
      <c r="H26" s="130"/>
      <c r="I26" s="130"/>
      <c r="J26" s="130"/>
      <c r="K26" s="130"/>
    </row>
    <row r="27" spans="1:12" x14ac:dyDescent="0.25">
      <c r="A27" s="230"/>
      <c r="B27" s="145"/>
      <c r="C27" s="130"/>
      <c r="D27" s="130"/>
      <c r="E27" s="130"/>
      <c r="F27" s="130"/>
      <c r="G27" s="130"/>
      <c r="H27" s="130"/>
      <c r="I27" s="130"/>
      <c r="J27" s="130"/>
      <c r="K27" s="130"/>
    </row>
    <row r="28" spans="1:12" x14ac:dyDescent="0.25">
      <c r="A28" s="230"/>
      <c r="B28" s="145"/>
      <c r="C28" s="130"/>
      <c r="D28" s="130"/>
      <c r="E28" s="130"/>
      <c r="F28" s="130"/>
      <c r="G28" s="130"/>
      <c r="H28" s="130"/>
      <c r="I28" s="130"/>
      <c r="J28" s="130"/>
      <c r="K28" s="130"/>
    </row>
    <row r="29" spans="1:12" x14ac:dyDescent="0.25">
      <c r="A29" s="230"/>
      <c r="B29" s="145"/>
      <c r="C29" s="130"/>
      <c r="D29" s="130"/>
      <c r="E29" s="130"/>
      <c r="F29" s="130"/>
      <c r="G29" s="130"/>
      <c r="H29" s="130"/>
      <c r="I29" s="130"/>
      <c r="J29" s="130"/>
      <c r="K29" s="130"/>
    </row>
    <row r="30" spans="1:12" x14ac:dyDescent="0.25">
      <c r="A30" s="230"/>
      <c r="B30" s="145"/>
      <c r="C30" s="130"/>
      <c r="D30" s="130"/>
      <c r="E30" s="130"/>
      <c r="F30" s="130"/>
      <c r="G30" s="130"/>
      <c r="H30" s="130"/>
      <c r="I30" s="130"/>
      <c r="J30" s="130"/>
      <c r="K30" s="130"/>
    </row>
    <row r="31" spans="1:12" x14ac:dyDescent="0.25">
      <c r="A31" s="230"/>
      <c r="B31" s="145"/>
      <c r="C31" s="130"/>
      <c r="D31" s="130"/>
      <c r="E31" s="130"/>
      <c r="F31" s="130"/>
      <c r="G31" s="130"/>
      <c r="H31" s="130"/>
      <c r="I31" s="130"/>
      <c r="J31" s="130"/>
      <c r="K31" s="130"/>
    </row>
    <row r="32" spans="1:12" x14ac:dyDescent="0.25">
      <c r="A32" s="230"/>
      <c r="B32" s="145"/>
      <c r="C32" s="130"/>
      <c r="D32" s="130"/>
      <c r="E32" s="130"/>
      <c r="F32" s="130"/>
      <c r="G32" s="130"/>
      <c r="H32" s="130"/>
      <c r="I32" s="130"/>
      <c r="J32" s="130"/>
      <c r="K32" s="130"/>
    </row>
    <row r="33" spans="1:15" x14ac:dyDescent="0.25">
      <c r="A33" s="230"/>
      <c r="B33" s="145"/>
      <c r="C33" s="130"/>
      <c r="D33" s="130"/>
      <c r="E33" s="130"/>
      <c r="F33" s="130"/>
      <c r="G33" s="130"/>
      <c r="H33" s="130"/>
      <c r="I33" s="130"/>
      <c r="J33" s="130"/>
      <c r="K33" s="130"/>
    </row>
    <row r="34" spans="1:15" x14ac:dyDescent="0.25">
      <c r="A34" s="230"/>
      <c r="B34" s="145"/>
      <c r="C34" s="130"/>
      <c r="D34" s="130"/>
      <c r="E34" s="130"/>
      <c r="F34" s="130"/>
      <c r="G34" s="130"/>
      <c r="H34" s="130"/>
      <c r="I34" s="130"/>
      <c r="J34" s="130"/>
      <c r="K34" s="130"/>
    </row>
    <row r="35" spans="1:15" x14ac:dyDescent="0.25">
      <c r="A35" s="230"/>
      <c r="B35" s="145"/>
      <c r="C35" s="130"/>
      <c r="D35" s="130"/>
      <c r="E35" s="130"/>
      <c r="F35" s="130"/>
      <c r="G35" s="130"/>
      <c r="H35" s="130"/>
      <c r="I35" s="130"/>
      <c r="J35" s="130"/>
      <c r="K35" s="130"/>
    </row>
    <row r="36" spans="1:15" x14ac:dyDescent="0.25">
      <c r="A36" s="230"/>
      <c r="B36" s="145"/>
      <c r="C36" s="130"/>
      <c r="D36" s="130"/>
      <c r="E36" s="130"/>
      <c r="F36" s="130"/>
      <c r="G36" s="130"/>
      <c r="H36" s="130"/>
      <c r="I36" s="130"/>
      <c r="J36" s="130"/>
      <c r="K36" s="130"/>
    </row>
    <row r="37" spans="1:15" x14ac:dyDescent="0.25">
      <c r="A37" s="230"/>
      <c r="B37" s="145"/>
      <c r="C37" s="130"/>
      <c r="D37" s="130"/>
      <c r="E37" s="130"/>
      <c r="F37" s="130"/>
      <c r="G37" s="130"/>
      <c r="H37" s="130"/>
      <c r="I37" s="130"/>
      <c r="J37" s="130"/>
      <c r="K37" s="130"/>
    </row>
    <row r="38" spans="1:15" x14ac:dyDescent="0.25">
      <c r="A38" s="230"/>
      <c r="B38" s="145"/>
      <c r="C38" s="130"/>
      <c r="D38" s="130"/>
      <c r="E38" s="130"/>
      <c r="F38" s="130"/>
      <c r="G38" s="130"/>
      <c r="H38" s="130"/>
      <c r="I38" s="130"/>
      <c r="J38" s="130"/>
      <c r="K38" s="130"/>
    </row>
    <row r="39" spans="1:15" x14ac:dyDescent="0.25">
      <c r="A39" s="230"/>
      <c r="B39" s="145"/>
      <c r="C39" s="130"/>
      <c r="D39" s="130"/>
      <c r="E39" s="130"/>
      <c r="F39" s="130"/>
      <c r="G39" s="130"/>
      <c r="H39" s="130"/>
      <c r="I39" s="130"/>
      <c r="J39" s="130"/>
      <c r="K39" s="130"/>
    </row>
    <row r="40" spans="1:15" x14ac:dyDescent="0.25">
      <c r="A40" s="230"/>
      <c r="B40" s="145"/>
      <c r="C40" s="130"/>
      <c r="D40" s="130"/>
      <c r="E40" s="130"/>
      <c r="F40" s="130"/>
      <c r="G40" s="130"/>
      <c r="H40" s="130"/>
      <c r="I40" s="130"/>
      <c r="J40" s="130"/>
      <c r="K40" s="130"/>
    </row>
    <row r="41" spans="1:15" x14ac:dyDescent="0.25">
      <c r="A41" s="230"/>
      <c r="B41" s="145"/>
      <c r="C41" s="130"/>
      <c r="D41" s="130"/>
      <c r="E41" s="130"/>
      <c r="F41" s="130"/>
      <c r="G41" s="130"/>
      <c r="H41" s="130"/>
      <c r="I41" s="130"/>
      <c r="J41" s="130"/>
      <c r="K41" s="130"/>
    </row>
    <row r="46" spans="1:15" s="193" customFormat="1" x14ac:dyDescent="0.25"/>
    <row r="47" spans="1:15" s="27" customFormat="1" x14ac:dyDescent="0.25">
      <c r="C47" s="41" t="str" cm="1">
        <f t="array" ref="C47:K47">Valeurs_Brutes_150[[#Headers],[Connecteur 1]:[Connecteur 9]]</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M47" s="33"/>
    </row>
    <row r="48" spans="1:15" s="27" customFormat="1" x14ac:dyDescent="0.25">
      <c r="B48" s="42" t="s">
        <v>98</v>
      </c>
      <c r="C48" s="43" t="e">
        <f>MAX(C11:C41)</f>
        <v>#N/A</v>
      </c>
      <c r="D48" s="43" t="e">
        <f>MAX(D11:D41)</f>
        <v>#N/A</v>
      </c>
      <c r="E48" s="43" t="e">
        <f t="shared" ref="E48:K48" si="0">MAX(E11:E41)</f>
        <v>#N/A</v>
      </c>
      <c r="F48" s="43" t="e">
        <f t="shared" si="0"/>
        <v>#N/A</v>
      </c>
      <c r="G48" s="43" t="e">
        <f t="shared" si="0"/>
        <v>#N/A</v>
      </c>
      <c r="H48" s="43" t="e">
        <f t="shared" si="0"/>
        <v>#N/A</v>
      </c>
      <c r="I48" s="43" t="e">
        <f t="shared" si="0"/>
        <v>#N/A</v>
      </c>
      <c r="J48" s="43" t="e">
        <f t="shared" si="0"/>
        <v>#N/A</v>
      </c>
      <c r="K48" s="43" t="e">
        <f t="shared" si="0"/>
        <v>#N/A</v>
      </c>
      <c r="L48" s="48">
        <f>150+Mesures_Dover!B20</f>
        <v>150</v>
      </c>
      <c r="N48" s="36" t="s">
        <v>7</v>
      </c>
      <c r="O48" s="48" t="str">
        <f>"150°C"</f>
        <v>150°C</v>
      </c>
    </row>
    <row r="49" spans="2:15" s="27" customFormat="1" x14ac:dyDescent="0.25">
      <c r="B49" s="42" t="s">
        <v>100</v>
      </c>
      <c r="C49" s="43" t="e">
        <f>MIN(C11:C41)</f>
        <v>#N/A</v>
      </c>
      <c r="D49" s="43" t="e">
        <f t="shared" ref="D49:K49" si="1">MIN(D11:D41)</f>
        <v>#N/A</v>
      </c>
      <c r="E49" s="43" t="e">
        <f t="shared" si="1"/>
        <v>#N/A</v>
      </c>
      <c r="F49" s="43" t="e">
        <f t="shared" si="1"/>
        <v>#N/A</v>
      </c>
      <c r="G49" s="43" t="e">
        <f t="shared" si="1"/>
        <v>#N/A</v>
      </c>
      <c r="H49" s="43" t="e">
        <f t="shared" si="1"/>
        <v>#N/A</v>
      </c>
      <c r="I49" s="43" t="e">
        <f t="shared" si="1"/>
        <v>#N/A</v>
      </c>
      <c r="J49" s="43" t="e">
        <f t="shared" si="1"/>
        <v>#N/A</v>
      </c>
      <c r="K49" s="43" t="e">
        <f t="shared" si="1"/>
        <v>#N/A</v>
      </c>
      <c r="L49" s="48">
        <f>150-Mesures_Dover!B20</f>
        <v>150</v>
      </c>
      <c r="N49" s="36" t="s">
        <v>99</v>
      </c>
      <c r="O49" s="35" t="str">
        <f>"+" &amp; Mesures_Dover!B20 &amp; "°C"</f>
        <v>+°C</v>
      </c>
    </row>
    <row r="50" spans="2:15" s="27" customFormat="1" x14ac:dyDescent="0.25">
      <c r="B50" s="42" t="s">
        <v>102</v>
      </c>
      <c r="C50" s="43" t="e">
        <f>AVERAGE(C11:C41)</f>
        <v>#N/A</v>
      </c>
      <c r="D50" s="43" t="e">
        <f t="shared" ref="D50:K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33"/>
      <c r="M50" s="33"/>
      <c r="N50" s="36" t="s">
        <v>101</v>
      </c>
      <c r="O50" s="35" t="str">
        <f>"-" &amp; Mesures_Dover!B20 &amp; "°C"</f>
        <v>-°C</v>
      </c>
    </row>
    <row r="51" spans="2:15" s="27" customFormat="1" x14ac:dyDescent="0.25">
      <c r="B51" s="42" t="s">
        <v>103</v>
      </c>
      <c r="C51" s="45" t="e">
        <f>C48-C49</f>
        <v>#N/A</v>
      </c>
      <c r="D51" s="45" t="e">
        <f t="shared" ref="D51:K51" si="3">D48-D49</f>
        <v>#N/A</v>
      </c>
      <c r="E51" s="45" t="e">
        <f t="shared" si="3"/>
        <v>#N/A</v>
      </c>
      <c r="F51" s="45" t="e">
        <f t="shared" si="3"/>
        <v>#N/A</v>
      </c>
      <c r="G51" s="45" t="e">
        <f t="shared" si="3"/>
        <v>#N/A</v>
      </c>
      <c r="H51" s="45" t="e">
        <f t="shared" si="3"/>
        <v>#N/A</v>
      </c>
      <c r="I51" s="45" t="e">
        <f t="shared" si="3"/>
        <v>#N/A</v>
      </c>
      <c r="J51" s="45" t="e">
        <f t="shared" si="3"/>
        <v>#N/A</v>
      </c>
      <c r="K51" s="45" t="e">
        <f t="shared" si="3"/>
        <v>#N/A</v>
      </c>
      <c r="L51" s="33"/>
    </row>
    <row r="52" spans="2:15" s="27" customFormat="1" x14ac:dyDescent="0.25">
      <c r="B52" s="42" t="s">
        <v>104</v>
      </c>
      <c r="C52" s="194" t="e">
        <f>ABS(MAX(C48:K48)-MIN(C49:K49))</f>
        <v>#N/A</v>
      </c>
      <c r="D52" s="194"/>
      <c r="E52" s="194"/>
      <c r="F52" s="194"/>
      <c r="G52" s="194"/>
      <c r="H52" s="194"/>
      <c r="I52" s="194"/>
      <c r="J52" s="194"/>
      <c r="K52" s="194"/>
      <c r="L52" s="33"/>
    </row>
    <row r="53" spans="2:15" s="27" customFormat="1" x14ac:dyDescent="0.25">
      <c r="B53" s="42" t="s">
        <v>105</v>
      </c>
      <c r="C53" s="194" t="e">
        <f>AVERAGE(C50:K50)</f>
        <v>#N/A</v>
      </c>
      <c r="D53" s="194"/>
      <c r="E53" s="194"/>
      <c r="F53" s="194"/>
      <c r="G53" s="194"/>
      <c r="H53" s="194"/>
      <c r="I53" s="194"/>
      <c r="J53" s="194"/>
      <c r="K53" s="194"/>
      <c r="L53" s="33"/>
    </row>
    <row r="54" spans="2:15" s="27" customFormat="1" x14ac:dyDescent="0.25">
      <c r="B54" s="36" t="s">
        <v>106</v>
      </c>
      <c r="C54" s="46" t="e">
        <f ca="1">STDEV(OFFSET(INDEX(Valeurs_Brutes_150[Connecteur 1],1),COUNT(Valeurs_Brutes_150[Connecteur 1])-30,0,30))+C5+C6</f>
        <v>#REF!</v>
      </c>
      <c r="D54" s="46" t="e">
        <f ca="1">STDEV(OFFSET(INDEX(Valeurs_Brutes_150[Connecteur 2],1),COUNT(Valeurs_Brutes_150[Connecteur 2])-30,0,30))+D5+D6</f>
        <v>#REF!</v>
      </c>
      <c r="E54" s="46" t="e">
        <f ca="1">STDEV(OFFSET(INDEX(Valeurs_Brutes_150[Connecteur 3],1),COUNT(Valeurs_Brutes_150[Connecteur 3])-30,0,30))+E5+E6</f>
        <v>#REF!</v>
      </c>
      <c r="F54" s="46" t="e">
        <f ca="1">STDEV(OFFSET(INDEX(Valeurs_Brutes_150[Connecteur 4],1),COUNT(Valeurs_Brutes_150[Connecteur 4])-30,0,30))+F5+F6</f>
        <v>#REF!</v>
      </c>
      <c r="G54" s="46" t="e">
        <f ca="1">STDEV(OFFSET(INDEX(Valeurs_Brutes_150[Connecteur 5],1),COUNT(Valeurs_Brutes_150[Connecteur 5])-30,0,30))+G5+G6</f>
        <v>#REF!</v>
      </c>
      <c r="H54" s="46" t="e">
        <f ca="1">STDEV(OFFSET(INDEX(Valeurs_Brutes_150[Connecteur 6],1),COUNT(Valeurs_Brutes_150[Connecteur 6])-30,0,30))+H5+H6</f>
        <v>#REF!</v>
      </c>
      <c r="I54" s="46" t="e">
        <f ca="1">STDEV(OFFSET(INDEX(Valeurs_Brutes_150[Connecteur 7],1),COUNT(Valeurs_Brutes_150[Connecteur 7])-30,0,30))+I5+I6</f>
        <v>#REF!</v>
      </c>
      <c r="J54" s="46" t="e">
        <f ca="1">STDEV(OFFSET(INDEX(Valeurs_Brutes_150[Connecteur 8],1),COUNT(Valeurs_Brutes_150[Connecteur 8])-30,0,30))+J5+J6</f>
        <v>#REF!</v>
      </c>
      <c r="K54" s="46" t="e">
        <f ca="1">STDEV(OFFSET(INDEX(Valeurs_Brutes_150[Connecteur 9],1),COUNT(Valeurs_Brutes_150[Connecteur 9])-30,0,30))+K5+K6</f>
        <v>#REF!</v>
      </c>
      <c r="L54" s="33"/>
    </row>
    <row r="55" spans="2:15" s="27" customFormat="1" x14ac:dyDescent="0.25">
      <c r="B55"/>
      <c r="C55"/>
      <c r="D55"/>
      <c r="E55"/>
      <c r="F55"/>
      <c r="G55"/>
      <c r="H55"/>
      <c r="I55"/>
      <c r="J55"/>
      <c r="K55"/>
      <c r="L55"/>
    </row>
  </sheetData>
  <sheetProtection algorithmName="SHA-512" hashValue="IZLbw6iEB42SAYVUG2vhoFAlUb2+ml63oKkUejp04cH4MSU2XeXMJTqa108TPb5JoLXFYyP4kA8KY99xq4S2gw==" saltValue="c+FDNmENAwJP3nrrGXNYag==" spinCount="100000" sheet="1" objects="1" scenarios="1" autoFilter="0"/>
  <mergeCells count="6">
    <mergeCell ref="C53:K53"/>
    <mergeCell ref="A1:O3"/>
    <mergeCell ref="A9:K9"/>
    <mergeCell ref="A11:A41"/>
    <mergeCell ref="A46:XFD46"/>
    <mergeCell ref="C52:K52"/>
  </mergeCells>
  <conditionalFormatting sqref="C48:K48">
    <cfRule type="cellIs" dxfId="11" priority="1" operator="greaterThan">
      <formula>$L$48</formula>
    </cfRule>
  </conditionalFormatting>
  <conditionalFormatting sqref="C49:K49">
    <cfRule type="cellIs" dxfId="10" priority="2" operator="lessThan">
      <formula>$L$49</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40" zoomScale="55" zoomScaleNormal="100" zoomScaleSheetLayoutView="55" zoomScalePageLayoutView="60" workbookViewId="0">
      <selection activeCell="H66" sqref="H66"/>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236" t="s">
        <v>274</v>
      </c>
      <c r="C4" s="237"/>
      <c r="D4" s="237"/>
      <c r="E4" s="237"/>
      <c r="F4" s="237"/>
    </row>
    <row r="5" spans="2:9" ht="26.25" x14ac:dyDescent="0.25">
      <c r="B5" s="237"/>
      <c r="C5" s="237"/>
      <c r="D5" s="237"/>
      <c r="E5" s="237"/>
      <c r="F5" s="237"/>
      <c r="G5" s="88"/>
      <c r="H5" s="88"/>
      <c r="I5" s="89"/>
    </row>
    <row r="6" spans="2:9" ht="58.5" customHeight="1" x14ac:dyDescent="0.25">
      <c r="B6" s="237"/>
      <c r="C6" s="237"/>
      <c r="D6" s="237"/>
      <c r="E6" s="237"/>
      <c r="F6" s="237"/>
    </row>
    <row r="10" spans="2:9" ht="21" x14ac:dyDescent="0.25">
      <c r="C10" s="196" t="s">
        <v>145</v>
      </c>
      <c r="D10" s="196"/>
      <c r="E10" s="197">
        <f>Mesures_Dover!D5</f>
        <v>0</v>
      </c>
      <c r="F10" s="197"/>
    </row>
    <row r="11" spans="2:9" ht="21" x14ac:dyDescent="0.25">
      <c r="C11" s="90"/>
      <c r="D11" s="90"/>
      <c r="E11" s="91"/>
      <c r="F11" s="91"/>
    </row>
    <row r="12" spans="2:9" x14ac:dyDescent="0.25">
      <c r="C12" s="92" t="s">
        <v>1</v>
      </c>
      <c r="D12" s="147">
        <f>Mesures_Dover!C7</f>
        <v>0</v>
      </c>
      <c r="F12" s="92" t="s">
        <v>19</v>
      </c>
      <c r="G12" s="147">
        <f>Mesures_Dover!G7</f>
        <v>0</v>
      </c>
    </row>
    <row r="13" spans="2:9" ht="15.75" x14ac:dyDescent="0.25">
      <c r="C13" s="94" t="s">
        <v>2</v>
      </c>
      <c r="D13" s="148">
        <f>Mesures_Dover!C8</f>
        <v>0</v>
      </c>
      <c r="F13" s="96" t="s">
        <v>20</v>
      </c>
      <c r="G13" s="148">
        <f>Mesures_Dover!G8</f>
        <v>0</v>
      </c>
    </row>
    <row r="14" spans="2:9" ht="15.75" x14ac:dyDescent="0.25">
      <c r="C14" s="97"/>
      <c r="D14" s="98"/>
      <c r="G14" s="99"/>
    </row>
    <row r="15" spans="2:9" ht="15.75" x14ac:dyDescent="0.25">
      <c r="C15" s="100" t="s">
        <v>146</v>
      </c>
      <c r="D15" s="101">
        <f>Mesures_Dover!C14</f>
        <v>0</v>
      </c>
      <c r="F15" s="92" t="s">
        <v>147</v>
      </c>
      <c r="G15" s="9">
        <f>Mesures_Dover!C15</f>
        <v>0</v>
      </c>
    </row>
    <row r="16" spans="2:9" ht="15.75" x14ac:dyDescent="0.25">
      <c r="C16" s="100" t="s">
        <v>148</v>
      </c>
      <c r="D16" s="103">
        <f>Mesures_Dover!G11</f>
        <v>15</v>
      </c>
      <c r="F16" s="92" t="s">
        <v>149</v>
      </c>
      <c r="G16" s="9">
        <f>Mesures_Dover!G12</f>
        <v>0</v>
      </c>
    </row>
    <row r="17" spans="1:9" ht="15.75" x14ac:dyDescent="0.25">
      <c r="C17" s="97"/>
      <c r="D17" s="98"/>
      <c r="F17" s="97"/>
      <c r="G17" s="1"/>
    </row>
    <row r="18" spans="1:9" ht="15.75" x14ac:dyDescent="0.25">
      <c r="C18" s="100" t="s">
        <v>150</v>
      </c>
      <c r="D18" s="149">
        <f>Mesures_Dover!C11</f>
        <v>0</v>
      </c>
      <c r="F18" s="92" t="s">
        <v>151</v>
      </c>
      <c r="G18" s="156">
        <f>Mesures_Dover!G10</f>
        <v>0</v>
      </c>
    </row>
    <row r="19" spans="1:9" ht="15.75" x14ac:dyDescent="0.25">
      <c r="C19" s="94" t="s">
        <v>152</v>
      </c>
      <c r="D19" s="149">
        <f>Mesures_Dover!C11</f>
        <v>0</v>
      </c>
    </row>
    <row r="20" spans="1:9" ht="15.75" x14ac:dyDescent="0.25">
      <c r="C20" s="97"/>
      <c r="D20" s="98"/>
    </row>
    <row r="21" spans="1:9" ht="15.75" x14ac:dyDescent="0.25">
      <c r="C21" s="97"/>
      <c r="D21" s="98"/>
    </row>
    <row r="28" spans="1:9" ht="36" x14ac:dyDescent="0.55000000000000004">
      <c r="A28" s="198" t="s">
        <v>153</v>
      </c>
      <c r="B28" s="198"/>
    </row>
    <row r="30" spans="1:9" x14ac:dyDescent="0.25">
      <c r="A30" s="199" t="s">
        <v>275</v>
      </c>
      <c r="B30" s="199"/>
      <c r="C30" s="199"/>
      <c r="D30" s="199"/>
      <c r="E30" s="199"/>
      <c r="F30" s="199"/>
      <c r="G30" s="199"/>
      <c r="H30" s="199"/>
      <c r="I30" s="199"/>
    </row>
    <row r="31" spans="1:9" x14ac:dyDescent="0.25">
      <c r="A31" s="199"/>
      <c r="B31" s="199"/>
      <c r="C31" s="199"/>
      <c r="D31" s="199"/>
      <c r="E31" s="199"/>
      <c r="F31" s="199"/>
      <c r="G31" s="199"/>
      <c r="H31" s="199"/>
      <c r="I31" s="199"/>
    </row>
    <row r="32" spans="1:9" x14ac:dyDescent="0.25">
      <c r="A32" s="199"/>
      <c r="B32" s="199"/>
      <c r="C32" s="199"/>
      <c r="D32" s="199"/>
      <c r="E32" s="199"/>
      <c r="F32" s="199"/>
      <c r="G32" s="199"/>
      <c r="H32" s="199"/>
      <c r="I32" s="199"/>
    </row>
    <row r="33" spans="1:9" x14ac:dyDescent="0.25">
      <c r="A33" s="199"/>
      <c r="B33" s="199"/>
      <c r="C33" s="199"/>
      <c r="D33" s="199"/>
      <c r="E33" s="199"/>
      <c r="F33" s="199"/>
      <c r="G33" s="199"/>
      <c r="H33" s="199"/>
      <c r="I33" s="199"/>
    </row>
    <row r="34" spans="1:9" x14ac:dyDescent="0.25">
      <c r="A34" s="199"/>
      <c r="B34" s="199"/>
      <c r="C34" s="199"/>
      <c r="D34" s="199"/>
      <c r="E34" s="199"/>
      <c r="F34" s="199"/>
      <c r="G34" s="199"/>
      <c r="H34" s="199"/>
      <c r="I34" s="199"/>
    </row>
    <row r="35" spans="1:9" x14ac:dyDescent="0.25">
      <c r="A35" s="199"/>
      <c r="B35" s="199"/>
      <c r="C35" s="199"/>
      <c r="D35" s="199"/>
      <c r="E35" s="199"/>
      <c r="F35" s="199"/>
      <c r="G35" s="199"/>
      <c r="H35" s="199"/>
      <c r="I35" s="199"/>
    </row>
    <row r="36" spans="1:9" x14ac:dyDescent="0.25">
      <c r="A36" s="199"/>
      <c r="B36" s="199"/>
      <c r="C36" s="199"/>
      <c r="D36" s="199"/>
      <c r="E36" s="199"/>
      <c r="F36" s="199"/>
      <c r="G36" s="199"/>
      <c r="H36" s="199"/>
      <c r="I36" s="199"/>
    </row>
    <row r="37" spans="1:9" x14ac:dyDescent="0.25">
      <c r="A37" s="199"/>
      <c r="B37" s="199"/>
      <c r="C37" s="199"/>
      <c r="D37" s="199"/>
      <c r="E37" s="199"/>
      <c r="F37" s="199"/>
      <c r="G37" s="199"/>
      <c r="H37" s="199"/>
      <c r="I37" s="199"/>
    </row>
    <row r="38" spans="1:9" x14ac:dyDescent="0.25">
      <c r="A38" s="199"/>
      <c r="B38" s="199"/>
      <c r="C38" s="199"/>
      <c r="D38" s="199"/>
      <c r="E38" s="199"/>
      <c r="F38" s="199"/>
      <c r="G38" s="199"/>
      <c r="H38" s="199"/>
      <c r="I38" s="199"/>
    </row>
    <row r="39" spans="1:9" x14ac:dyDescent="0.25">
      <c r="A39" s="199"/>
      <c r="B39" s="199"/>
      <c r="C39" s="199"/>
      <c r="D39" s="199"/>
      <c r="E39" s="199"/>
      <c r="F39" s="199"/>
      <c r="G39" s="199"/>
      <c r="H39" s="199"/>
      <c r="I39" s="199"/>
    </row>
    <row r="40" spans="1:9" x14ac:dyDescent="0.25">
      <c r="A40" s="199"/>
      <c r="B40" s="199"/>
      <c r="C40" s="199"/>
      <c r="D40" s="199"/>
      <c r="E40" s="199"/>
      <c r="F40" s="199"/>
      <c r="G40" s="199"/>
      <c r="H40" s="199"/>
      <c r="I40" s="199"/>
    </row>
    <row r="41" spans="1:9" x14ac:dyDescent="0.25">
      <c r="A41" s="199"/>
      <c r="B41" s="199"/>
      <c r="C41" s="199"/>
      <c r="D41" s="199"/>
      <c r="E41" s="199"/>
      <c r="F41" s="199"/>
      <c r="G41" s="199"/>
      <c r="H41" s="199"/>
      <c r="I41" s="199"/>
    </row>
    <row r="42" spans="1:9" x14ac:dyDescent="0.25">
      <c r="A42" s="199"/>
      <c r="B42" s="199"/>
      <c r="C42" s="199"/>
      <c r="D42" s="199"/>
      <c r="E42" s="199"/>
      <c r="F42" s="199"/>
      <c r="G42" s="199"/>
      <c r="H42" s="199"/>
      <c r="I42" s="199"/>
    </row>
    <row r="43" spans="1:9" x14ac:dyDescent="0.25">
      <c r="A43" s="199"/>
      <c r="B43" s="199"/>
      <c r="C43" s="199"/>
      <c r="D43" s="199"/>
      <c r="E43" s="199"/>
      <c r="F43" s="199"/>
      <c r="G43" s="199"/>
      <c r="H43" s="199"/>
      <c r="I43" s="199"/>
    </row>
    <row r="44" spans="1:9" x14ac:dyDescent="0.25">
      <c r="A44" s="199"/>
      <c r="B44" s="199"/>
      <c r="C44" s="199"/>
      <c r="D44" s="199"/>
      <c r="E44" s="199"/>
      <c r="F44" s="199"/>
      <c r="G44" s="199"/>
      <c r="H44" s="199"/>
      <c r="I44" s="199"/>
    </row>
    <row r="45" spans="1:9" x14ac:dyDescent="0.25">
      <c r="A45" s="199"/>
      <c r="B45" s="199"/>
      <c r="C45" s="199"/>
      <c r="D45" s="199"/>
      <c r="E45" s="199"/>
      <c r="F45" s="199"/>
      <c r="G45" s="199"/>
      <c r="H45" s="199"/>
      <c r="I45" s="199"/>
    </row>
    <row r="46" spans="1:9" x14ac:dyDescent="0.25">
      <c r="A46" s="199"/>
      <c r="B46" s="199"/>
      <c r="C46" s="199"/>
      <c r="D46" s="199"/>
      <c r="E46" s="199"/>
      <c r="F46" s="199"/>
      <c r="G46" s="199"/>
      <c r="H46" s="199"/>
      <c r="I46" s="199"/>
    </row>
    <row r="47" spans="1:9" x14ac:dyDescent="0.25">
      <c r="A47" s="199"/>
      <c r="B47" s="199"/>
      <c r="C47" s="199"/>
      <c r="D47" s="199"/>
      <c r="E47" s="199"/>
      <c r="F47" s="199"/>
      <c r="G47" s="199"/>
      <c r="H47" s="199"/>
      <c r="I47" s="199"/>
    </row>
    <row r="51" spans="2:6" ht="36" x14ac:dyDescent="0.25">
      <c r="C51" s="200" t="s">
        <v>155</v>
      </c>
      <c r="D51" s="200"/>
      <c r="E51" s="200"/>
      <c r="F51" s="200"/>
    </row>
    <row r="52" spans="2:6" ht="17.25" x14ac:dyDescent="0.25">
      <c r="B52" s="105"/>
    </row>
    <row r="53" spans="2:6" ht="18.75" x14ac:dyDescent="0.25">
      <c r="B53" s="166" t="s">
        <v>276</v>
      </c>
      <c r="C53" s="167"/>
      <c r="E53" s="168"/>
      <c r="F53" s="168"/>
    </row>
    <row r="54" spans="2:6" ht="15.75" x14ac:dyDescent="0.25">
      <c r="C54" s="168"/>
      <c r="D54" s="168"/>
      <c r="E54" s="168"/>
      <c r="F54" s="168"/>
    </row>
    <row r="55" spans="2:6" ht="18.75" x14ac:dyDescent="0.25">
      <c r="B55" s="243" t="s">
        <v>277</v>
      </c>
      <c r="C55" s="243"/>
      <c r="D55" s="168"/>
      <c r="E55" s="168"/>
      <c r="F55" s="169" t="s">
        <v>278</v>
      </c>
    </row>
    <row r="56" spans="2:6" ht="15.75" x14ac:dyDescent="0.25">
      <c r="B56" s="158" t="s">
        <v>279</v>
      </c>
      <c r="C56" s="158" t="s">
        <v>280</v>
      </c>
      <c r="E56" s="168"/>
      <c r="F56" s="168" t="s">
        <v>281</v>
      </c>
    </row>
    <row r="57" spans="2:6" ht="15.75" x14ac:dyDescent="0.25">
      <c r="B57" s="158" t="s">
        <v>282</v>
      </c>
      <c r="C57" s="158" t="s">
        <v>283</v>
      </c>
      <c r="E57" s="168"/>
      <c r="F57" s="168" t="s">
        <v>284</v>
      </c>
    </row>
    <row r="58" spans="2:6" ht="15.75" x14ac:dyDescent="0.25">
      <c r="B58" s="158" t="s">
        <v>285</v>
      </c>
      <c r="C58" t="s">
        <v>286</v>
      </c>
      <c r="E58" s="168"/>
      <c r="F58" s="168" t="s">
        <v>287</v>
      </c>
    </row>
    <row r="59" spans="2:6" ht="15.75" x14ac:dyDescent="0.25">
      <c r="B59" s="158" t="s">
        <v>288</v>
      </c>
      <c r="C59" s="158">
        <v>250</v>
      </c>
      <c r="E59" s="168"/>
      <c r="F59" s="168"/>
    </row>
    <row r="60" spans="2:6" ht="15.75" x14ac:dyDescent="0.25">
      <c r="B60" s="158" t="s">
        <v>289</v>
      </c>
      <c r="C60" s="170">
        <v>44158</v>
      </c>
      <c r="E60" s="168"/>
      <c r="F60" s="168"/>
    </row>
    <row r="61" spans="2:6" ht="15.75" x14ac:dyDescent="0.25">
      <c r="B61" s="158" t="s">
        <v>290</v>
      </c>
      <c r="C61" s="158" t="s">
        <v>291</v>
      </c>
      <c r="E61" s="168"/>
      <c r="F61" s="168"/>
    </row>
    <row r="62" spans="2:6" ht="15.75" x14ac:dyDescent="0.25">
      <c r="B62" s="158" t="s">
        <v>292</v>
      </c>
      <c r="C62" s="158" t="s">
        <v>293</v>
      </c>
      <c r="E62" s="168"/>
      <c r="F62" s="168"/>
    </row>
    <row r="63" spans="2:6" ht="15.75" x14ac:dyDescent="0.25">
      <c r="B63" s="158" t="s">
        <v>294</v>
      </c>
      <c r="C63" s="158"/>
    </row>
    <row r="65" spans="2:9" ht="15.75" x14ac:dyDescent="0.25">
      <c r="B65" s="158" t="s">
        <v>295</v>
      </c>
    </row>
    <row r="67" spans="2:9" x14ac:dyDescent="0.25">
      <c r="B67" s="171" t="s">
        <v>296</v>
      </c>
      <c r="C67" s="172" t="s">
        <v>297</v>
      </c>
      <c r="D67" s="173" t="s">
        <v>297</v>
      </c>
    </row>
    <row r="69" spans="2:9" ht="21" x14ac:dyDescent="0.25">
      <c r="B69" s="174" t="s">
        <v>298</v>
      </c>
      <c r="D69" s="107"/>
      <c r="E69" s="107"/>
      <c r="F69" s="107"/>
      <c r="G69" s="107"/>
      <c r="H69" s="107"/>
      <c r="I69" s="108"/>
    </row>
    <row r="70" spans="2:9" x14ac:dyDescent="0.25">
      <c r="B70" s="175" t="s">
        <v>299</v>
      </c>
      <c r="C70" s="175">
        <v>117</v>
      </c>
    </row>
    <row r="71" spans="2:9" x14ac:dyDescent="0.25">
      <c r="B71" s="175" t="s">
        <v>300</v>
      </c>
      <c r="C71" s="176">
        <v>64</v>
      </c>
    </row>
    <row r="72" spans="2:9" x14ac:dyDescent="0.25">
      <c r="B72" s="175" t="s">
        <v>301</v>
      </c>
      <c r="C72" s="175">
        <v>93</v>
      </c>
    </row>
    <row r="73" spans="2:9" x14ac:dyDescent="0.25">
      <c r="B73" s="176" t="s">
        <v>302</v>
      </c>
      <c r="C73" s="175">
        <f>+C70*C71*C72*10^-6</f>
        <v>0.696384</v>
      </c>
    </row>
    <row r="74" spans="2:9" x14ac:dyDescent="0.25">
      <c r="B74" s="89"/>
    </row>
    <row r="75" spans="2:9" x14ac:dyDescent="0.25">
      <c r="B75" s="174" t="s">
        <v>303</v>
      </c>
    </row>
    <row r="76" spans="2:9" x14ac:dyDescent="0.25">
      <c r="B76" s="175" t="s">
        <v>299</v>
      </c>
      <c r="C76" s="175">
        <v>100</v>
      </c>
    </row>
    <row r="77" spans="2:9" x14ac:dyDescent="0.25">
      <c r="B77" s="175" t="s">
        <v>300</v>
      </c>
      <c r="C77" s="176">
        <v>45</v>
      </c>
    </row>
    <row r="78" spans="2:9" x14ac:dyDescent="0.25">
      <c r="B78" s="175" t="s">
        <v>301</v>
      </c>
      <c r="C78" s="175">
        <v>60</v>
      </c>
    </row>
    <row r="79" spans="2:9" x14ac:dyDescent="0.25">
      <c r="B79" s="176" t="s">
        <v>302</v>
      </c>
      <c r="C79" s="175">
        <f>+C76*C77*C78*10^-6</f>
        <v>0.26999999999999996</v>
      </c>
    </row>
    <row r="85" spans="1:9" ht="36" x14ac:dyDescent="0.25">
      <c r="C85" s="200" t="s">
        <v>177</v>
      </c>
      <c r="D85" s="200"/>
      <c r="E85" s="200"/>
      <c r="F85" s="200"/>
      <c r="G85" s="200"/>
    </row>
    <row r="87" spans="1:9" ht="26.25" x14ac:dyDescent="0.25">
      <c r="B87" s="109" t="s">
        <v>178</v>
      </c>
    </row>
    <row r="89" spans="1:9" ht="21" x14ac:dyDescent="0.25">
      <c r="B89" s="107" t="s">
        <v>246</v>
      </c>
      <c r="C89" s="107"/>
      <c r="E89" s="107"/>
      <c r="F89" s="107"/>
      <c r="G89" s="107"/>
      <c r="H89" s="108"/>
    </row>
    <row r="90" spans="1:9" ht="21" x14ac:dyDescent="0.25">
      <c r="B90" s="107" t="s">
        <v>180</v>
      </c>
      <c r="C90" s="107"/>
      <c r="E90" s="107"/>
      <c r="F90" s="107"/>
      <c r="G90" s="107"/>
      <c r="H90" s="108"/>
    </row>
    <row r="91" spans="1:9" ht="21" x14ac:dyDescent="0.25">
      <c r="B91" s="107" t="s">
        <v>247</v>
      </c>
      <c r="C91" s="107"/>
      <c r="E91" s="107"/>
      <c r="F91" s="107"/>
      <c r="G91" s="107"/>
      <c r="H91" s="108"/>
    </row>
    <row r="92" spans="1:9" ht="21" x14ac:dyDescent="0.25">
      <c r="B92" s="107" t="s">
        <v>248</v>
      </c>
      <c r="C92" s="107"/>
      <c r="E92" s="107"/>
      <c r="F92" s="107"/>
      <c r="G92" s="107"/>
      <c r="H92" s="108"/>
    </row>
    <row r="93" spans="1:9" ht="21" x14ac:dyDescent="0.25">
      <c r="B93" s="110"/>
      <c r="C93" s="110"/>
      <c r="E93" s="107"/>
      <c r="F93" s="107"/>
      <c r="G93" s="107"/>
      <c r="H93" s="108"/>
    </row>
    <row r="94" spans="1:9" ht="17.25" x14ac:dyDescent="0.25">
      <c r="A94" s="111"/>
      <c r="C94" s="179" t="s">
        <v>10</v>
      </c>
      <c r="D94" s="228"/>
      <c r="E94" s="228"/>
      <c r="F94" s="228"/>
      <c r="G94" s="228"/>
      <c r="H94" s="180"/>
      <c r="I94" s="111"/>
    </row>
    <row r="95" spans="1:9" ht="30" x14ac:dyDescent="0.25">
      <c r="A95" s="111"/>
      <c r="B95" s="111"/>
      <c r="C95" s="183"/>
      <c r="D95" s="183"/>
      <c r="E95" s="3" t="s">
        <v>16</v>
      </c>
      <c r="F95" s="20" t="s">
        <v>18</v>
      </c>
      <c r="G95" s="20" t="s">
        <v>25</v>
      </c>
      <c r="H95" s="20" t="s">
        <v>26</v>
      </c>
      <c r="I95" s="114"/>
    </row>
    <row r="96" spans="1:9" ht="17.25" x14ac:dyDescent="0.25">
      <c r="A96" s="111"/>
      <c r="B96" s="111"/>
      <c r="C96" s="179" t="str">
        <f>Mesures_Dover!A40</f>
        <v xml:space="preserve">Sonde </v>
      </c>
      <c r="D96" s="180"/>
      <c r="E96" s="10" cm="1">
        <f t="array" ref="E96:H104">Mesures_Dover!C40:F48</f>
        <v>0</v>
      </c>
      <c r="F96" s="10">
        <v>0</v>
      </c>
      <c r="G96" s="10">
        <v>0</v>
      </c>
      <c r="H96" s="10">
        <v>0</v>
      </c>
      <c r="I96" s="111"/>
    </row>
    <row r="97" spans="1:9" ht="17.25" x14ac:dyDescent="0.25">
      <c r="A97" s="111"/>
      <c r="B97" s="111"/>
      <c r="C97" s="179" t="str">
        <f>Mesures_Dover!A41</f>
        <v xml:space="preserve">Sonde </v>
      </c>
      <c r="D97" s="180"/>
      <c r="E97" s="10">
        <v>0</v>
      </c>
      <c r="F97" s="10">
        <v>0</v>
      </c>
      <c r="G97" s="10">
        <v>0</v>
      </c>
      <c r="H97" s="10">
        <v>0</v>
      </c>
      <c r="I97" s="111"/>
    </row>
    <row r="98" spans="1:9" ht="17.25" x14ac:dyDescent="0.25">
      <c r="A98" s="111"/>
      <c r="B98" s="111"/>
      <c r="C98" s="179" t="str">
        <f>Mesures_Dover!A42</f>
        <v xml:space="preserve">Sonde </v>
      </c>
      <c r="D98" s="180"/>
      <c r="E98" s="10">
        <v>0</v>
      </c>
      <c r="F98" s="10">
        <v>0</v>
      </c>
      <c r="G98" s="10">
        <v>0</v>
      </c>
      <c r="H98" s="10">
        <v>0</v>
      </c>
      <c r="I98" s="111"/>
    </row>
    <row r="99" spans="1:9" ht="17.25" x14ac:dyDescent="0.25">
      <c r="A99" s="111"/>
      <c r="B99" s="111"/>
      <c r="C99" s="179" t="str">
        <f>Mesures_Dover!A43</f>
        <v xml:space="preserve">Sonde </v>
      </c>
      <c r="D99" s="180"/>
      <c r="E99" s="10">
        <v>0</v>
      </c>
      <c r="F99" s="10">
        <v>0</v>
      </c>
      <c r="G99" s="10">
        <v>0</v>
      </c>
      <c r="H99" s="10">
        <v>0</v>
      </c>
      <c r="I99" s="111"/>
    </row>
    <row r="100" spans="1:9" ht="17.25" x14ac:dyDescent="0.25">
      <c r="A100" s="111"/>
      <c r="B100" s="111"/>
      <c r="C100" s="179" t="str">
        <f>Mesures_Dover!A44</f>
        <v xml:space="preserve">Sonde </v>
      </c>
      <c r="D100" s="180"/>
      <c r="E100" s="10">
        <v>0</v>
      </c>
      <c r="F100" s="10">
        <v>0</v>
      </c>
      <c r="G100" s="10">
        <v>0</v>
      </c>
      <c r="H100" s="10">
        <v>0</v>
      </c>
      <c r="I100" s="111"/>
    </row>
    <row r="101" spans="1:9" ht="17.25" x14ac:dyDescent="0.25">
      <c r="A101" s="111"/>
      <c r="B101" s="111"/>
      <c r="C101" s="179" t="str">
        <f>Mesures_Dover!A45</f>
        <v xml:space="preserve">Sonde </v>
      </c>
      <c r="D101" s="180"/>
      <c r="E101" s="10">
        <v>0</v>
      </c>
      <c r="F101" s="10">
        <v>0</v>
      </c>
      <c r="G101" s="10">
        <v>0</v>
      </c>
      <c r="H101" s="10">
        <v>0</v>
      </c>
      <c r="I101" s="111"/>
    </row>
    <row r="102" spans="1:9" ht="17.25" x14ac:dyDescent="0.25">
      <c r="A102" s="111"/>
      <c r="B102" s="111"/>
      <c r="C102" s="179" t="str">
        <f>Mesures_Dover!A46</f>
        <v xml:space="preserve">Sonde </v>
      </c>
      <c r="D102" s="180"/>
      <c r="E102" s="10">
        <v>0</v>
      </c>
      <c r="F102" s="10">
        <v>0</v>
      </c>
      <c r="G102" s="10">
        <v>0</v>
      </c>
      <c r="H102" s="10">
        <v>0</v>
      </c>
      <c r="I102" s="111"/>
    </row>
    <row r="103" spans="1:9" ht="17.25" x14ac:dyDescent="0.25">
      <c r="A103" s="111"/>
      <c r="B103" s="111"/>
      <c r="C103" s="179" t="str">
        <f>Mesures_Dover!A47</f>
        <v xml:space="preserve">Sonde </v>
      </c>
      <c r="D103" s="180"/>
      <c r="E103" s="10">
        <v>0</v>
      </c>
      <c r="F103" s="10">
        <v>0</v>
      </c>
      <c r="G103" s="10">
        <v>0</v>
      </c>
      <c r="H103" s="10">
        <v>0</v>
      </c>
      <c r="I103" s="111"/>
    </row>
    <row r="104" spans="1:9" ht="17.25" x14ac:dyDescent="0.25">
      <c r="A104" s="111"/>
      <c r="B104" s="111"/>
      <c r="C104" s="179" t="str">
        <f>Mesures_Dover!A48</f>
        <v xml:space="preserve">Sonde </v>
      </c>
      <c r="D104" s="180"/>
      <c r="E104" s="10">
        <v>0</v>
      </c>
      <c r="F104" s="10">
        <v>0</v>
      </c>
      <c r="G104" s="10">
        <v>0</v>
      </c>
      <c r="H104" s="10">
        <v>0</v>
      </c>
      <c r="I104" s="111"/>
    </row>
    <row r="105" spans="1:9" ht="17.25" x14ac:dyDescent="0.25">
      <c r="A105" s="111"/>
      <c r="B105" s="111"/>
      <c r="C105" s="111"/>
      <c r="D105" s="111"/>
      <c r="E105" s="111"/>
      <c r="F105" s="111"/>
      <c r="G105" s="111"/>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21" x14ac:dyDescent="0.25">
      <c r="B112" s="203" t="s">
        <v>183</v>
      </c>
      <c r="C112" s="203"/>
      <c r="D112" s="203"/>
      <c r="E112" s="203"/>
      <c r="F112" s="203"/>
    </row>
    <row r="114" spans="2:9" ht="26.25" x14ac:dyDescent="0.25">
      <c r="B114" s="109" t="s">
        <v>184</v>
      </c>
    </row>
    <row r="115" spans="2:9" ht="21" x14ac:dyDescent="0.3">
      <c r="E115" s="107" t="s">
        <v>185</v>
      </c>
      <c r="F115" s="107"/>
      <c r="G115" s="116">
        <f>Mesures_Dover!K44</f>
        <v>0</v>
      </c>
    </row>
    <row r="116" spans="2:9" ht="21" x14ac:dyDescent="0.3">
      <c r="B116" s="117" t="s">
        <v>186</v>
      </c>
      <c r="C116" s="107" t="s">
        <v>187</v>
      </c>
      <c r="E116" s="107" t="s">
        <v>188</v>
      </c>
      <c r="F116" s="107"/>
      <c r="G116" s="116">
        <f>Mesures_Dover!L44</f>
        <v>0</v>
      </c>
    </row>
    <row r="117" spans="2:9" ht="21" x14ac:dyDescent="0.25">
      <c r="B117" s="117" t="s">
        <v>189</v>
      </c>
      <c r="C117" s="110" t="s">
        <v>190</v>
      </c>
      <c r="E117" s="107" t="s">
        <v>191</v>
      </c>
      <c r="F117" s="107"/>
      <c r="G117" s="118">
        <f>Mesures_Dover!M44</f>
        <v>0</v>
      </c>
    </row>
    <row r="118" spans="2:9" ht="21" x14ac:dyDescent="0.35">
      <c r="B118" s="119" t="s">
        <v>192</v>
      </c>
      <c r="C118" s="120" t="s">
        <v>193</v>
      </c>
      <c r="E118" s="107" t="s">
        <v>194</v>
      </c>
      <c r="F118" s="107"/>
      <c r="G118" s="121" t="e">
        <f>"±" &amp;  SUBSTITUTE(ROUND(AVERAGE(Mesures_Dover!D23:F31),2),"-"," ") &amp; "°C"</f>
        <v>#DIV/0!</v>
      </c>
    </row>
    <row r="123" spans="2:9" ht="36" x14ac:dyDescent="0.25">
      <c r="C123" s="200" t="s">
        <v>195</v>
      </c>
      <c r="D123" s="200"/>
      <c r="E123" s="200"/>
      <c r="F123" s="200"/>
    </row>
    <row r="124" spans="2:9" ht="36" x14ac:dyDescent="0.25">
      <c r="B124" s="104"/>
      <c r="C124" s="104"/>
      <c r="D124" s="104"/>
    </row>
    <row r="125" spans="2:9" x14ac:dyDescent="0.25">
      <c r="B125" s="192"/>
      <c r="C125" s="192"/>
      <c r="D125" s="192"/>
      <c r="E125" s="192"/>
      <c r="F125" s="192"/>
      <c r="G125" s="192"/>
      <c r="H125" s="192"/>
      <c r="I125" s="192"/>
    </row>
    <row r="126" spans="2:9" x14ac:dyDescent="0.25">
      <c r="B126" s="192"/>
      <c r="C126" s="192"/>
      <c r="D126" s="192"/>
      <c r="E126" s="192"/>
      <c r="F126" s="192"/>
      <c r="G126" s="192"/>
      <c r="H126" s="192"/>
      <c r="I126" s="192"/>
    </row>
    <row r="127" spans="2:9" x14ac:dyDescent="0.25">
      <c r="B127" s="192"/>
      <c r="C127" s="192"/>
      <c r="D127" s="192"/>
      <c r="E127" s="192"/>
      <c r="F127" s="192"/>
      <c r="G127" s="192"/>
      <c r="H127" s="192"/>
      <c r="I127" s="192"/>
    </row>
    <row r="128" spans="2:9" x14ac:dyDescent="0.25">
      <c r="B128" s="192"/>
      <c r="C128" s="192"/>
      <c r="D128" s="192"/>
      <c r="E128" s="192"/>
      <c r="F128" s="192"/>
      <c r="G128" s="192"/>
      <c r="H128" s="192"/>
      <c r="I128" s="192"/>
    </row>
    <row r="129" spans="2:9" x14ac:dyDescent="0.25">
      <c r="B129" s="192"/>
      <c r="C129" s="192"/>
      <c r="D129" s="192"/>
      <c r="E129" s="192"/>
      <c r="F129" s="192"/>
      <c r="G129" s="192"/>
      <c r="H129" s="192"/>
      <c r="I129" s="192"/>
    </row>
    <row r="130" spans="2:9" x14ac:dyDescent="0.25">
      <c r="B130" s="192"/>
      <c r="C130" s="192"/>
      <c r="D130" s="192"/>
      <c r="E130" s="192"/>
      <c r="F130" s="192"/>
      <c r="G130" s="192"/>
      <c r="H130" s="192"/>
      <c r="I130" s="192"/>
    </row>
    <row r="131" spans="2:9" x14ac:dyDescent="0.25">
      <c r="B131" s="192"/>
      <c r="C131" s="192"/>
      <c r="D131" s="192"/>
      <c r="E131" s="192"/>
      <c r="F131" s="192"/>
      <c r="G131" s="192"/>
      <c r="H131" s="192"/>
      <c r="I131" s="192"/>
    </row>
    <row r="132" spans="2:9" x14ac:dyDescent="0.25">
      <c r="B132" s="192"/>
      <c r="C132" s="192"/>
      <c r="D132" s="192"/>
      <c r="E132" s="192"/>
      <c r="F132" s="192"/>
      <c r="G132" s="192"/>
      <c r="H132" s="192"/>
      <c r="I132" s="192"/>
    </row>
    <row r="133" spans="2:9" x14ac:dyDescent="0.25">
      <c r="B133" s="192"/>
      <c r="C133" s="192"/>
      <c r="D133" s="192"/>
      <c r="E133" s="192"/>
      <c r="F133" s="192"/>
      <c r="G133" s="192"/>
      <c r="H133" s="192"/>
      <c r="I133" s="192"/>
    </row>
    <row r="134" spans="2:9" x14ac:dyDescent="0.25">
      <c r="B134" s="192"/>
      <c r="C134" s="192"/>
      <c r="D134" s="192"/>
      <c r="E134" s="192"/>
      <c r="F134" s="192"/>
      <c r="G134" s="192"/>
      <c r="H134" s="192"/>
      <c r="I134" s="192"/>
    </row>
    <row r="135" spans="2:9" x14ac:dyDescent="0.25">
      <c r="B135" s="192"/>
      <c r="C135" s="192"/>
      <c r="D135" s="192"/>
      <c r="E135" s="192"/>
      <c r="F135" s="192"/>
      <c r="G135" s="192"/>
      <c r="H135" s="192"/>
      <c r="I135" s="192"/>
    </row>
    <row r="136" spans="2:9" x14ac:dyDescent="0.25">
      <c r="B136" s="192"/>
      <c r="C136" s="192"/>
      <c r="D136" s="192"/>
      <c r="E136" s="192"/>
      <c r="F136" s="192"/>
      <c r="G136" s="192"/>
      <c r="H136" s="192"/>
      <c r="I136" s="192"/>
    </row>
    <row r="137" spans="2:9" x14ac:dyDescent="0.25">
      <c r="B137" s="192"/>
      <c r="C137" s="192"/>
      <c r="D137" s="192"/>
      <c r="E137" s="192"/>
      <c r="F137" s="192"/>
      <c r="G137" s="192"/>
      <c r="H137" s="192"/>
      <c r="I137" s="192"/>
    </row>
    <row r="138" spans="2:9" x14ac:dyDescent="0.25">
      <c r="B138" s="192"/>
      <c r="C138" s="192"/>
      <c r="D138" s="192"/>
      <c r="E138" s="192"/>
      <c r="F138" s="192"/>
      <c r="G138" s="192"/>
      <c r="H138" s="192"/>
      <c r="I138" s="192"/>
    </row>
    <row r="139" spans="2:9" x14ac:dyDescent="0.25">
      <c r="B139" s="192"/>
      <c r="C139" s="192"/>
      <c r="D139" s="192"/>
      <c r="E139" s="192"/>
      <c r="F139" s="192"/>
      <c r="G139" s="192"/>
      <c r="H139" s="192"/>
      <c r="I139" s="192"/>
    </row>
    <row r="140" spans="2:9" x14ac:dyDescent="0.25">
      <c r="B140" s="192"/>
      <c r="C140" s="192"/>
      <c r="D140" s="192"/>
      <c r="E140" s="192"/>
      <c r="F140" s="192"/>
      <c r="G140" s="192"/>
      <c r="H140" s="192"/>
      <c r="I140" s="192"/>
    </row>
    <row r="141" spans="2:9" x14ac:dyDescent="0.25">
      <c r="B141" s="192"/>
      <c r="C141" s="192"/>
      <c r="D141" s="192"/>
      <c r="E141" s="192"/>
      <c r="F141" s="192"/>
      <c r="G141" s="192"/>
      <c r="H141" s="192"/>
      <c r="I141" s="192"/>
    </row>
    <row r="142" spans="2:9" x14ac:dyDescent="0.25">
      <c r="B142" s="192"/>
      <c r="C142" s="192"/>
      <c r="D142" s="192"/>
      <c r="E142" s="192"/>
      <c r="F142" s="192"/>
      <c r="G142" s="192"/>
      <c r="H142" s="192"/>
      <c r="I142" s="192"/>
    </row>
    <row r="143" spans="2:9" x14ac:dyDescent="0.25">
      <c r="B143" s="192"/>
      <c r="C143" s="192"/>
      <c r="D143" s="192"/>
      <c r="E143" s="192"/>
      <c r="F143" s="192"/>
      <c r="G143" s="192"/>
      <c r="H143" s="192"/>
      <c r="I143" s="192"/>
    </row>
    <row r="144" spans="2:9" x14ac:dyDescent="0.25">
      <c r="B144" s="192"/>
      <c r="C144" s="192"/>
      <c r="D144" s="192"/>
      <c r="E144" s="192"/>
      <c r="F144" s="192"/>
      <c r="G144" s="192"/>
      <c r="H144" s="192"/>
      <c r="I144" s="192"/>
    </row>
    <row r="145" spans="2:9" x14ac:dyDescent="0.25">
      <c r="B145" s="192"/>
      <c r="C145" s="192"/>
      <c r="D145" s="192"/>
      <c r="E145" s="192"/>
      <c r="F145" s="192"/>
      <c r="G145" s="192"/>
      <c r="H145" s="192"/>
      <c r="I145" s="192"/>
    </row>
    <row r="146" spans="2:9" x14ac:dyDescent="0.25">
      <c r="B146" s="192"/>
      <c r="C146" s="192"/>
      <c r="D146" s="192"/>
      <c r="E146" s="192"/>
      <c r="F146" s="192"/>
      <c r="G146" s="192"/>
      <c r="H146" s="192"/>
      <c r="I146" s="192"/>
    </row>
    <row r="147" spans="2:9" x14ac:dyDescent="0.25">
      <c r="B147" s="192"/>
      <c r="C147" s="192"/>
      <c r="D147" s="192"/>
      <c r="E147" s="192"/>
      <c r="F147" s="192"/>
      <c r="G147" s="192"/>
      <c r="H147" s="192"/>
      <c r="I147" s="192"/>
    </row>
    <row r="148" spans="2:9" x14ac:dyDescent="0.25">
      <c r="B148" s="192"/>
      <c r="C148" s="192"/>
      <c r="D148" s="192"/>
      <c r="E148" s="192"/>
      <c r="F148" s="192"/>
      <c r="G148" s="192"/>
      <c r="H148" s="192"/>
      <c r="I148" s="192"/>
    </row>
    <row r="149" spans="2:9" x14ac:dyDescent="0.25">
      <c r="B149" s="192"/>
      <c r="C149" s="192"/>
      <c r="D149" s="192"/>
      <c r="E149" s="192"/>
      <c r="F149" s="192"/>
      <c r="G149" s="192"/>
      <c r="H149" s="192"/>
      <c r="I149" s="192"/>
    </row>
    <row r="150" spans="2:9" x14ac:dyDescent="0.25">
      <c r="B150" s="192"/>
      <c r="C150" s="192"/>
      <c r="D150" s="192"/>
      <c r="E150" s="192"/>
      <c r="F150" s="192"/>
      <c r="G150" s="192"/>
      <c r="H150" s="192"/>
      <c r="I150" s="192"/>
    </row>
    <row r="151" spans="2:9" x14ac:dyDescent="0.25">
      <c r="B151" s="192"/>
      <c r="C151" s="192"/>
      <c r="D151" s="192"/>
      <c r="E151" s="192"/>
      <c r="F151" s="192"/>
      <c r="G151" s="192"/>
      <c r="H151" s="192"/>
      <c r="I151" s="192"/>
    </row>
    <row r="152" spans="2:9" x14ac:dyDescent="0.25">
      <c r="B152" s="192"/>
      <c r="C152" s="192"/>
      <c r="D152" s="192"/>
      <c r="E152" s="192"/>
      <c r="F152" s="192"/>
      <c r="G152" s="192"/>
      <c r="H152" s="192"/>
      <c r="I152" s="192"/>
    </row>
    <row r="153" spans="2:9" x14ac:dyDescent="0.25">
      <c r="B153" s="192"/>
      <c r="C153" s="192"/>
      <c r="D153" s="192"/>
      <c r="E153" s="192"/>
      <c r="F153" s="192"/>
      <c r="G153" s="192"/>
      <c r="H153" s="192"/>
      <c r="I153" s="192"/>
    </row>
    <row r="154" spans="2:9" x14ac:dyDescent="0.25">
      <c r="B154" s="192"/>
      <c r="C154" s="192"/>
      <c r="D154" s="192"/>
      <c r="E154" s="192"/>
      <c r="F154" s="192"/>
      <c r="G154" s="192"/>
      <c r="H154" s="192"/>
      <c r="I154" s="192"/>
    </row>
    <row r="155" spans="2:9" x14ac:dyDescent="0.25">
      <c r="B155" s="192"/>
      <c r="C155" s="192"/>
      <c r="D155" s="192"/>
      <c r="E155" s="192"/>
      <c r="F155" s="192"/>
      <c r="G155" s="192"/>
      <c r="H155" s="192"/>
      <c r="I155" s="192"/>
    </row>
    <row r="156" spans="2:9" x14ac:dyDescent="0.25">
      <c r="B156" s="192"/>
      <c r="C156" s="192"/>
      <c r="D156" s="192"/>
      <c r="E156" s="192"/>
      <c r="F156" s="192"/>
      <c r="G156" s="192"/>
      <c r="H156" s="192"/>
      <c r="I156" s="192"/>
    </row>
    <row r="159" spans="2:9" ht="36" x14ac:dyDescent="0.25">
      <c r="C159" s="200" t="s">
        <v>249</v>
      </c>
      <c r="D159" s="200"/>
      <c r="E159" s="200"/>
      <c r="F159" s="200"/>
      <c r="G159" s="200"/>
      <c r="H159" s="200"/>
    </row>
    <row r="162" spans="1:3" ht="15.75" thickBot="1" x14ac:dyDescent="0.3"/>
    <row r="163" spans="1:3" ht="15.75" thickBot="1" x14ac:dyDescent="0.3">
      <c r="A163" s="12" t="s">
        <v>9</v>
      </c>
      <c r="B163" s="13" t="s">
        <v>12</v>
      </c>
      <c r="C163" s="13" t="s">
        <v>15</v>
      </c>
    </row>
    <row r="164" spans="1:3" x14ac:dyDescent="0.25">
      <c r="A164" s="15" cm="1">
        <f t="array" ref="A164:C172">Mesures_Dover!A23:C31</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200" t="s">
        <v>304</v>
      </c>
      <c r="D188" s="200"/>
      <c r="E188" s="200"/>
      <c r="F188" s="200"/>
      <c r="G188" s="200"/>
      <c r="H188" s="200"/>
    </row>
    <row r="192" spans="1:9" x14ac:dyDescent="0.25">
      <c r="A192" s="122" t="s">
        <v>251</v>
      </c>
      <c r="B192" s="124">
        <v>50</v>
      </c>
      <c r="G192" s="204" t="s">
        <v>198</v>
      </c>
      <c r="H192" s="205"/>
      <c r="I192" s="206"/>
    </row>
    <row r="193" spans="1:9" x14ac:dyDescent="0.25">
      <c r="A193" s="122" t="s">
        <v>252</v>
      </c>
      <c r="B193" s="151">
        <f>Mesures_Dover!B20</f>
        <v>0</v>
      </c>
      <c r="G193" s="22" t="s">
        <v>199</v>
      </c>
      <c r="H193" s="22" t="s">
        <v>200</v>
      </c>
      <c r="I193" s="22" t="s">
        <v>201</v>
      </c>
    </row>
    <row r="194" spans="1:9" x14ac:dyDescent="0.25">
      <c r="G194" s="125">
        <f>Dover_50°C!B11</f>
        <v>0</v>
      </c>
      <c r="H194" s="125">
        <f>Dover_50°C!B41</f>
        <v>0</v>
      </c>
      <c r="I194" s="125">
        <f>H194-G194</f>
        <v>0</v>
      </c>
    </row>
    <row r="197" spans="1:9" ht="23.25" x14ac:dyDescent="0.25">
      <c r="B197" s="207" t="s">
        <v>202</v>
      </c>
      <c r="C197" s="207"/>
    </row>
    <row r="200" spans="1:9" ht="30" x14ac:dyDescent="0.25">
      <c r="B200" s="126" t="s">
        <v>203</v>
      </c>
      <c r="C200" s="127" t="s">
        <v>204</v>
      </c>
      <c r="D200" s="127" t="s">
        <v>119</v>
      </c>
      <c r="E200" s="128" t="s">
        <v>205</v>
      </c>
      <c r="F200" s="127" t="s">
        <v>206</v>
      </c>
    </row>
    <row r="201" spans="1:9" x14ac:dyDescent="0.25">
      <c r="B201" s="129" t="s">
        <v>207</v>
      </c>
      <c r="C201" s="130" t="str">
        <f>"50°C"</f>
        <v>50°C</v>
      </c>
      <c r="D201" s="130" t="s">
        <v>208</v>
      </c>
      <c r="E201" s="130" t="s">
        <v>208</v>
      </c>
      <c r="F201" s="131" t="s">
        <v>208</v>
      </c>
    </row>
    <row r="202" spans="1:9" x14ac:dyDescent="0.25">
      <c r="B202" s="129" t="s">
        <v>209</v>
      </c>
      <c r="C202" s="130" t="str">
        <f>"50°C"</f>
        <v>50°C</v>
      </c>
      <c r="D202" s="130" t="s">
        <v>208</v>
      </c>
      <c r="E202" s="130" t="s">
        <v>208</v>
      </c>
      <c r="F202" s="131" t="s">
        <v>208</v>
      </c>
    </row>
    <row r="203" spans="1:9" x14ac:dyDescent="0.25">
      <c r="A203" s="208" t="s">
        <v>210</v>
      </c>
      <c r="B203" s="129" t="s">
        <v>211</v>
      </c>
      <c r="C203" s="132" t="e">
        <f>MAX(Dover_50°C!C48:K48)</f>
        <v>#N/A</v>
      </c>
      <c r="D203" s="130" t="e">
        <f>_xlfn.XLOOKUP(INT(SUBSTITUTE(E203,"Connecteur ","")),Mesures_Dover!C23:C31,Mesures_Dover!A23:A31)</f>
        <v>#N/A</v>
      </c>
      <c r="E203" s="130" t="e" cm="1">
        <f t="array" ref="E203">_xlfn.XLOOKUP(MAX(Dover_50°C!C48:K48),Dover_50°C!C48:K48,_xlfn.ANCHORARRAY(Dover_50°C!C47))</f>
        <v>#N/A</v>
      </c>
      <c r="F203" s="130" t="e">
        <f>_xlfn.XLOOKUP(INT(SUBSTITUTE(E203,"Connecteur ","")),Mesures_Dover!C23:C31,Mesures_Dover!B23:B31)</f>
        <v>#N/A</v>
      </c>
    </row>
    <row r="204" spans="1:9" x14ac:dyDescent="0.25">
      <c r="A204" s="208"/>
      <c r="B204" s="129" t="s">
        <v>212</v>
      </c>
      <c r="C204" s="132" t="e">
        <f>MIN(Dover_50°C!C48:K48)</f>
        <v>#N/A</v>
      </c>
      <c r="D204" s="130" t="e">
        <f>_xlfn.XLOOKUP(INT(SUBSTITUTE(E204,"Connecteur ","")),Mesures_Dover!C23:C31,Mesures_Dover!A23:A31)</f>
        <v>#N/A</v>
      </c>
      <c r="E204" s="130" t="e" cm="1">
        <f t="array" ref="E204">_xlfn.XLOOKUP(MIN(Dover_50°C!C48:K48),Dover_50°C!C48:K48,_xlfn.ANCHORARRAY(Dover_50°C!C47))</f>
        <v>#N/A</v>
      </c>
      <c r="F204" s="131" t="e">
        <f>_xlfn.XLOOKUP(INT(SUBSTITUTE(E204,"Connecteur ","")),Mesures_Dover!C23:C31,Mesures_Dover!B23:B31)</f>
        <v>#N/A</v>
      </c>
    </row>
    <row r="205" spans="1:9" x14ac:dyDescent="0.25">
      <c r="A205" s="208"/>
      <c r="B205" s="129" t="s">
        <v>213</v>
      </c>
      <c r="C205" s="132" t="e">
        <f>MIN(Dover_50°C!C49:O49)</f>
        <v>#N/A</v>
      </c>
      <c r="D205" s="130" t="e">
        <f>_xlfn.XLOOKUP(INT(SUBSTITUTE(E205,"Connecteur ","")),Mesures_Dover!C23:C31,Mesures_Dover!A23:A31)</f>
        <v>#N/A</v>
      </c>
      <c r="E205" s="130" t="e" cm="1">
        <f t="array" ref="E205">_xlfn.XLOOKUP(MIN(Dover_50°C!C49:O49),Dover_50°C!C49:O49,_xlfn.ANCHORARRAY(Dover_50°C!C47))</f>
        <v>#N/A</v>
      </c>
      <c r="F205" s="131" t="e">
        <f>_xlfn.XLOOKUP(INT(SUBSTITUTE(E205,"Connecteur ","")),Mesures_Dover!C23:C31,Mesures_Dover!B23:B31)</f>
        <v>#N/A</v>
      </c>
    </row>
    <row r="206" spans="1:9" x14ac:dyDescent="0.25">
      <c r="A206" s="208"/>
      <c r="B206" s="129" t="s">
        <v>214</v>
      </c>
      <c r="C206" s="132" t="e">
        <f>AVERAGE(Dover_50°C!C50:O50)</f>
        <v>#N/A</v>
      </c>
      <c r="D206" s="130" t="s">
        <v>208</v>
      </c>
      <c r="E206" s="130" t="s">
        <v>208</v>
      </c>
      <c r="F206" s="131" t="s">
        <v>208</v>
      </c>
    </row>
    <row r="207" spans="1:9" x14ac:dyDescent="0.25">
      <c r="C207" s="89"/>
      <c r="D207" s="89"/>
      <c r="E207" s="89"/>
      <c r="F207" s="89"/>
    </row>
    <row r="218" spans="2:6" ht="36" x14ac:dyDescent="0.25">
      <c r="B218" s="200" t="s">
        <v>305</v>
      </c>
      <c r="C218" s="200"/>
      <c r="D218" s="200"/>
      <c r="E218" s="200"/>
      <c r="F218" s="200"/>
    </row>
    <row r="221" spans="2:6" x14ac:dyDescent="0.25">
      <c r="B221" s="192" t="s">
        <v>216</v>
      </c>
      <c r="C221" s="192"/>
    </row>
    <row r="225" spans="1:10" x14ac:dyDescent="0.25">
      <c r="A225" s="1"/>
      <c r="B225" s="152" t="str" cm="1">
        <f t="array" ref="B225:J225">Valeurs_Brutes_50[[#Headers],[Connecteur 1]:[Connecteur 9]]</f>
        <v>Connecteur 1</v>
      </c>
      <c r="C225" s="152" t="str">
        <v>Connecteur 2</v>
      </c>
      <c r="D225" s="152" t="str">
        <v>Connecteur 3</v>
      </c>
      <c r="E225" s="152" t="str">
        <v>Connecteur 4</v>
      </c>
      <c r="F225" s="152" t="str">
        <v>Connecteur 5</v>
      </c>
      <c r="G225" s="152" t="str">
        <v>Connecteur 6</v>
      </c>
      <c r="H225" s="152" t="str">
        <v>Connecteur 7</v>
      </c>
      <c r="I225" s="152" t="str">
        <v>Connecteur 8</v>
      </c>
      <c r="J225" s="152" t="str">
        <v>Connecteur 9</v>
      </c>
    </row>
    <row r="226" spans="1:10" x14ac:dyDescent="0.25">
      <c r="A226" s="42" t="s">
        <v>98</v>
      </c>
      <c r="B226" s="43" t="e">
        <f>Dover_50°C!C48</f>
        <v>#N/A</v>
      </c>
      <c r="C226" s="43" t="e">
        <f>Dover_50°C!D48</f>
        <v>#N/A</v>
      </c>
      <c r="D226" s="43" t="e">
        <f>Dover_50°C!E48</f>
        <v>#N/A</v>
      </c>
      <c r="E226" s="43" t="e">
        <f>Dover_50°C!F48</f>
        <v>#N/A</v>
      </c>
      <c r="F226" s="43" t="e">
        <f>Dover_50°C!G48</f>
        <v>#N/A</v>
      </c>
      <c r="G226" s="43" t="e">
        <f>Dover_50°C!H48</f>
        <v>#N/A</v>
      </c>
      <c r="H226" s="43" t="e">
        <f>Dover_50°C!I48</f>
        <v>#N/A</v>
      </c>
      <c r="I226" s="43" t="e">
        <f>Dover_50°C!J48</f>
        <v>#N/A</v>
      </c>
      <c r="J226" s="43" t="e">
        <f>Dover_50°C!K48</f>
        <v>#N/A</v>
      </c>
    </row>
    <row r="227" spans="1:10" x14ac:dyDescent="0.25">
      <c r="A227" s="42" t="s">
        <v>100</v>
      </c>
      <c r="B227" s="43" t="e">
        <f>Dover_50°C!C49</f>
        <v>#N/A</v>
      </c>
      <c r="C227" s="43" t="e">
        <f>Dover_50°C!D49</f>
        <v>#N/A</v>
      </c>
      <c r="D227" s="43" t="e">
        <f>Dover_50°C!E49</f>
        <v>#N/A</v>
      </c>
      <c r="E227" s="43" t="e">
        <f>Dover_50°C!F49</f>
        <v>#N/A</v>
      </c>
      <c r="F227" s="43" t="e">
        <f>Dover_50°C!G49</f>
        <v>#N/A</v>
      </c>
      <c r="G227" s="43" t="e">
        <f>Dover_50°C!H49</f>
        <v>#N/A</v>
      </c>
      <c r="H227" s="43" t="e">
        <f>Dover_50°C!I49</f>
        <v>#N/A</v>
      </c>
      <c r="I227" s="43" t="e">
        <f>Dover_50°C!J49</f>
        <v>#N/A</v>
      </c>
      <c r="J227" s="43" t="e">
        <f>Dover_50°C!K49</f>
        <v>#N/A</v>
      </c>
    </row>
    <row r="228" spans="1:10" x14ac:dyDescent="0.25">
      <c r="A228" s="42" t="s">
        <v>102</v>
      </c>
      <c r="B228" s="43" t="e">
        <f>Dover_50°C!C50</f>
        <v>#N/A</v>
      </c>
      <c r="C228" s="43" t="e">
        <f>Dover_50°C!D50</f>
        <v>#N/A</v>
      </c>
      <c r="D228" s="43" t="e">
        <f>Dover_50°C!E50</f>
        <v>#N/A</v>
      </c>
      <c r="E228" s="43" t="e">
        <f>Dover_50°C!F50</f>
        <v>#N/A</v>
      </c>
      <c r="F228" s="43" t="e">
        <f>Dover_50°C!G50</f>
        <v>#N/A</v>
      </c>
      <c r="G228" s="43" t="e">
        <f>Dover_50°C!H50</f>
        <v>#N/A</v>
      </c>
      <c r="H228" s="43" t="e">
        <f>Dover_50°C!I50</f>
        <v>#N/A</v>
      </c>
      <c r="I228" s="43" t="e">
        <f>Dover_50°C!J50</f>
        <v>#N/A</v>
      </c>
      <c r="J228" s="43" t="e">
        <f>Dover_50°C!K50</f>
        <v>#N/A</v>
      </c>
    </row>
    <row r="229" spans="1:10" x14ac:dyDescent="0.25">
      <c r="A229" s="42" t="s">
        <v>103</v>
      </c>
      <c r="B229" s="43" t="e">
        <f>Dover_50°C!C51</f>
        <v>#N/A</v>
      </c>
      <c r="C229" s="43" t="e">
        <f>Dover_50°C!D51</f>
        <v>#N/A</v>
      </c>
      <c r="D229" s="43" t="e">
        <f>Dover_50°C!E51</f>
        <v>#N/A</v>
      </c>
      <c r="E229" s="43" t="e">
        <f>Dover_50°C!F51</f>
        <v>#N/A</v>
      </c>
      <c r="F229" s="43" t="e">
        <f>Dover_50°C!G51</f>
        <v>#N/A</v>
      </c>
      <c r="G229" s="43" t="e">
        <f>Dover_50°C!H51</f>
        <v>#N/A</v>
      </c>
      <c r="H229" s="43" t="e">
        <f>Dover_50°C!I51</f>
        <v>#N/A</v>
      </c>
      <c r="I229" s="43" t="e">
        <f>Dover_50°C!J51</f>
        <v>#N/A</v>
      </c>
      <c r="J229" s="43" t="e">
        <f>Dover_50°C!K51</f>
        <v>#N/A</v>
      </c>
    </row>
    <row r="230" spans="1:10" x14ac:dyDescent="0.25">
      <c r="A230" s="42" t="s">
        <v>104</v>
      </c>
      <c r="B230" s="239" t="e">
        <f>Dover_50°C!C52</f>
        <v>#N/A</v>
      </c>
      <c r="C230" s="242"/>
      <c r="D230" s="242"/>
      <c r="E230" s="242"/>
      <c r="F230" s="242"/>
      <c r="G230" s="242"/>
      <c r="H230" s="242"/>
      <c r="I230" s="242"/>
      <c r="J230" s="242"/>
    </row>
    <row r="231" spans="1:10" x14ac:dyDescent="0.25">
      <c r="A231" s="42" t="s">
        <v>105</v>
      </c>
      <c r="B231" s="239" t="e">
        <f>Dover_50°C!C53</f>
        <v>#N/A</v>
      </c>
      <c r="C231" s="242"/>
      <c r="D231" s="242"/>
      <c r="E231" s="242"/>
      <c r="F231" s="242"/>
      <c r="G231" s="242"/>
      <c r="H231" s="242"/>
      <c r="I231" s="242"/>
      <c r="J231" s="242"/>
    </row>
    <row r="232" spans="1:10" x14ac:dyDescent="0.25">
      <c r="A232" s="36" t="s">
        <v>106</v>
      </c>
      <c r="B232" s="153" t="e" cm="1">
        <f t="array" aca="1" ref="B232:J232" ca="1">Dover_50°C!C54:K54</f>
        <v>#REF!</v>
      </c>
      <c r="C232" s="154" t="e">
        <f ca="1"/>
        <v>#REF!</v>
      </c>
      <c r="D232" s="154" t="e">
        <f ca="1"/>
        <v>#REF!</v>
      </c>
      <c r="E232" s="154" t="e">
        <f ca="1"/>
        <v>#REF!</v>
      </c>
      <c r="F232" s="154" t="e">
        <f ca="1"/>
        <v>#REF!</v>
      </c>
      <c r="G232" s="154" t="e">
        <f ca="1"/>
        <v>#REF!</v>
      </c>
      <c r="H232" s="154" t="e">
        <f ca="1"/>
        <v>#REF!</v>
      </c>
      <c r="I232" s="154" t="e">
        <f ca="1"/>
        <v>#REF!</v>
      </c>
      <c r="J232" s="154" t="e">
        <f ca="1"/>
        <v>#REF!</v>
      </c>
    </row>
    <row r="244" spans="2:6" x14ac:dyDescent="0.25">
      <c r="B244" s="135"/>
    </row>
    <row r="246" spans="2:6" ht="36" x14ac:dyDescent="0.3">
      <c r="C246" s="136" t="s">
        <v>306</v>
      </c>
      <c r="D246" s="137"/>
      <c r="E246" s="137"/>
      <c r="F246" s="137"/>
    </row>
    <row r="249" spans="2:6" x14ac:dyDescent="0.25">
      <c r="B249" t="s">
        <v>223</v>
      </c>
    </row>
    <row r="291" spans="1:9" x14ac:dyDescent="0.25">
      <c r="A291" s="122" t="s">
        <v>251</v>
      </c>
      <c r="B291" s="124">
        <v>100</v>
      </c>
      <c r="G291" s="204" t="s">
        <v>198</v>
      </c>
      <c r="H291" s="205"/>
      <c r="I291" s="206"/>
    </row>
    <row r="292" spans="1:9" x14ac:dyDescent="0.25">
      <c r="A292" s="122" t="s">
        <v>252</v>
      </c>
      <c r="B292" s="151">
        <f>Mesures_Dover!B20</f>
        <v>0</v>
      </c>
      <c r="G292" s="22" t="s">
        <v>199</v>
      </c>
      <c r="H292" s="22" t="s">
        <v>200</v>
      </c>
      <c r="I292" s="22" t="s">
        <v>201</v>
      </c>
    </row>
    <row r="293" spans="1:9" x14ac:dyDescent="0.25">
      <c r="G293" s="125">
        <f>Dover_100°C!B11</f>
        <v>0</v>
      </c>
      <c r="H293" s="125">
        <f>Dover_100°C!B41</f>
        <v>0</v>
      </c>
      <c r="I293" s="125">
        <f>H293-G293</f>
        <v>0</v>
      </c>
    </row>
    <row r="296" spans="1:9" ht="23.25" x14ac:dyDescent="0.25">
      <c r="B296" s="207" t="s">
        <v>202</v>
      </c>
      <c r="C296" s="207"/>
    </row>
    <row r="299" spans="1:9" ht="30" x14ac:dyDescent="0.25">
      <c r="B299" s="126" t="s">
        <v>203</v>
      </c>
      <c r="C299" s="127" t="s">
        <v>204</v>
      </c>
      <c r="D299" s="127" t="s">
        <v>119</v>
      </c>
      <c r="E299" s="128" t="s">
        <v>205</v>
      </c>
      <c r="F299" s="127" t="s">
        <v>206</v>
      </c>
    </row>
    <row r="300" spans="1:9" x14ac:dyDescent="0.25">
      <c r="B300" s="129" t="s">
        <v>207</v>
      </c>
      <c r="C300" s="130" t="str">
        <f>"100°C"</f>
        <v>100°C</v>
      </c>
      <c r="D300" s="130" t="s">
        <v>208</v>
      </c>
      <c r="E300" s="130" t="s">
        <v>208</v>
      </c>
      <c r="F300" s="131" t="s">
        <v>208</v>
      </c>
    </row>
    <row r="301" spans="1:9" x14ac:dyDescent="0.25">
      <c r="B301" s="129" t="s">
        <v>209</v>
      </c>
      <c r="C301" s="130" t="str">
        <f>"100°C"</f>
        <v>100°C</v>
      </c>
      <c r="D301" s="130" t="s">
        <v>208</v>
      </c>
      <c r="E301" s="130" t="s">
        <v>208</v>
      </c>
      <c r="F301" s="131" t="s">
        <v>208</v>
      </c>
    </row>
    <row r="302" spans="1:9" x14ac:dyDescent="0.25">
      <c r="A302" s="208" t="s">
        <v>210</v>
      </c>
      <c r="B302" s="129" t="s">
        <v>211</v>
      </c>
      <c r="C302" s="132" t="e">
        <f>MAX(Dover_100°C!C48:K48)</f>
        <v>#N/A</v>
      </c>
      <c r="D302" s="130" t="e">
        <f>_xlfn.XLOOKUP(INT(SUBSTITUTE(E302,"Connecteur ","")),Mesures_Dover!C23:C31,Mesures_Dover!A23:A31)</f>
        <v>#N/A</v>
      </c>
      <c r="E302" s="130" t="e" cm="1">
        <f t="array" ref="E302">_xlfn.XLOOKUP(MAX(Dover_100°C!C48:K48),Dover_100°C!C48:K48,_xlfn.ANCHORARRAY(Dover_100°C!C47))</f>
        <v>#N/A</v>
      </c>
      <c r="F302" s="130" t="e">
        <f>_xlfn.XLOOKUP(INT(SUBSTITUTE(E302,"Connecteur ","")),Mesures_Dover!C23:C31,Mesures_Dover!B23:B31)</f>
        <v>#N/A</v>
      </c>
    </row>
    <row r="303" spans="1:9" x14ac:dyDescent="0.25">
      <c r="A303" s="208"/>
      <c r="B303" s="129" t="s">
        <v>212</v>
      </c>
      <c r="C303" s="132" t="e">
        <f>MIN(Dover_100°C!C48:K48)</f>
        <v>#N/A</v>
      </c>
      <c r="D303" s="130" t="e">
        <f>_xlfn.XLOOKUP(INT(SUBSTITUTE(E303,"Connecteur ","")),Mesures_Dover!C23:C31,Mesures_Dover!A23:A31)</f>
        <v>#N/A</v>
      </c>
      <c r="E303" s="130" t="e" cm="1">
        <f t="array" ref="E303">_xlfn.XLOOKUP(MIN(Dover_100°C!C48:K48),Dover_100°C!C48:K48,_xlfn.ANCHORARRAY(Dover_100°C!C47))</f>
        <v>#N/A</v>
      </c>
      <c r="F303" s="131" t="e">
        <f>_xlfn.XLOOKUP(INT(SUBSTITUTE(E303,"Connecteur ","")),Mesures_Dover!C23:C31,Mesures_Dover!B23:B31)</f>
        <v>#N/A</v>
      </c>
    </row>
    <row r="304" spans="1:9" x14ac:dyDescent="0.25">
      <c r="A304" s="208"/>
      <c r="B304" s="129" t="s">
        <v>213</v>
      </c>
      <c r="C304" s="132" t="e">
        <f>MIN(Dover_100°C!C48:K48)</f>
        <v>#N/A</v>
      </c>
      <c r="D304" s="130" t="e">
        <f>_xlfn.XLOOKUP(INT(SUBSTITUTE(E304,"Connecteur ","")),Mesures_Dover!C24:C36,Mesures_Dover!A24:A36)</f>
        <v>#N/A</v>
      </c>
      <c r="E304" s="130" t="e" cm="1">
        <f t="array" ref="E304">_xlfn.XLOOKUP(MIN(Dover_100°C!C49:O49),Dover_100°C!C49:O49,_xlfn.ANCHORARRAY(Dover_100°C!C47))</f>
        <v>#N/A</v>
      </c>
      <c r="F304" s="131" t="e">
        <f>_xlfn.XLOOKUP(INT(SUBSTITUTE(E304,"Connecteur ","")),Mesures_Dover!C24:C36,Mesures_Dover!B24:B36)</f>
        <v>#N/A</v>
      </c>
    </row>
    <row r="305" spans="1:6" x14ac:dyDescent="0.25">
      <c r="A305" s="208"/>
      <c r="B305" s="129" t="s">
        <v>214</v>
      </c>
      <c r="C305" s="132" t="e">
        <f>AVERAGE(Dover_100°C!C48:K48)</f>
        <v>#N/A</v>
      </c>
      <c r="D305" s="130" t="s">
        <v>208</v>
      </c>
      <c r="E305" s="130" t="s">
        <v>208</v>
      </c>
      <c r="F305" s="131" t="s">
        <v>208</v>
      </c>
    </row>
    <row r="306" spans="1:6" x14ac:dyDescent="0.25">
      <c r="C306" s="89"/>
      <c r="D306" s="89"/>
      <c r="E306" s="89"/>
      <c r="F306" s="89"/>
    </row>
    <row r="316" spans="1:6" ht="36" x14ac:dyDescent="0.25">
      <c r="B316" s="200" t="s">
        <v>307</v>
      </c>
      <c r="C316" s="200"/>
      <c r="D316" s="200"/>
      <c r="E316" s="200"/>
      <c r="F316" s="200"/>
    </row>
    <row r="319" spans="1:6" x14ac:dyDescent="0.25">
      <c r="B319" s="192" t="s">
        <v>216</v>
      </c>
      <c r="C319" s="192"/>
    </row>
    <row r="323" spans="1:10" x14ac:dyDescent="0.25">
      <c r="A323" s="1"/>
      <c r="B323" s="152" t="str" cm="1">
        <f t="array" ref="B323:J323">Valeurs_Brutes_100[[#Headers],[Connecteur 1]:[Connecteur 9]]</f>
        <v>Connecteur 1</v>
      </c>
      <c r="C323" s="152" t="str">
        <v>Connecteur 2</v>
      </c>
      <c r="D323" s="152" t="str">
        <v>Connecteur 3</v>
      </c>
      <c r="E323" s="152" t="str">
        <v>Connecteur 4</v>
      </c>
      <c r="F323" s="152" t="str">
        <v>Connecteur 5</v>
      </c>
      <c r="G323" s="152" t="str">
        <v>Connecteur 6</v>
      </c>
      <c r="H323" s="152" t="str">
        <v>Connecteur 7</v>
      </c>
      <c r="I323" s="152" t="str">
        <v>Connecteur 8</v>
      </c>
      <c r="J323" s="152" t="str">
        <v>Connecteur 9</v>
      </c>
    </row>
    <row r="324" spans="1:10" x14ac:dyDescent="0.25">
      <c r="A324" s="42" t="s">
        <v>98</v>
      </c>
      <c r="B324" s="43" t="e" cm="1">
        <f t="array" ref="B324:J327">Dover_100°C!C48:K51</f>
        <v>#N/A</v>
      </c>
      <c r="C324" s="43" t="e">
        <v>#N/A</v>
      </c>
      <c r="D324" s="43" t="e">
        <v>#N/A</v>
      </c>
      <c r="E324" s="43" t="e">
        <v>#N/A</v>
      </c>
      <c r="F324" s="43" t="e">
        <v>#N/A</v>
      </c>
      <c r="G324" s="43" t="e">
        <v>#N/A</v>
      </c>
      <c r="H324" s="43" t="e">
        <v>#N/A</v>
      </c>
      <c r="I324" s="43" t="e">
        <v>#N/A</v>
      </c>
      <c r="J324" s="43" t="e">
        <v>#N/A</v>
      </c>
    </row>
    <row r="325" spans="1:10" x14ac:dyDescent="0.25">
      <c r="A325" s="42" t="s">
        <v>100</v>
      </c>
      <c r="B325" s="43" t="e">
        <v>#N/A</v>
      </c>
      <c r="C325" s="43" t="e">
        <v>#N/A</v>
      </c>
      <c r="D325" s="43" t="e">
        <v>#N/A</v>
      </c>
      <c r="E325" s="43" t="e">
        <v>#N/A</v>
      </c>
      <c r="F325" s="43" t="e">
        <v>#N/A</v>
      </c>
      <c r="G325" s="43" t="e">
        <v>#N/A</v>
      </c>
      <c r="H325" s="43" t="e">
        <v>#N/A</v>
      </c>
      <c r="I325" s="43" t="e">
        <v>#N/A</v>
      </c>
      <c r="J325" s="43" t="e">
        <v>#N/A</v>
      </c>
    </row>
    <row r="326" spans="1:10" x14ac:dyDescent="0.25">
      <c r="A326" s="42" t="s">
        <v>102</v>
      </c>
      <c r="B326" s="43" t="e">
        <v>#N/A</v>
      </c>
      <c r="C326" s="43" t="e">
        <v>#N/A</v>
      </c>
      <c r="D326" s="43" t="e">
        <v>#N/A</v>
      </c>
      <c r="E326" s="43" t="e">
        <v>#N/A</v>
      </c>
      <c r="F326" s="43" t="e">
        <v>#N/A</v>
      </c>
      <c r="G326" s="43" t="e">
        <v>#N/A</v>
      </c>
      <c r="H326" s="43" t="e">
        <v>#N/A</v>
      </c>
      <c r="I326" s="43" t="e">
        <v>#N/A</v>
      </c>
      <c r="J326" s="43" t="e">
        <v>#N/A</v>
      </c>
    </row>
    <row r="327" spans="1:10" x14ac:dyDescent="0.25">
      <c r="A327" s="42" t="s">
        <v>103</v>
      </c>
      <c r="B327" s="43" t="e">
        <v>#N/A</v>
      </c>
      <c r="C327" s="43" t="e">
        <v>#N/A</v>
      </c>
      <c r="D327" s="43" t="e">
        <v>#N/A</v>
      </c>
      <c r="E327" s="43" t="e">
        <v>#N/A</v>
      </c>
      <c r="F327" s="43" t="e">
        <v>#N/A</v>
      </c>
      <c r="G327" s="43" t="e">
        <v>#N/A</v>
      </c>
      <c r="H327" s="43" t="e">
        <v>#N/A</v>
      </c>
      <c r="I327" s="43" t="e">
        <v>#N/A</v>
      </c>
      <c r="J327" s="43" t="e">
        <v>#N/A</v>
      </c>
    </row>
    <row r="328" spans="1:10" x14ac:dyDescent="0.25">
      <c r="A328" s="42" t="s">
        <v>104</v>
      </c>
      <c r="B328" s="239" t="e">
        <f>Dover_100°C!C52</f>
        <v>#N/A</v>
      </c>
      <c r="C328" s="242"/>
      <c r="D328" s="242"/>
      <c r="E328" s="242"/>
      <c r="F328" s="242"/>
      <c r="G328" s="242"/>
      <c r="H328" s="242"/>
      <c r="I328" s="242"/>
      <c r="J328" s="242"/>
    </row>
    <row r="329" spans="1:10" x14ac:dyDescent="0.25">
      <c r="A329" s="42" t="s">
        <v>105</v>
      </c>
      <c r="B329" s="239" t="e">
        <f>Dover_100°C!C53</f>
        <v>#N/A</v>
      </c>
      <c r="C329" s="242"/>
      <c r="D329" s="242"/>
      <c r="E329" s="242"/>
      <c r="F329" s="242"/>
      <c r="G329" s="242"/>
      <c r="H329" s="242"/>
      <c r="I329" s="242"/>
      <c r="J329" s="242"/>
    </row>
    <row r="330" spans="1:10" x14ac:dyDescent="0.25">
      <c r="A330" s="36" t="s">
        <v>106</v>
      </c>
      <c r="B330" s="153" t="e" cm="1">
        <f t="array" aca="1" ref="B330:J330" ca="1">Dover_100°C!C54:K54</f>
        <v>#REF!</v>
      </c>
      <c r="C330" s="154" t="e">
        <f ca="1"/>
        <v>#REF!</v>
      </c>
      <c r="D330" s="154" t="e">
        <f ca="1"/>
        <v>#REF!</v>
      </c>
      <c r="E330" s="154" t="e">
        <f ca="1"/>
        <v>#REF!</v>
      </c>
      <c r="F330" s="154" t="e">
        <f ca="1"/>
        <v>#REF!</v>
      </c>
      <c r="G330" s="154" t="e">
        <f ca="1"/>
        <v>#REF!</v>
      </c>
      <c r="H330" s="154" t="e">
        <f ca="1"/>
        <v>#REF!</v>
      </c>
      <c r="I330" s="154" t="e">
        <f ca="1"/>
        <v>#REF!</v>
      </c>
      <c r="J330" s="154" t="e">
        <f ca="1"/>
        <v>#REF!</v>
      </c>
    </row>
    <row r="340" spans="2:6" x14ac:dyDescent="0.25">
      <c r="B340" s="135"/>
    </row>
    <row r="342" spans="2:6" ht="36" x14ac:dyDescent="0.3">
      <c r="C342" s="136" t="s">
        <v>308</v>
      </c>
      <c r="D342" s="137"/>
      <c r="E342" s="137"/>
      <c r="F342" s="137"/>
    </row>
    <row r="345" spans="2:6" x14ac:dyDescent="0.25">
      <c r="B345" t="s">
        <v>223</v>
      </c>
    </row>
    <row r="401" spans="1:9" x14ac:dyDescent="0.25">
      <c r="A401" s="122" t="s">
        <v>251</v>
      </c>
      <c r="B401" s="124">
        <v>150</v>
      </c>
      <c r="G401" s="204" t="s">
        <v>198</v>
      </c>
      <c r="H401" s="205"/>
      <c r="I401" s="206"/>
    </row>
    <row r="402" spans="1:9" x14ac:dyDescent="0.25">
      <c r="A402" s="122" t="s">
        <v>252</v>
      </c>
      <c r="B402" s="151">
        <f>Mesures_Dover!B20</f>
        <v>0</v>
      </c>
      <c r="G402" s="22" t="s">
        <v>199</v>
      </c>
      <c r="H402" s="22" t="s">
        <v>200</v>
      </c>
      <c r="I402" s="22" t="s">
        <v>201</v>
      </c>
    </row>
    <row r="403" spans="1:9" x14ac:dyDescent="0.25">
      <c r="G403" s="125">
        <f>Dover_150°C!B11</f>
        <v>0</v>
      </c>
      <c r="H403" s="125">
        <f>Dover_150°C!B41</f>
        <v>0</v>
      </c>
      <c r="I403" s="125">
        <f>H403-G403</f>
        <v>0</v>
      </c>
    </row>
    <row r="406" spans="1:9" ht="23.25" x14ac:dyDescent="0.25">
      <c r="B406" s="207" t="s">
        <v>202</v>
      </c>
      <c r="C406" s="207"/>
    </row>
    <row r="409" spans="1:9" ht="30" x14ac:dyDescent="0.25">
      <c r="B409" s="126" t="s">
        <v>203</v>
      </c>
      <c r="C409" s="127" t="s">
        <v>204</v>
      </c>
      <c r="D409" s="127" t="s">
        <v>119</v>
      </c>
      <c r="E409" s="128" t="s">
        <v>205</v>
      </c>
      <c r="F409" s="127" t="s">
        <v>206</v>
      </c>
    </row>
    <row r="410" spans="1:9" x14ac:dyDescent="0.25">
      <c r="B410" s="129" t="s">
        <v>207</v>
      </c>
      <c r="C410" s="130" t="str">
        <f>"150°C"</f>
        <v>150°C</v>
      </c>
      <c r="D410" s="130" t="s">
        <v>208</v>
      </c>
      <c r="E410" s="130" t="s">
        <v>208</v>
      </c>
      <c r="F410" s="131" t="s">
        <v>208</v>
      </c>
    </row>
    <row r="411" spans="1:9" x14ac:dyDescent="0.25">
      <c r="B411" s="129" t="s">
        <v>209</v>
      </c>
      <c r="C411" s="130" t="str">
        <f>"150°C"</f>
        <v>150°C</v>
      </c>
      <c r="D411" s="130" t="s">
        <v>208</v>
      </c>
      <c r="E411" s="130" t="s">
        <v>208</v>
      </c>
      <c r="F411" s="131" t="s">
        <v>208</v>
      </c>
    </row>
    <row r="412" spans="1:9" x14ac:dyDescent="0.25">
      <c r="A412" s="208" t="s">
        <v>210</v>
      </c>
      <c r="B412" s="129" t="s">
        <v>211</v>
      </c>
      <c r="C412" s="132" t="e">
        <f>MAX(Dover_150°C!C48:K48)</f>
        <v>#N/A</v>
      </c>
      <c r="D412" s="130" t="e">
        <f>_xlfn.XLOOKUP(INT(SUBSTITUTE(E412,"Connecteur ","")),Mesures_Dover!C23:C31,Mesures_Dover!A23:A31)</f>
        <v>#N/A</v>
      </c>
      <c r="E412" s="130" t="e" cm="1">
        <f t="array" ref="E412">_xlfn.XLOOKUP(MAX(Dover_150°C!C48:K48),Dover_150°C!C48:K48,_xlfn.ANCHORARRAY(Dover_150°C!C47))</f>
        <v>#N/A</v>
      </c>
      <c r="F412" s="130" t="e">
        <f>_xlfn.XLOOKUP(INT(SUBSTITUTE(E412,"Connecteur ","")),Mesures_Dover!C23:C31,Mesures_Dover!B23:B31)</f>
        <v>#N/A</v>
      </c>
    </row>
    <row r="413" spans="1:9" x14ac:dyDescent="0.25">
      <c r="A413" s="208"/>
      <c r="B413" s="129" t="s">
        <v>212</v>
      </c>
      <c r="C413" s="132" t="e">
        <f>MIN(Dover_150°C!C48:K48)</f>
        <v>#N/A</v>
      </c>
      <c r="D413" s="130" t="e">
        <f>_xlfn.XLOOKUP(INT(SUBSTITUTE(E413,"Connecteur ","")),Mesures_Dover!C23:C31,Mesures_Dover!A23:A31)</f>
        <v>#N/A</v>
      </c>
      <c r="E413" s="130" t="e" cm="1">
        <f t="array" ref="E413">_xlfn.XLOOKUP(MIN(Dover_150°C!C48:K48),Dover_150°C!C48:K48,_xlfn.ANCHORARRAY(Dover_150°C!C47))</f>
        <v>#N/A</v>
      </c>
      <c r="F413" s="131" t="e">
        <f>_xlfn.XLOOKUP(INT(SUBSTITUTE(E413,"Connecteur ","")),Mesures_Dover!C23:C31,Mesures_Dover!B23:B31)</f>
        <v>#N/A</v>
      </c>
    </row>
    <row r="414" spans="1:9" x14ac:dyDescent="0.25">
      <c r="A414" s="208"/>
      <c r="B414" s="129" t="s">
        <v>213</v>
      </c>
      <c r="C414" s="132" t="e">
        <f>MIN(Dover_150°C!C49:O49)</f>
        <v>#N/A</v>
      </c>
      <c r="D414" s="130" t="e">
        <f>_xlfn.XLOOKUP(INT(SUBSTITUTE(E414,"Connecteur ","")),Mesures_Dover!C23:C31,Mesures_Dover!A23:A31)</f>
        <v>#N/A</v>
      </c>
      <c r="E414" s="130" t="e" cm="1">
        <f t="array" ref="E414">_xlfn.XLOOKUP(MAX(Dover_150°C!C49:O49),Dover_150°C!C49:O49,_xlfn.ANCHORARRAY(Dover_150°C!C47))</f>
        <v>#N/A</v>
      </c>
      <c r="F414" s="131" t="e">
        <f>_xlfn.XLOOKUP(INT(SUBSTITUTE(E414,"Connecteur ","")),Mesures_Dover!C23:C31,Mesures_Dover!B23:B31)</f>
        <v>#N/A</v>
      </c>
    </row>
    <row r="415" spans="1:9" x14ac:dyDescent="0.25">
      <c r="A415" s="208"/>
      <c r="B415" s="129" t="s">
        <v>214</v>
      </c>
      <c r="C415" s="132" t="e">
        <f>AVERAGE(Dover_150°C!C50:O50)</f>
        <v>#N/A</v>
      </c>
      <c r="D415" s="130" t="s">
        <v>208</v>
      </c>
      <c r="E415" s="130" t="s">
        <v>208</v>
      </c>
      <c r="F415" s="131" t="s">
        <v>208</v>
      </c>
    </row>
    <row r="416" spans="1:9" x14ac:dyDescent="0.25">
      <c r="C416" s="89"/>
      <c r="D416" s="89"/>
      <c r="E416" s="89"/>
      <c r="F416" s="89"/>
    </row>
    <row r="425" spans="1:10" ht="36" x14ac:dyDescent="0.25">
      <c r="B425" s="200" t="s">
        <v>255</v>
      </c>
      <c r="C425" s="200"/>
      <c r="D425" s="200"/>
      <c r="E425" s="200"/>
      <c r="F425" s="200"/>
    </row>
    <row r="428" spans="1:10" x14ac:dyDescent="0.25">
      <c r="B428" s="192" t="s">
        <v>216</v>
      </c>
      <c r="C428" s="192"/>
    </row>
    <row r="432" spans="1:10" x14ac:dyDescent="0.25">
      <c r="A432" s="1"/>
      <c r="B432" s="152" t="str" cm="1">
        <f t="array" ref="B432:J432">Valeurs_Brutes_150[[#Headers],[Connecteur 1]:[Connecteur 9]]</f>
        <v>Connecteur 1</v>
      </c>
      <c r="C432" s="152" t="str">
        <v>Connecteur 2</v>
      </c>
      <c r="D432" s="152" t="str">
        <v>Connecteur 3</v>
      </c>
      <c r="E432" s="152" t="str">
        <v>Connecteur 4</v>
      </c>
      <c r="F432" s="152" t="str">
        <v>Connecteur 5</v>
      </c>
      <c r="G432" s="152" t="str">
        <v>Connecteur 6</v>
      </c>
      <c r="H432" s="152" t="str">
        <v>Connecteur 7</v>
      </c>
      <c r="I432" s="152" t="str">
        <v>Connecteur 8</v>
      </c>
      <c r="J432" s="152" t="str">
        <v>Connecteur 9</v>
      </c>
    </row>
    <row r="433" spans="1:10" x14ac:dyDescent="0.25">
      <c r="A433" s="42" t="s">
        <v>98</v>
      </c>
      <c r="B433" s="43" t="e" cm="1">
        <f t="array" ref="B433:J436">Dover_150°C!C48:K51</f>
        <v>#N/A</v>
      </c>
      <c r="C433" s="43" t="e">
        <v>#N/A</v>
      </c>
      <c r="D433" s="43" t="e">
        <v>#N/A</v>
      </c>
      <c r="E433" s="43" t="e">
        <v>#N/A</v>
      </c>
      <c r="F433" s="43" t="e">
        <v>#N/A</v>
      </c>
      <c r="G433" s="43" t="e">
        <v>#N/A</v>
      </c>
      <c r="H433" s="43" t="e">
        <v>#N/A</v>
      </c>
      <c r="I433" s="43" t="e">
        <v>#N/A</v>
      </c>
      <c r="J433" s="43" t="e">
        <v>#N/A</v>
      </c>
    </row>
    <row r="434" spans="1:10" x14ac:dyDescent="0.25">
      <c r="A434" s="42" t="s">
        <v>100</v>
      </c>
      <c r="B434" s="43" t="e">
        <v>#N/A</v>
      </c>
      <c r="C434" s="43" t="e">
        <v>#N/A</v>
      </c>
      <c r="D434" s="43" t="e">
        <v>#N/A</v>
      </c>
      <c r="E434" s="43" t="e">
        <v>#N/A</v>
      </c>
      <c r="F434" s="43" t="e">
        <v>#N/A</v>
      </c>
      <c r="G434" s="43" t="e">
        <v>#N/A</v>
      </c>
      <c r="H434" s="43" t="e">
        <v>#N/A</v>
      </c>
      <c r="I434" s="43" t="e">
        <v>#N/A</v>
      </c>
      <c r="J434" s="43" t="e">
        <v>#N/A</v>
      </c>
    </row>
    <row r="435" spans="1:10" x14ac:dyDescent="0.25">
      <c r="A435" s="42" t="s">
        <v>102</v>
      </c>
      <c r="B435" s="43" t="e">
        <v>#N/A</v>
      </c>
      <c r="C435" s="43" t="e">
        <v>#N/A</v>
      </c>
      <c r="D435" s="43" t="e">
        <v>#N/A</v>
      </c>
      <c r="E435" s="43" t="e">
        <v>#N/A</v>
      </c>
      <c r="F435" s="43" t="e">
        <v>#N/A</v>
      </c>
      <c r="G435" s="43" t="e">
        <v>#N/A</v>
      </c>
      <c r="H435" s="43" t="e">
        <v>#N/A</v>
      </c>
      <c r="I435" s="43" t="e">
        <v>#N/A</v>
      </c>
      <c r="J435" s="43" t="e">
        <v>#N/A</v>
      </c>
    </row>
    <row r="436" spans="1:10" x14ac:dyDescent="0.25">
      <c r="A436" s="42" t="s">
        <v>103</v>
      </c>
      <c r="B436" s="43" t="e">
        <v>#N/A</v>
      </c>
      <c r="C436" s="43" t="e">
        <v>#N/A</v>
      </c>
      <c r="D436" s="43" t="e">
        <v>#N/A</v>
      </c>
      <c r="E436" s="43" t="e">
        <v>#N/A</v>
      </c>
      <c r="F436" s="43" t="e">
        <v>#N/A</v>
      </c>
      <c r="G436" s="43" t="e">
        <v>#N/A</v>
      </c>
      <c r="H436" s="43" t="e">
        <v>#N/A</v>
      </c>
      <c r="I436" s="43" t="e">
        <v>#N/A</v>
      </c>
      <c r="J436" s="43" t="e">
        <v>#N/A</v>
      </c>
    </row>
    <row r="437" spans="1:10" x14ac:dyDescent="0.25">
      <c r="A437" s="42" t="s">
        <v>104</v>
      </c>
      <c r="B437" s="239" t="e">
        <f>Dover_150°C!C52</f>
        <v>#N/A</v>
      </c>
      <c r="C437" s="242"/>
      <c r="D437" s="242"/>
      <c r="E437" s="242"/>
      <c r="F437" s="242"/>
      <c r="G437" s="242"/>
      <c r="H437" s="242"/>
      <c r="I437" s="242"/>
      <c r="J437" s="242"/>
    </row>
    <row r="438" spans="1:10" x14ac:dyDescent="0.25">
      <c r="A438" s="42" t="s">
        <v>105</v>
      </c>
      <c r="B438" s="239" t="e">
        <f>Dover_150°C!C53</f>
        <v>#N/A</v>
      </c>
      <c r="C438" s="242"/>
      <c r="D438" s="242"/>
      <c r="E438" s="242"/>
      <c r="F438" s="242"/>
      <c r="G438" s="242"/>
      <c r="H438" s="242"/>
      <c r="I438" s="242"/>
      <c r="J438" s="242"/>
    </row>
    <row r="439" spans="1:10" x14ac:dyDescent="0.25">
      <c r="A439" s="36" t="s">
        <v>106</v>
      </c>
      <c r="B439" s="153" t="e" cm="1">
        <f t="array" aca="1" ref="B439:J439" ca="1">Dover_150°C!C54:K54</f>
        <v>#REF!</v>
      </c>
      <c r="C439" s="154" t="e">
        <f ca="1"/>
        <v>#REF!</v>
      </c>
      <c r="D439" s="154" t="e">
        <f ca="1"/>
        <v>#REF!</v>
      </c>
      <c r="E439" s="154" t="e">
        <f ca="1"/>
        <v>#REF!</v>
      </c>
      <c r="F439" s="154" t="e">
        <f ca="1"/>
        <v>#REF!</v>
      </c>
      <c r="G439" s="154" t="e">
        <f ca="1"/>
        <v>#REF!</v>
      </c>
      <c r="H439" s="154" t="e">
        <f ca="1"/>
        <v>#REF!</v>
      </c>
      <c r="I439" s="154" t="e">
        <f ca="1"/>
        <v>#REF!</v>
      </c>
      <c r="J439" s="154" t="e">
        <f ca="1"/>
        <v>#REF!</v>
      </c>
    </row>
    <row r="445" spans="1:10" x14ac:dyDescent="0.25">
      <c r="B445" s="135"/>
    </row>
    <row r="447" spans="1:10" ht="36" x14ac:dyDescent="0.3">
      <c r="C447" s="136" t="s">
        <v>256</v>
      </c>
      <c r="D447" s="137"/>
      <c r="E447" s="137"/>
      <c r="F447" s="137"/>
    </row>
    <row r="450" spans="2:2" x14ac:dyDescent="0.25">
      <c r="B450" t="s">
        <v>223</v>
      </c>
    </row>
    <row r="497" spans="3:7" x14ac:dyDescent="0.25">
      <c r="C497" s="129" t="s">
        <v>226</v>
      </c>
      <c r="D497" s="129"/>
      <c r="E497" s="22" t="s">
        <v>309</v>
      </c>
      <c r="F497" s="22" t="s">
        <v>310</v>
      </c>
      <c r="G497" s="22" t="s">
        <v>258</v>
      </c>
    </row>
    <row r="498" spans="3:7" x14ac:dyDescent="0.25">
      <c r="C498" s="210" t="s">
        <v>227</v>
      </c>
      <c r="D498" s="211"/>
      <c r="E498" s="130">
        <v>50</v>
      </c>
      <c r="F498" s="130">
        <v>100</v>
      </c>
      <c r="G498" s="130">
        <v>150</v>
      </c>
    </row>
    <row r="499" spans="3:7" x14ac:dyDescent="0.25">
      <c r="C499" s="210" t="s">
        <v>228</v>
      </c>
      <c r="D499" s="211"/>
      <c r="E499" s="132" t="e">
        <f>Dover_50°C!C52</f>
        <v>#N/A</v>
      </c>
      <c r="F499" s="132" t="e">
        <f>Dover_100°C!C52</f>
        <v>#N/A</v>
      </c>
      <c r="G499" s="132" t="e">
        <f>Dover_150°C!C52</f>
        <v>#N/A</v>
      </c>
    </row>
    <row r="500" spans="3:7" x14ac:dyDescent="0.25">
      <c r="C500" s="210" t="s">
        <v>229</v>
      </c>
      <c r="D500" s="211"/>
      <c r="E500" s="155">
        <f>Mesures_Dover!B20</f>
        <v>0</v>
      </c>
      <c r="F500" s="155">
        <f>Mesures_Dover!B20</f>
        <v>0</v>
      </c>
      <c r="G500" s="155">
        <f>Mesures_Dover!B20</f>
        <v>0</v>
      </c>
    </row>
    <row r="501" spans="3:7" x14ac:dyDescent="0.25">
      <c r="C501" s="210" t="s">
        <v>260</v>
      </c>
      <c r="D501" s="211"/>
      <c r="E501" s="130" t="e">
        <f>IF(MIN(Dover_50°C!C49:K49)&lt;Dover_50°C!L49,"NON CONFORME","CONFORME")</f>
        <v>#N/A</v>
      </c>
      <c r="F501" s="130" t="e">
        <f>IF(MIN(Dover_100°C!C49:K49)&lt;Dover_100°C!L49,"NON CONFORME","CONFORME")</f>
        <v>#N/A</v>
      </c>
      <c r="G501" s="130" t="e">
        <f>IF(MIN(Dover_150°C!C49:K49)&lt;Dover_150°C!L49,"NON CONFORME","CONFORME")</f>
        <v>#N/A</v>
      </c>
    </row>
    <row r="502" spans="3:7" x14ac:dyDescent="0.25">
      <c r="C502" s="210" t="s">
        <v>261</v>
      </c>
      <c r="D502" s="211"/>
      <c r="E502" s="130" t="e">
        <f>IF(MAX(Dover_50°C!C48:K48)&gt;Dover_50°C!L48,"NON CONFORME","CONFORME")</f>
        <v>#N/A</v>
      </c>
      <c r="F502" s="130" t="e">
        <f>IF(MAX(Dover_100°C!C48:K48)&gt;Dover_100°C!L48,"NON CONFORME","CONFORME")</f>
        <v>#N/A</v>
      </c>
      <c r="G502" s="130" t="e">
        <f>IF(MAX(Dover_150°C!C48:K48)&gt;Dover_150°C!L48,"NON CONFORME","CONFORME")</f>
        <v>#N/A</v>
      </c>
    </row>
    <row r="503" spans="3:7" x14ac:dyDescent="0.25">
      <c r="C503" s="210" t="s">
        <v>262</v>
      </c>
      <c r="D503" s="211"/>
      <c r="E503" s="130" t="e">
        <f>IF(OR(Dover_50°C!C53&lt;Dover_50°C!L49,Dover_50°C!C53&gt;Dover_50°C!L48),"NON CONFORME","CONFORME")</f>
        <v>#N/A</v>
      </c>
      <c r="F503" s="130" t="e">
        <f>IF(OR(Dover_100°C!C53&lt;Dover_100°C!L49,Dover_100°C!C53&gt;Dover_100°C!L48),"NON CONFORME","CONFORME")</f>
        <v>#N/A</v>
      </c>
      <c r="G503" s="130" t="e">
        <f>IF(OR(Dover_150°C!C53&lt;Dover_150°C!L49,Dover_150°C!C53&gt;Dover_150°C!L48),"NON CONFORME","CONFORME")</f>
        <v>#N/A</v>
      </c>
    </row>
    <row r="504" spans="3:7" x14ac:dyDescent="0.25">
      <c r="C504" s="210" t="s">
        <v>231</v>
      </c>
      <c r="D504" s="211"/>
      <c r="E504" s="130" t="e">
        <f>(MAX(Dover_50°C!C48:K48)- MIN(Dover_50°C!C49:K49))/2</f>
        <v>#N/A</v>
      </c>
      <c r="F504" s="130" t="e">
        <f>(MAX(Dover_100°C!C48:K48)- MIN(Dover_100°C!C49:K49))/2</f>
        <v>#N/A</v>
      </c>
      <c r="G504" s="130" t="e">
        <f>(MAX(Dover_150°C!C48:K48)- MIN(Dover_150°C!C49:K49))/2</f>
        <v>#N/A</v>
      </c>
    </row>
  </sheetData>
  <sheetProtection algorithmName="SHA-512" hashValue="Dp7CbrDymuAgmcGYJCnp/5PDylbJQZVmCoUFli3clXGmk6oLqJ4OlCcOppnlHjdUmcr8x09gnzBfaFmR5ukA+Q==" saltValue="J3yvAsA3FVIDdoZFvUfPuA==" spinCount="100000" sheet="1" objects="1" scenarios="1" autoFilter="0"/>
  <mergeCells count="53">
    <mergeCell ref="C98:D98"/>
    <mergeCell ref="B4:F6"/>
    <mergeCell ref="C10:D10"/>
    <mergeCell ref="E10:F10"/>
    <mergeCell ref="A28:B28"/>
    <mergeCell ref="A30:I47"/>
    <mergeCell ref="C51:F51"/>
    <mergeCell ref="C85:G85"/>
    <mergeCell ref="C94:H94"/>
    <mergeCell ref="C95:D95"/>
    <mergeCell ref="C96:D96"/>
    <mergeCell ref="C97:D97"/>
    <mergeCell ref="A203:A206"/>
    <mergeCell ref="B112:F112"/>
    <mergeCell ref="C123:F123"/>
    <mergeCell ref="C99:D99"/>
    <mergeCell ref="C100:D100"/>
    <mergeCell ref="C101:D101"/>
    <mergeCell ref="C102:D102"/>
    <mergeCell ref="C103:D103"/>
    <mergeCell ref="C104:D104"/>
    <mergeCell ref="B221:C221"/>
    <mergeCell ref="G291:I291"/>
    <mergeCell ref="B296:C296"/>
    <mergeCell ref="B125:I140"/>
    <mergeCell ref="C159:H159"/>
    <mergeCell ref="C188:H188"/>
    <mergeCell ref="G192:I192"/>
    <mergeCell ref="B197:C197"/>
    <mergeCell ref="A412:A415"/>
    <mergeCell ref="B425:F425"/>
    <mergeCell ref="B428:C428"/>
    <mergeCell ref="A302:A305"/>
    <mergeCell ref="B316:F316"/>
    <mergeCell ref="B319:C319"/>
    <mergeCell ref="B328:J328"/>
    <mergeCell ref="B329:J329"/>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s>
  <conditionalFormatting sqref="E501">
    <cfRule type="containsText" dxfId="9" priority="10" operator="containsText" text="NON CONFORME">
      <formula>NOT(ISERROR(SEARCH("NON CONFORME",E501)))</formula>
    </cfRule>
  </conditionalFormatting>
  <conditionalFormatting sqref="E502">
    <cfRule type="containsText" dxfId="8" priority="9" operator="containsText" text="NON CONFORME">
      <formula>NOT(ISERROR(SEARCH("NON CONFORME",E502)))</formula>
    </cfRule>
  </conditionalFormatting>
  <conditionalFormatting sqref="F501">
    <cfRule type="containsText" dxfId="7" priority="8" operator="containsText" text="NON CONFORME">
      <formula>NOT(ISERROR(SEARCH("NON CONFORME",F501)))</formula>
    </cfRule>
  </conditionalFormatting>
  <conditionalFormatting sqref="F502">
    <cfRule type="containsText" dxfId="6" priority="7" operator="containsText" text="NON CONFORME">
      <formula>NOT(ISERROR(SEARCH("NON CONFORME",F502)))</formula>
    </cfRule>
  </conditionalFormatting>
  <conditionalFormatting sqref="G501">
    <cfRule type="containsText" dxfId="5" priority="6" operator="containsText" text="NON CONFORME">
      <formula>NOT(ISERROR(SEARCH("NON CONFORME",G501)))</formula>
    </cfRule>
  </conditionalFormatting>
  <conditionalFormatting sqref="G502">
    <cfRule type="containsText" dxfId="4" priority="5" operator="containsText" text="NON CONFORME">
      <formula>NOT(ISERROR(SEARCH("NON CONFORME",G502)))</formula>
    </cfRule>
  </conditionalFormatting>
  <conditionalFormatting sqref="C67:D67">
    <cfRule type="containsBlanks" dxfId="3" priority="4">
      <formula>LEN(TRIM(C67))=0</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4" orientation="portrait" r:id="rId1"/>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28</vt:i4>
      </vt:variant>
      <vt:variant>
        <vt:lpstr>Plages nommées</vt:lpstr>
      </vt:variant>
      <vt:variant>
        <vt:i4>14</vt:i4>
      </vt:variant>
    </vt:vector>
  </HeadingPairs>
  <TitlesOfParts>
    <vt:vector size="42" baseType="lpstr">
      <vt:lpstr>Group-1</vt:lpstr>
      <vt:lpstr>Entete</vt:lpstr>
      <vt:lpstr>Choose_TUS</vt:lpstr>
      <vt:lpstr>Mesures_Congel</vt:lpstr>
      <vt:lpstr>Donnee_Congel_-30</vt:lpstr>
      <vt:lpstr>Congel_-30°C</vt:lpstr>
      <vt:lpstr>Congel_PV</vt:lpstr>
      <vt:lpstr>Verif_periodique</vt:lpstr>
      <vt:lpstr>Mesures_Sechoir</vt:lpstr>
      <vt:lpstr>Donnee_Sechoir_50</vt:lpstr>
      <vt:lpstr>Sechoir_50°C</vt:lpstr>
      <vt:lpstr>Sechoir_PV</vt:lpstr>
      <vt:lpstr>Mesures_Omia</vt:lpstr>
      <vt:lpstr>Donnee_Omia_60</vt:lpstr>
      <vt:lpstr>Donnee_Omia_150</vt:lpstr>
      <vt:lpstr>Donnee_Omia_190</vt:lpstr>
      <vt:lpstr>Omia_60°C</vt:lpstr>
      <vt:lpstr>Omia_150°C</vt:lpstr>
      <vt:lpstr>Omia_190°C</vt:lpstr>
      <vt:lpstr>Omia_PV</vt:lpstr>
      <vt:lpstr>Mesures_Dover</vt:lpstr>
      <vt:lpstr>Donnee_Dover_50</vt:lpstr>
      <vt:lpstr>Donnee_Dover_100</vt:lpstr>
      <vt:lpstr>Donnee_Dover_150</vt:lpstr>
      <vt:lpstr>Dover_50°C</vt:lpstr>
      <vt:lpstr>Dover_100°C</vt:lpstr>
      <vt:lpstr>Dover_150°C</vt:lpstr>
      <vt:lpstr>Dover_PV</vt:lpstr>
      <vt:lpstr>Entete_Congel</vt:lpstr>
      <vt:lpstr>Entete_DOVER</vt:lpstr>
      <vt:lpstr>Entete_Etuve_Sechoir</vt:lpstr>
      <vt:lpstr>Entete_OMIA</vt:lpstr>
      <vt:lpstr>Sechoir_50°C!MT1_30</vt:lpstr>
      <vt:lpstr>MT1_30</vt:lpstr>
      <vt:lpstr>Sechoir_50°C!MT2_30</vt:lpstr>
      <vt:lpstr>MT2_30</vt:lpstr>
      <vt:lpstr>Sechoir_50°C!test_propagation</vt:lpstr>
      <vt:lpstr>test_propagation</vt:lpstr>
      <vt:lpstr>Congel_PV!Zone_d_impression</vt:lpstr>
      <vt:lpstr>Dover_PV!Zone_d_impression</vt:lpstr>
      <vt:lpstr>Omia_PV!Zone_d_impression</vt:lpstr>
      <vt:lpstr>Sechoir_PV!Zone_d_impression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dcterms:created xsi:type="dcterms:W3CDTF">2015-06-05T18:19:34Z</dcterms:created>
  <dcterms:modified xsi:type="dcterms:W3CDTF">2024-02-02T07:38:52Z</dcterms:modified>
</cp:coreProperties>
</file>