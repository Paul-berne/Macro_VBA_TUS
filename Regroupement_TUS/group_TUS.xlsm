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3.bin" ContentType="application/vnd.openxmlformats-officedocument.spreadsheetml.printerSettings"/>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2.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rinterSettings/printerSettings5.bin" ContentType="application/vnd.openxmlformats-officedocument.spreadsheetml.printerSettings"/>
  <Override PartName="/xl/drawings/drawing1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pberne\Desktop\projet_git\Macro_VBA_TUS\Regroupement_TUS\"/>
    </mc:Choice>
  </mc:AlternateContent>
  <xr:revisionPtr revIDLastSave="0" documentId="13_ncr:1_{F6B045CB-0AE9-439F-9F7B-4F62B1B74763}" xr6:coauthVersionLast="47" xr6:coauthVersionMax="47" xr10:uidLastSave="{00000000-0000-0000-0000-000000000000}"/>
  <workbookProtection workbookAlgorithmName="SHA-512" workbookHashValue="HcwZ3lDTC0/KqqnfOhI/vaWnhzp0ngYzXo+EyuPlYM9VkmBzhNMbYXRdvzFr3U7Wm/s2CuZk/NCEfzbMuxK+Yg==" workbookSaltValue="kfzZoKj0IFfz+pqEbAca4Q==" workbookSpinCount="100000" lockStructure="1"/>
  <bookViews>
    <workbookView xWindow="-120" yWindow="-120" windowWidth="29040" windowHeight="15840" tabRatio="887" firstSheet="2" activeTab="2" xr2:uid="{00000000-000D-0000-FFFF-FFFF00000000}"/>
  </bookViews>
  <sheets>
    <sheet name="Group-1" sheetId="17" state="hidden" r:id="rId1"/>
    <sheet name="Entete" sheetId="18" state="hidden" r:id="rId2"/>
    <sheet name="Choose_TUS" sheetId="1" r:id="rId3"/>
    <sheet name="Mesures_Congel" sheetId="2" state="hidden" r:id="rId4"/>
    <sheet name="Donnee_Congel_-30" sheetId="16" state="hidden" r:id="rId5"/>
    <sheet name="Congel_-30°C" sheetId="5" state="hidden" r:id="rId6"/>
    <sheet name="Congel_PV" sheetId="20" state="hidden" r:id="rId7"/>
    <sheet name="Verif_periodique" sheetId="19" state="hidden" r:id="rId8"/>
    <sheet name="Mesures_Omia" sheetId="4" state="hidden" r:id="rId9"/>
    <sheet name="Donnee_Omia_60" sheetId="21" state="hidden" r:id="rId10"/>
    <sheet name="Donnee_Omia_150" sheetId="22" state="hidden" r:id="rId11"/>
    <sheet name="Donnee_Omia_190" sheetId="23" state="hidden" r:id="rId12"/>
    <sheet name="Omia_60°C" sheetId="6" state="hidden" r:id="rId13"/>
    <sheet name="Omia_150°C" sheetId="7" state="hidden" r:id="rId14"/>
    <sheet name="Omia_190°C" sheetId="8" state="hidden" r:id="rId15"/>
    <sheet name="Omia_PV" sheetId="24" state="hidden" r:id="rId16"/>
    <sheet name="Mesures_Dover" sheetId="3" state="hidden" r:id="rId17"/>
    <sheet name="Donnee_Dover_50" sheetId="25" state="hidden" r:id="rId18"/>
    <sheet name="Donnee_Dover_100" sheetId="26" state="hidden" r:id="rId19"/>
    <sheet name="Donnee_Dover_150" sheetId="27" state="hidden" r:id="rId20"/>
    <sheet name="Dover_50°C" sheetId="9" state="hidden" r:id="rId21"/>
    <sheet name="Dover_100°C" sheetId="10" state="hidden" r:id="rId22"/>
    <sheet name="Dover_150°C" sheetId="11" state="hidden" r:id="rId23"/>
    <sheet name="Dover_PV" sheetId="28" state="hidden" r:id="rId24"/>
  </sheets>
  <functionGroups builtInGroupCount="19"/>
  <definedNames>
    <definedName name="Entete_Congel">Entete!$A$2:$N$21</definedName>
    <definedName name="Entete_DOVER">Entete!$A$46:$K$59</definedName>
    <definedName name="Entete_OMIA">Entete!$A$25:$O$42</definedName>
    <definedName name="MT1_30">'Congel_-30°C'!$A$11</definedName>
    <definedName name="MT2_30">'Congel_-30°C'!$A$12</definedName>
    <definedName name="test_propagation">'Congel_-30°C'!$B$11</definedName>
    <definedName name="_xlnm.Print_Area" localSheetId="6">Congel_PV!$A$1:$J$318</definedName>
    <definedName name="_xlnm.Print_Area" localSheetId="23">Dover_PV!$A$1:$O$511</definedName>
    <definedName name="_xlnm.Print_Area" localSheetId="15">Omia_PV!$A$1:$O$519</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2" i="28" l="1" a="1"/>
  <c r="B432" i="28" s="1"/>
  <c r="C411" i="28"/>
  <c r="C410" i="28"/>
  <c r="B323" i="28" a="1"/>
  <c r="B323" i="28" s="1"/>
  <c r="C301" i="28"/>
  <c r="C300" i="28"/>
  <c r="B225" i="28" a="1"/>
  <c r="B225" i="28" s="1"/>
  <c r="C202" i="28"/>
  <c r="C201" i="28"/>
  <c r="A164" i="28" a="1"/>
  <c r="A164" i="28" s="1"/>
  <c r="G118" i="28"/>
  <c r="E96" i="28" a="1"/>
  <c r="E96" i="28" s="1"/>
  <c r="C79" i="28"/>
  <c r="C73" i="28"/>
  <c r="G500" i="28"/>
  <c r="F500" i="28"/>
  <c r="E500" i="28"/>
  <c r="B402" i="28"/>
  <c r="B292" i="28"/>
  <c r="B193" i="28"/>
  <c r="G117" i="28"/>
  <c r="G116" i="28"/>
  <c r="G115" i="28"/>
  <c r="D19" i="28"/>
  <c r="G18" i="28"/>
  <c r="D18" i="28"/>
  <c r="G16" i="28"/>
  <c r="D16" i="28"/>
  <c r="G15" i="28"/>
  <c r="D15" i="28"/>
  <c r="G13" i="28"/>
  <c r="D13" i="28"/>
  <c r="G12" i="28"/>
  <c r="D12" i="28"/>
  <c r="E10" i="28"/>
  <c r="L49" i="10" l="1"/>
  <c r="L48" i="10"/>
  <c r="O48" i="11"/>
  <c r="L49" i="11"/>
  <c r="L48" i="11"/>
  <c r="C47" i="11" a="1"/>
  <c r="C47" i="11" s="1"/>
  <c r="B11" i="11" a="1"/>
  <c r="B10" i="11" a="1"/>
  <c r="B10" i="11" s="1"/>
  <c r="O50" i="11"/>
  <c r="O49" i="11"/>
  <c r="A1" i="11"/>
  <c r="L49" i="9"/>
  <c r="L48" i="9"/>
  <c r="O48" i="9"/>
  <c r="O48" i="10"/>
  <c r="A1" i="10"/>
  <c r="C47" i="10" a="1"/>
  <c r="C47" i="10" s="1"/>
  <c r="B11" i="10" a="1"/>
  <c r="B10" i="10" a="1"/>
  <c r="B10" i="10" s="1"/>
  <c r="O50" i="10"/>
  <c r="O49" i="10"/>
  <c r="C47" i="9" a="1"/>
  <c r="C47" i="9" s="1"/>
  <c r="O50" i="9"/>
  <c r="O49" i="9"/>
  <c r="B11" i="9" a="1"/>
  <c r="B10" i="9" a="1"/>
  <c r="B10" i="9" s="1"/>
  <c r="A1" i="9"/>
  <c r="A48" i="3"/>
  <c r="C104" i="28" s="1"/>
  <c r="A47" i="3"/>
  <c r="C103" i="28" s="1"/>
  <c r="A46" i="3"/>
  <c r="C102" i="28" s="1"/>
  <c r="A45" i="3"/>
  <c r="C101" i="28" s="1"/>
  <c r="A44" i="3"/>
  <c r="C100" i="28" s="1"/>
  <c r="A43" i="3"/>
  <c r="C99" i="28" s="1"/>
  <c r="A42" i="3"/>
  <c r="C98" i="28" s="1"/>
  <c r="A41" i="3"/>
  <c r="C97" i="28" s="1"/>
  <c r="A40" i="3"/>
  <c r="C96" i="28" s="1"/>
  <c r="G508" i="24"/>
  <c r="F508" i="24"/>
  <c r="E508" i="24"/>
  <c r="B410" i="24"/>
  <c r="B300" i="24"/>
  <c r="B201" i="24"/>
  <c r="C180" i="24"/>
  <c r="B180" i="24"/>
  <c r="C179" i="24"/>
  <c r="B179" i="24"/>
  <c r="C178" i="24"/>
  <c r="B178" i="24"/>
  <c r="C177" i="24"/>
  <c r="B177" i="24"/>
  <c r="C176" i="24"/>
  <c r="B176" i="24"/>
  <c r="C175" i="24"/>
  <c r="B175" i="24"/>
  <c r="C174" i="24"/>
  <c r="B174" i="24"/>
  <c r="C173" i="24"/>
  <c r="B173" i="24"/>
  <c r="C172" i="24"/>
  <c r="B172" i="24"/>
  <c r="C171" i="24"/>
  <c r="B171" i="24"/>
  <c r="C170" i="24"/>
  <c r="B170" i="24"/>
  <c r="C169" i="24"/>
  <c r="B169" i="24"/>
  <c r="C168" i="24"/>
  <c r="B168" i="24"/>
  <c r="G122" i="24"/>
  <c r="G121" i="24"/>
  <c r="G120" i="24"/>
  <c r="G119" i="24"/>
  <c r="E96" i="24" a="1"/>
  <c r="E96" i="24" s="1"/>
  <c r="D19" i="24"/>
  <c r="G18" i="24"/>
  <c r="D18" i="24"/>
  <c r="G16" i="24"/>
  <c r="D16" i="24"/>
  <c r="G15" i="24"/>
  <c r="D15" i="24"/>
  <c r="G13" i="24"/>
  <c r="D13" i="24"/>
  <c r="G12" i="24"/>
  <c r="D12" i="24"/>
  <c r="E10" i="24"/>
  <c r="B440" i="24" a="1"/>
  <c r="B440" i="24" s="1"/>
  <c r="B331" i="24" a="1"/>
  <c r="B331" i="24" s="1"/>
  <c r="B233" i="24" a="1"/>
  <c r="B233" i="24" s="1"/>
  <c r="C47" i="8" a="1"/>
  <c r="C47" i="8" s="1"/>
  <c r="B11" i="8" a="1"/>
  <c r="B11" i="8" s="1"/>
  <c r="G411" i="24" s="1"/>
  <c r="C10" i="8" a="1"/>
  <c r="C10" i="8" s="1"/>
  <c r="B10" i="8"/>
  <c r="C47" i="7" a="1"/>
  <c r="C47" i="7" s="1"/>
  <c r="B11" i="7" a="1"/>
  <c r="B11" i="7" s="1"/>
  <c r="G301" i="24" s="1"/>
  <c r="C10" i="7" a="1"/>
  <c r="C10" i="7" s="1"/>
  <c r="B10" i="7"/>
  <c r="C10" i="6" a="1"/>
  <c r="C10" i="6" s="1"/>
  <c r="B10" i="6"/>
  <c r="C47" i="6" a="1"/>
  <c r="C47" i="6" s="1"/>
  <c r="B11" i="6" a="1"/>
  <c r="B11" i="6" s="1"/>
  <c r="G202" i="24" s="1"/>
  <c r="S50" i="8"/>
  <c r="S49" i="8"/>
  <c r="P49" i="8"/>
  <c r="P48" i="8"/>
  <c r="S50" i="7"/>
  <c r="S49" i="7"/>
  <c r="P49" i="7"/>
  <c r="P48" i="7"/>
  <c r="S50" i="6"/>
  <c r="S49" i="6"/>
  <c r="P49" i="6"/>
  <c r="P48" i="6"/>
  <c r="C419" i="24"/>
  <c r="C418" i="24"/>
  <c r="C309" i="24"/>
  <c r="C308" i="24"/>
  <c r="C210" i="24"/>
  <c r="C209" i="24"/>
  <c r="S48" i="8"/>
  <c r="A1" i="8"/>
  <c r="S48" i="7"/>
  <c r="A1" i="7"/>
  <c r="S48" i="6"/>
  <c r="A1" i="6"/>
  <c r="B11" i="11" l="1"/>
  <c r="G403" i="28" s="1"/>
  <c r="H403" i="28"/>
  <c r="B11" i="10"/>
  <c r="G293" i="28" s="1"/>
  <c r="H293" i="28"/>
  <c r="B11" i="9"/>
  <c r="G194" i="28" s="1"/>
  <c r="H194" i="28"/>
  <c r="K5" i="10"/>
  <c r="I6" i="10"/>
  <c r="J6" i="10"/>
  <c r="E5" i="10"/>
  <c r="I5" i="10"/>
  <c r="H6" i="10"/>
  <c r="G6" i="10"/>
  <c r="F6" i="11"/>
  <c r="E5" i="9"/>
  <c r="F6" i="9"/>
  <c r="H6" i="9"/>
  <c r="I5" i="9"/>
  <c r="I6" i="9"/>
  <c r="J5" i="10"/>
  <c r="J5" i="9"/>
  <c r="J6" i="9"/>
  <c r="E6" i="9"/>
  <c r="F5" i="9"/>
  <c r="G6" i="9"/>
  <c r="H5" i="9"/>
  <c r="K5" i="9"/>
  <c r="K6" i="9"/>
  <c r="D6" i="10"/>
  <c r="D5" i="9"/>
  <c r="D6" i="9"/>
  <c r="G5" i="9"/>
  <c r="H6" i="11"/>
  <c r="G5" i="11"/>
  <c r="H5" i="11"/>
  <c r="G6" i="11"/>
  <c r="I5" i="11"/>
  <c r="J5" i="11"/>
  <c r="I6" i="11"/>
  <c r="K5" i="11"/>
  <c r="D5" i="11"/>
  <c r="K6" i="11"/>
  <c r="J6" i="11"/>
  <c r="E5" i="11"/>
  <c r="D6" i="11"/>
  <c r="F5" i="11"/>
  <c r="E6" i="11"/>
  <c r="D5" i="10"/>
  <c r="K6" i="10"/>
  <c r="F5" i="10"/>
  <c r="E6" i="10"/>
  <c r="G5" i="10"/>
  <c r="F6" i="10"/>
  <c r="H5" i="10"/>
  <c r="C5" i="9"/>
  <c r="C6" i="9"/>
  <c r="E5" i="6"/>
  <c r="J6" i="6"/>
  <c r="F5" i="6"/>
  <c r="G5" i="6"/>
  <c r="N5" i="6"/>
  <c r="I6" i="6"/>
  <c r="I5" i="8"/>
  <c r="D6" i="8"/>
  <c r="E6" i="8"/>
  <c r="L6" i="8"/>
  <c r="H5" i="8"/>
  <c r="M6" i="8"/>
  <c r="M5" i="6"/>
  <c r="H411" i="24"/>
  <c r="I411" i="24" s="1"/>
  <c r="J5" i="8"/>
  <c r="F6" i="8"/>
  <c r="N6" i="8"/>
  <c r="D5" i="8"/>
  <c r="L5" i="8"/>
  <c r="H6" i="8"/>
  <c r="K5" i="8"/>
  <c r="G6" i="8"/>
  <c r="O6" i="8"/>
  <c r="E5" i="8"/>
  <c r="M5" i="8"/>
  <c r="I6" i="8"/>
  <c r="F5" i="8"/>
  <c r="N5" i="8"/>
  <c r="J6" i="8"/>
  <c r="G5" i="8"/>
  <c r="O5" i="8"/>
  <c r="K6" i="8"/>
  <c r="H301" i="24"/>
  <c r="I301" i="24" s="1"/>
  <c r="F5" i="7"/>
  <c r="N5" i="7"/>
  <c r="J6" i="7"/>
  <c r="G5" i="7"/>
  <c r="O5" i="7"/>
  <c r="K6" i="7"/>
  <c r="G6" i="7"/>
  <c r="M5" i="7"/>
  <c r="I6" i="7"/>
  <c r="D6" i="7"/>
  <c r="O6" i="7"/>
  <c r="H5" i="7"/>
  <c r="L6" i="7"/>
  <c r="I5" i="7"/>
  <c r="E6" i="7"/>
  <c r="M6" i="7"/>
  <c r="J5" i="7"/>
  <c r="F6" i="7"/>
  <c r="N6" i="7"/>
  <c r="K5" i="7"/>
  <c r="D5" i="7"/>
  <c r="L5" i="7"/>
  <c r="H6" i="7"/>
  <c r="E5" i="7"/>
  <c r="H202" i="24"/>
  <c r="I202" i="24" s="1"/>
  <c r="K6" i="6"/>
  <c r="H5" i="6"/>
  <c r="D6" i="6"/>
  <c r="L6" i="6"/>
  <c r="M6" i="6"/>
  <c r="J5" i="6"/>
  <c r="F6" i="6"/>
  <c r="N6" i="6"/>
  <c r="O5" i="6"/>
  <c r="I5" i="6"/>
  <c r="K5" i="6"/>
  <c r="G6" i="6"/>
  <c r="O6" i="6"/>
  <c r="E6" i="6"/>
  <c r="D5" i="6"/>
  <c r="L5" i="6"/>
  <c r="H6" i="6"/>
  <c r="C5" i="8"/>
  <c r="C6" i="8"/>
  <c r="C5" i="7"/>
  <c r="C6" i="7"/>
  <c r="C6" i="6"/>
  <c r="C5" i="6"/>
  <c r="F54" i="9" l="1"/>
  <c r="E54" i="9"/>
  <c r="I403" i="28"/>
  <c r="I293" i="28"/>
  <c r="I194" i="28"/>
  <c r="J54" i="10"/>
  <c r="E54" i="10"/>
  <c r="I54" i="9"/>
  <c r="G54" i="9"/>
  <c r="I54" i="10"/>
  <c r="H54" i="9"/>
  <c r="O54" i="8"/>
  <c r="L54" i="8"/>
  <c r="F54" i="6"/>
  <c r="D54" i="9"/>
  <c r="H54" i="10"/>
  <c r="K54" i="10"/>
  <c r="D54" i="10"/>
  <c r="F54" i="11"/>
  <c r="G54" i="10"/>
  <c r="J54" i="9"/>
  <c r="K54" i="9"/>
  <c r="J54" i="11"/>
  <c r="C11" i="9" a="1"/>
  <c r="C11" i="9" s="1"/>
  <c r="C54" i="9"/>
  <c r="I54" i="11"/>
  <c r="E54" i="11"/>
  <c r="F54" i="10"/>
  <c r="G54" i="11"/>
  <c r="D54" i="11"/>
  <c r="K54" i="11"/>
  <c r="H54" i="11"/>
  <c r="C6" i="11"/>
  <c r="C5" i="11"/>
  <c r="C5" i="10"/>
  <c r="C6" i="10"/>
  <c r="G54" i="8"/>
  <c r="N54" i="7"/>
  <c r="E54" i="6"/>
  <c r="J54" i="6"/>
  <c r="F54" i="8"/>
  <c r="N54" i="8"/>
  <c r="D54" i="8"/>
  <c r="H54" i="8"/>
  <c r="E54" i="7"/>
  <c r="O54" i="7"/>
  <c r="K54" i="7"/>
  <c r="G54" i="7"/>
  <c r="E54" i="8"/>
  <c r="J54" i="7"/>
  <c r="I54" i="6"/>
  <c r="G54" i="6"/>
  <c r="N54" i="6"/>
  <c r="M54" i="6"/>
  <c r="K54" i="8"/>
  <c r="I54" i="8"/>
  <c r="M54" i="8"/>
  <c r="F54" i="7"/>
  <c r="M54" i="7"/>
  <c r="K54" i="6"/>
  <c r="J54" i="8"/>
  <c r="L54" i="7"/>
  <c r="D54" i="7"/>
  <c r="I54" i="7"/>
  <c r="H54" i="7"/>
  <c r="H54" i="6"/>
  <c r="O54" i="6"/>
  <c r="L54" i="6"/>
  <c r="C11" i="6" a="1"/>
  <c r="C11" i="6" s="1"/>
  <c r="C54" i="6"/>
  <c r="D54" i="6"/>
  <c r="C11" i="8" a="1"/>
  <c r="C54" i="8"/>
  <c r="C54" i="7"/>
  <c r="C11" i="7" a="1"/>
  <c r="C11" i="7" s="1"/>
  <c r="B232" i="28" l="1" a="1"/>
  <c r="B232" i="28" s="1"/>
  <c r="C11" i="11" a="1"/>
  <c r="C11" i="11" s="1"/>
  <c r="C54" i="11"/>
  <c r="B439" i="28" s="1" a="1"/>
  <c r="B439" i="28" s="1"/>
  <c r="C11" i="10" a="1"/>
  <c r="C11" i="10" s="1"/>
  <c r="C54" i="10"/>
  <c r="B330" i="28" s="1" a="1"/>
  <c r="B330" i="28" s="1"/>
  <c r="D50" i="9"/>
  <c r="C228" i="28" s="1"/>
  <c r="K49" i="9"/>
  <c r="J227" i="28" s="1"/>
  <c r="J48" i="9"/>
  <c r="I226" i="28" s="1"/>
  <c r="K50" i="9"/>
  <c r="J228" i="28" s="1"/>
  <c r="J49" i="9"/>
  <c r="I227" i="28" s="1"/>
  <c r="I48" i="9"/>
  <c r="H226" i="28" s="1"/>
  <c r="J50" i="9"/>
  <c r="I228" i="28" s="1"/>
  <c r="I49" i="9"/>
  <c r="H227" i="28" s="1"/>
  <c r="H48" i="9"/>
  <c r="G226" i="28" s="1"/>
  <c r="I50" i="9"/>
  <c r="H228" i="28" s="1"/>
  <c r="H49" i="9"/>
  <c r="G227" i="28" s="1"/>
  <c r="G48" i="9"/>
  <c r="F226" i="28" s="1"/>
  <c r="H50" i="9"/>
  <c r="G228" i="28" s="1"/>
  <c r="G49" i="9"/>
  <c r="F227" i="28" s="1"/>
  <c r="F48" i="9"/>
  <c r="E226" i="28" s="1"/>
  <c r="G50" i="9"/>
  <c r="F228" i="28" s="1"/>
  <c r="F49" i="9"/>
  <c r="E227" i="28" s="1"/>
  <c r="E48" i="9"/>
  <c r="D226" i="28" s="1"/>
  <c r="F50" i="9"/>
  <c r="E228" i="28" s="1"/>
  <c r="E49" i="9"/>
  <c r="D227" i="28" s="1"/>
  <c r="D48" i="9"/>
  <c r="C226" i="28" s="1"/>
  <c r="E50" i="9"/>
  <c r="D228" i="28" s="1"/>
  <c r="D49" i="9"/>
  <c r="C227" i="28" s="1"/>
  <c r="K48" i="9"/>
  <c r="J226" i="28" s="1"/>
  <c r="B447" i="24" a="1"/>
  <c r="B447" i="24" s="1"/>
  <c r="C11" i="8"/>
  <c r="C50" i="8" s="1"/>
  <c r="I48" i="8"/>
  <c r="O49" i="8"/>
  <c r="M48" i="8"/>
  <c r="D48" i="8"/>
  <c r="K49" i="8"/>
  <c r="J50" i="8"/>
  <c r="E48" i="8"/>
  <c r="M50" i="8"/>
  <c r="J48" i="8"/>
  <c r="I49" i="8"/>
  <c r="N48" i="8"/>
  <c r="H48" i="8"/>
  <c r="E50" i="8"/>
  <c r="N50" i="8"/>
  <c r="G49" i="8"/>
  <c r="L50" i="8"/>
  <c r="E49" i="8"/>
  <c r="N49" i="8"/>
  <c r="G48" i="8"/>
  <c r="K50" i="8"/>
  <c r="I50" i="8"/>
  <c r="L49" i="8"/>
  <c r="F48" i="8"/>
  <c r="D50" i="8"/>
  <c r="L48" i="8"/>
  <c r="F49" i="8"/>
  <c r="H50" i="8"/>
  <c r="J49" i="8"/>
  <c r="K48" i="8"/>
  <c r="M49" i="8"/>
  <c r="G50" i="8"/>
  <c r="O48" i="8"/>
  <c r="D49" i="8"/>
  <c r="F50" i="8"/>
  <c r="O50" i="8"/>
  <c r="H49" i="8"/>
  <c r="B338" i="24" a="1"/>
  <c r="B338" i="24" s="1"/>
  <c r="B240" i="24" a="1"/>
  <c r="B240" i="24" s="1"/>
  <c r="L50" i="7"/>
  <c r="D50" i="7"/>
  <c r="K49" i="7"/>
  <c r="J48" i="7"/>
  <c r="H49" i="7"/>
  <c r="G48" i="7"/>
  <c r="E50" i="7"/>
  <c r="D49" i="7"/>
  <c r="K50" i="7"/>
  <c r="J49" i="7"/>
  <c r="I48" i="7"/>
  <c r="N50" i="7"/>
  <c r="F50" i="7"/>
  <c r="M49" i="7"/>
  <c r="E49" i="7"/>
  <c r="L48" i="7"/>
  <c r="D48" i="7"/>
  <c r="L49" i="7"/>
  <c r="J50" i="7"/>
  <c r="I49" i="7"/>
  <c r="H48" i="7"/>
  <c r="I50" i="7"/>
  <c r="O48" i="7"/>
  <c r="M50" i="7"/>
  <c r="K48" i="7"/>
  <c r="H50" i="7"/>
  <c r="O49" i="7"/>
  <c r="G49" i="7"/>
  <c r="N48" i="7"/>
  <c r="F48" i="7"/>
  <c r="O50" i="7"/>
  <c r="G50" i="7"/>
  <c r="N49" i="7"/>
  <c r="F49" i="7"/>
  <c r="M48" i="7"/>
  <c r="E48" i="7"/>
  <c r="H51" i="7" l="1"/>
  <c r="K51" i="8"/>
  <c r="F50" i="11"/>
  <c r="I49" i="11"/>
  <c r="D48" i="11"/>
  <c r="K50" i="11"/>
  <c r="F49" i="11"/>
  <c r="E50" i="11"/>
  <c r="H49" i="11"/>
  <c r="K48" i="11"/>
  <c r="I48" i="11"/>
  <c r="J49" i="11"/>
  <c r="D50" i="11"/>
  <c r="G49" i="11"/>
  <c r="J48" i="11"/>
  <c r="J50" i="11"/>
  <c r="E49" i="11"/>
  <c r="H48" i="11"/>
  <c r="H50" i="11"/>
  <c r="K49" i="11"/>
  <c r="G50" i="11"/>
  <c r="E48" i="11"/>
  <c r="I50" i="11"/>
  <c r="D49" i="11"/>
  <c r="G48" i="11"/>
  <c r="F48" i="11"/>
  <c r="H50" i="10"/>
  <c r="K49" i="10"/>
  <c r="F48" i="10"/>
  <c r="E50" i="10"/>
  <c r="K48" i="10"/>
  <c r="G50" i="10"/>
  <c r="J49" i="10"/>
  <c r="E48" i="10"/>
  <c r="H49" i="10"/>
  <c r="F50" i="10"/>
  <c r="I49" i="10"/>
  <c r="D48" i="10"/>
  <c r="E49" i="10"/>
  <c r="D49" i="10"/>
  <c r="D50" i="10"/>
  <c r="G49" i="10"/>
  <c r="J48" i="10"/>
  <c r="J50" i="10"/>
  <c r="H48" i="10"/>
  <c r="I50" i="10"/>
  <c r="K50" i="10"/>
  <c r="F49" i="10"/>
  <c r="I48" i="10"/>
  <c r="G48" i="10"/>
  <c r="D51" i="9"/>
  <c r="C229" i="28" s="1"/>
  <c r="G51" i="9"/>
  <c r="F229" i="28" s="1"/>
  <c r="K51" i="9"/>
  <c r="J229" i="28" s="1"/>
  <c r="F51" i="9"/>
  <c r="E229" i="28" s="1"/>
  <c r="J51" i="9"/>
  <c r="I229" i="28" s="1"/>
  <c r="I51" i="9"/>
  <c r="H229" i="28" s="1"/>
  <c r="C49" i="9"/>
  <c r="E501" i="28" s="1"/>
  <c r="C50" i="9"/>
  <c r="C48" i="9"/>
  <c r="E502" i="28" s="1"/>
  <c r="E51" i="9"/>
  <c r="D229" i="28" s="1"/>
  <c r="H51" i="9"/>
  <c r="G229" i="28" s="1"/>
  <c r="H51" i="8"/>
  <c r="C49" i="8"/>
  <c r="D51" i="8"/>
  <c r="L51" i="8"/>
  <c r="E51" i="8"/>
  <c r="J51" i="8"/>
  <c r="O51" i="8"/>
  <c r="I51" i="8"/>
  <c r="F51" i="8"/>
  <c r="G51" i="8"/>
  <c r="N51" i="8"/>
  <c r="M51" i="8"/>
  <c r="C48" i="8"/>
  <c r="C421" i="24" s="1"/>
  <c r="C53" i="8"/>
  <c r="C423" i="24"/>
  <c r="F51" i="7"/>
  <c r="O51" i="7"/>
  <c r="L51" i="7"/>
  <c r="J51" i="7"/>
  <c r="K51" i="7"/>
  <c r="N51" i="7"/>
  <c r="G51" i="7"/>
  <c r="E51" i="7"/>
  <c r="M51" i="7"/>
  <c r="I51" i="7"/>
  <c r="C49" i="7"/>
  <c r="C48" i="7"/>
  <c r="C50" i="7"/>
  <c r="C53" i="7" s="1"/>
  <c r="D51" i="7"/>
  <c r="K50" i="6"/>
  <c r="J236" i="24" s="1"/>
  <c r="J49" i="6"/>
  <c r="I235" i="24" s="1"/>
  <c r="I48" i="6"/>
  <c r="H234" i="24" s="1"/>
  <c r="J50" i="6"/>
  <c r="I236" i="24" s="1"/>
  <c r="I50" i="6"/>
  <c r="H236" i="24" s="1"/>
  <c r="H49" i="6"/>
  <c r="G235" i="24" s="1"/>
  <c r="O48" i="6"/>
  <c r="N234" i="24" s="1"/>
  <c r="G48" i="6"/>
  <c r="F234" i="24" s="1"/>
  <c r="D50" i="6"/>
  <c r="C236" i="24" s="1"/>
  <c r="I49" i="6"/>
  <c r="H235" i="24" s="1"/>
  <c r="H48" i="6"/>
  <c r="G234" i="24" s="1"/>
  <c r="H50" i="6"/>
  <c r="G236" i="24" s="1"/>
  <c r="O49" i="6"/>
  <c r="N235" i="24" s="1"/>
  <c r="G49" i="6"/>
  <c r="F235" i="24" s="1"/>
  <c r="N48" i="6"/>
  <c r="M234" i="24" s="1"/>
  <c r="F48" i="6"/>
  <c r="E234" i="24" s="1"/>
  <c r="O50" i="6"/>
  <c r="N236" i="24" s="1"/>
  <c r="G50" i="6"/>
  <c r="F236" i="24" s="1"/>
  <c r="N49" i="6"/>
  <c r="M235" i="24" s="1"/>
  <c r="F49" i="6"/>
  <c r="E235" i="24" s="1"/>
  <c r="M48" i="6"/>
  <c r="L234" i="24" s="1"/>
  <c r="E48" i="6"/>
  <c r="D234" i="24" s="1"/>
  <c r="L50" i="6"/>
  <c r="K236" i="24" s="1"/>
  <c r="K49" i="6"/>
  <c r="J235" i="24" s="1"/>
  <c r="J48" i="6"/>
  <c r="I234" i="24" s="1"/>
  <c r="N50" i="6"/>
  <c r="M236" i="24" s="1"/>
  <c r="F50" i="6"/>
  <c r="E236" i="24" s="1"/>
  <c r="M49" i="6"/>
  <c r="L235" i="24" s="1"/>
  <c r="E49" i="6"/>
  <c r="D235" i="24" s="1"/>
  <c r="L48" i="6"/>
  <c r="K234" i="24" s="1"/>
  <c r="D48" i="6"/>
  <c r="C234" i="24" s="1"/>
  <c r="M50" i="6"/>
  <c r="L236" i="24" s="1"/>
  <c r="E50" i="6"/>
  <c r="D236" i="24" s="1"/>
  <c r="L49" i="6"/>
  <c r="K235" i="24" s="1"/>
  <c r="D49" i="6"/>
  <c r="C235" i="24" s="1"/>
  <c r="K48" i="6"/>
  <c r="J234" i="24" s="1"/>
  <c r="C53" i="9" l="1"/>
  <c r="E503" i="28" s="1"/>
  <c r="C206" i="28"/>
  <c r="B228" i="28"/>
  <c r="C205" i="28"/>
  <c r="B227" i="28"/>
  <c r="E205" i="28" a="1"/>
  <c r="E205" i="28" s="1"/>
  <c r="B226" i="28"/>
  <c r="E504" i="28"/>
  <c r="E204" i="28" a="1"/>
  <c r="E204" i="28" s="1"/>
  <c r="C204" i="28"/>
  <c r="E203" i="28" a="1"/>
  <c r="E203" i="28" s="1"/>
  <c r="C203" i="28"/>
  <c r="I51" i="10"/>
  <c r="E51" i="10"/>
  <c r="H51" i="11"/>
  <c r="G51" i="11"/>
  <c r="G51" i="10"/>
  <c r="K51" i="11"/>
  <c r="J51" i="11"/>
  <c r="E51" i="11"/>
  <c r="D51" i="11"/>
  <c r="F51" i="11"/>
  <c r="C48" i="11"/>
  <c r="G502" i="28" s="1"/>
  <c r="C50" i="11"/>
  <c r="C49" i="11"/>
  <c r="G501" i="28" s="1"/>
  <c r="I51" i="11"/>
  <c r="J51" i="10"/>
  <c r="K51" i="10"/>
  <c r="D51" i="10"/>
  <c r="C49" i="10"/>
  <c r="F501" i="28" s="1"/>
  <c r="C48" i="10"/>
  <c r="F502" i="28" s="1"/>
  <c r="C50" i="10"/>
  <c r="C53" i="10" s="1"/>
  <c r="F503" i="28" s="1"/>
  <c r="H51" i="10"/>
  <c r="F51" i="10"/>
  <c r="C51" i="9"/>
  <c r="B229" i="28" s="1"/>
  <c r="C52" i="9"/>
  <c r="C51" i="8"/>
  <c r="B441" i="24" s="1" a="1"/>
  <c r="B441" i="24" s="1"/>
  <c r="G512" i="24"/>
  <c r="C422" i="24"/>
  <c r="C52" i="8"/>
  <c r="G507" i="24" s="1"/>
  <c r="G510" i="24"/>
  <c r="G509" i="24"/>
  <c r="E422" i="24" a="1"/>
  <c r="E422" i="24" s="1"/>
  <c r="F422" i="24" s="1"/>
  <c r="E421" i="24" a="1"/>
  <c r="E421" i="24" s="1"/>
  <c r="F421" i="24" s="1"/>
  <c r="C420" i="24"/>
  <c r="E420" i="24" a="1"/>
  <c r="E420" i="24" s="1"/>
  <c r="F420" i="24" s="1"/>
  <c r="B446" i="24"/>
  <c r="G511" i="24"/>
  <c r="F511" i="24"/>
  <c r="B337" i="24"/>
  <c r="E310" i="24" a="1"/>
  <c r="E310" i="24" s="1"/>
  <c r="C310" i="24"/>
  <c r="F512" i="24"/>
  <c r="C313" i="24"/>
  <c r="F510" i="24"/>
  <c r="C312" i="24"/>
  <c r="E311" i="24" a="1"/>
  <c r="E311" i="24" s="1"/>
  <c r="C311" i="24"/>
  <c r="E312" i="24" a="1"/>
  <c r="E312" i="24" s="1"/>
  <c r="F509" i="24"/>
  <c r="L51" i="6"/>
  <c r="K237" i="24" s="1"/>
  <c r="N51" i="6"/>
  <c r="M237" i="24" s="1"/>
  <c r="I51" i="6"/>
  <c r="H237" i="24" s="1"/>
  <c r="H51" i="6"/>
  <c r="G237" i="24" s="1"/>
  <c r="J51" i="6"/>
  <c r="I237" i="24" s="1"/>
  <c r="O51" i="6"/>
  <c r="N237" i="24" s="1"/>
  <c r="D51" i="6"/>
  <c r="C237" i="24" s="1"/>
  <c r="F51" i="6"/>
  <c r="E237" i="24" s="1"/>
  <c r="G51" i="6"/>
  <c r="F237" i="24" s="1"/>
  <c r="C51" i="7"/>
  <c r="B332" i="24" s="1" a="1"/>
  <c r="B332" i="24" s="1"/>
  <c r="C52" i="7"/>
  <c r="E51" i="6"/>
  <c r="D237" i="24" s="1"/>
  <c r="K51" i="6"/>
  <c r="J237" i="24" s="1"/>
  <c r="M51" i="6"/>
  <c r="L237" i="24" s="1"/>
  <c r="C50" i="6"/>
  <c r="C49" i="6"/>
  <c r="C48" i="6"/>
  <c r="C53" i="11" l="1"/>
  <c r="G503" i="28" s="1"/>
  <c r="C415" i="28"/>
  <c r="C413" i="28"/>
  <c r="E412" i="28" a="1"/>
  <c r="E412" i="28" s="1"/>
  <c r="C412" i="28"/>
  <c r="G504" i="28"/>
  <c r="E413" i="28" a="1"/>
  <c r="E413" i="28" s="1"/>
  <c r="B329" i="28"/>
  <c r="F504" i="28"/>
  <c r="C304" i="28"/>
  <c r="E303" i="28" a="1"/>
  <c r="E303" i="28" s="1"/>
  <c r="C303" i="28"/>
  <c r="E302" i="28" a="1"/>
  <c r="E302" i="28" s="1"/>
  <c r="C302" i="28"/>
  <c r="C305" i="28"/>
  <c r="B231" i="28"/>
  <c r="E304" i="28" a="1"/>
  <c r="E304" i="28" s="1"/>
  <c r="E499" i="28"/>
  <c r="B230" i="28"/>
  <c r="D203" i="28"/>
  <c r="F203" i="28"/>
  <c r="D205" i="28"/>
  <c r="F205" i="28"/>
  <c r="E414" i="28" a="1"/>
  <c r="E414" i="28" s="1"/>
  <c r="C414" i="28"/>
  <c r="D204" i="28"/>
  <c r="F204" i="28"/>
  <c r="C52" i="11"/>
  <c r="C51" i="11"/>
  <c r="B433" i="28" s="1" a="1"/>
  <c r="B433" i="28" s="1"/>
  <c r="C51" i="10"/>
  <c r="B324" i="28" s="1" a="1"/>
  <c r="B324" i="28" s="1"/>
  <c r="C52" i="10"/>
  <c r="D421" i="24"/>
  <c r="B445" i="24"/>
  <c r="D422" i="24"/>
  <c r="D420" i="24"/>
  <c r="F311" i="24"/>
  <c r="D311" i="24"/>
  <c r="B336" i="24"/>
  <c r="F507" i="24"/>
  <c r="F310" i="24"/>
  <c r="D310" i="24"/>
  <c r="D312" i="24"/>
  <c r="F312" i="24"/>
  <c r="C53" i="6"/>
  <c r="C214" i="24"/>
  <c r="B236" i="24"/>
  <c r="C211" i="24"/>
  <c r="E512" i="24"/>
  <c r="E211" i="24" a="1"/>
  <c r="E211" i="24" s="1"/>
  <c r="E212" i="24" a="1"/>
  <c r="E212" i="24" s="1"/>
  <c r="C212" i="24"/>
  <c r="B234" i="24"/>
  <c r="E510" i="24"/>
  <c r="E509" i="24"/>
  <c r="E213" i="24" a="1"/>
  <c r="E213" i="24" s="1"/>
  <c r="B235" i="24"/>
  <c r="C213" i="24"/>
  <c r="C51" i="6"/>
  <c r="B237" i="24" s="1"/>
  <c r="C52" i="6"/>
  <c r="F413" i="28" l="1"/>
  <c r="D413" i="28"/>
  <c r="D304" i="28"/>
  <c r="F304" i="28"/>
  <c r="F499" i="28"/>
  <c r="B328" i="28"/>
  <c r="D414" i="28"/>
  <c r="F414" i="28"/>
  <c r="G499" i="28"/>
  <c r="B437" i="28"/>
  <c r="F412" i="28"/>
  <c r="D412" i="28"/>
  <c r="D302" i="28"/>
  <c r="F302" i="28"/>
  <c r="B438" i="28"/>
  <c r="F303" i="28"/>
  <c r="D303" i="28"/>
  <c r="D212" i="24"/>
  <c r="F212" i="24"/>
  <c r="F211" i="24"/>
  <c r="D211" i="24"/>
  <c r="D213" i="24"/>
  <c r="F213" i="24"/>
  <c r="E507" i="24"/>
  <c r="B238" i="24"/>
  <c r="B239" i="24"/>
  <c r="E511" i="24"/>
  <c r="A56" i="4" l="1"/>
  <c r="C108" i="24" s="1"/>
  <c r="A55" i="4"/>
  <c r="C107" i="24" s="1"/>
  <c r="A54" i="4"/>
  <c r="C106" i="24" s="1"/>
  <c r="A53" i="4"/>
  <c r="C105" i="24" s="1"/>
  <c r="A52" i="4"/>
  <c r="C104" i="24" s="1"/>
  <c r="A51" i="4"/>
  <c r="C103" i="24" s="1"/>
  <c r="A50" i="4"/>
  <c r="C102" i="24" s="1"/>
  <c r="A49" i="4"/>
  <c r="C101" i="24" s="1"/>
  <c r="A48" i="4"/>
  <c r="C100" i="24" s="1"/>
  <c r="A47" i="4"/>
  <c r="C99" i="24" s="1"/>
  <c r="A46" i="4"/>
  <c r="C98" i="24" s="1"/>
  <c r="A45" i="4"/>
  <c r="C97" i="24" s="1"/>
  <c r="A44" i="4"/>
  <c r="C96" i="24" s="1"/>
  <c r="F34" i="19" l="1"/>
  <c r="G34" i="19" s="1"/>
  <c r="F31" i="19"/>
  <c r="G31" i="19" s="1"/>
  <c r="F28" i="19"/>
  <c r="G28" i="19" s="1"/>
  <c r="A24" i="19"/>
  <c r="K36" i="19"/>
  <c r="K37" i="19" s="1"/>
  <c r="B34" i="19"/>
  <c r="B31" i="19"/>
  <c r="B15" i="19"/>
  <c r="I11" i="19" s="1"/>
  <c r="B14" i="19"/>
  <c r="H11" i="19" s="1"/>
  <c r="B13" i="19"/>
  <c r="C13" i="19" s="1" a="1"/>
  <c r="C13" i="19" s="1"/>
  <c r="C22" i="19" s="1"/>
  <c r="G122" i="20"/>
  <c r="G121" i="20"/>
  <c r="G120" i="20"/>
  <c r="G119" i="20"/>
  <c r="E306" i="20"/>
  <c r="E304" i="20"/>
  <c r="C234" i="20" a="1"/>
  <c r="C234" i="20" s="1"/>
  <c r="H202" i="20" a="1"/>
  <c r="H202" i="20" s="1"/>
  <c r="G202" i="20" a="1"/>
  <c r="G202" i="20" s="1"/>
  <c r="A200" i="20" a="1"/>
  <c r="A200" i="20" s="1"/>
  <c r="A167" i="20" a="1"/>
  <c r="A167" i="20" s="1"/>
  <c r="D96" i="20" a="1"/>
  <c r="D96" i="20" s="1"/>
  <c r="G18" i="20"/>
  <c r="D19" i="20"/>
  <c r="D18" i="20"/>
  <c r="G16" i="20"/>
  <c r="G15" i="20"/>
  <c r="D16" i="20"/>
  <c r="D15" i="20"/>
  <c r="G13" i="20"/>
  <c r="G12" i="20"/>
  <c r="D13" i="20"/>
  <c r="D12" i="20"/>
  <c r="E10" i="20"/>
  <c r="E303" i="20"/>
  <c r="B10" i="5" a="1"/>
  <c r="B10" i="5" s="1"/>
  <c r="O17" i="5"/>
  <c r="O16" i="5"/>
  <c r="O15" i="5"/>
  <c r="R17" i="5"/>
  <c r="R16" i="5"/>
  <c r="C209" i="20" l="1"/>
  <c r="C210" i="20"/>
  <c r="H10" i="19"/>
  <c r="C15" i="19" a="1"/>
  <c r="C15" i="19" s="1"/>
  <c r="C20" i="19" s="1"/>
  <c r="I15" i="19"/>
  <c r="C14" i="19" a="1"/>
  <c r="C14" i="19" s="1"/>
  <c r="C21" i="19" s="1"/>
  <c r="G13" i="19"/>
  <c r="C31" i="19"/>
  <c r="G10" i="19"/>
  <c r="H14" i="19"/>
  <c r="C34" i="19"/>
  <c r="I10" i="19"/>
  <c r="G11" i="19"/>
  <c r="C28" i="19"/>
  <c r="C14" i="5" a="1"/>
  <c r="C14" i="5" s="1"/>
  <c r="I202" i="20"/>
  <c r="D31" i="19"/>
  <c r="D28" i="19"/>
  <c r="D34" i="19"/>
  <c r="E31" i="19" l="1"/>
  <c r="I31" i="19" s="1"/>
  <c r="E34" i="19"/>
  <c r="I34" i="19" s="1"/>
  <c r="E28" i="19"/>
  <c r="I28" i="19" s="1"/>
  <c r="H31" i="19" l="1"/>
  <c r="H28" i="19"/>
  <c r="H34" i="19"/>
  <c r="C11" i="5" a="1"/>
  <c r="C11" i="5" s="1"/>
  <c r="B11" i="5" a="1"/>
  <c r="B11" i="5" s="1"/>
  <c r="A28" i="19" s="1"/>
  <c r="A1" i="5"/>
  <c r="A34" i="19" l="1"/>
  <c r="A31" i="19"/>
  <c r="I6" i="5"/>
  <c r="M5" i="5"/>
  <c r="E5" i="5"/>
  <c r="H6" i="5"/>
  <c r="L5" i="5"/>
  <c r="D5" i="5"/>
  <c r="G6" i="5"/>
  <c r="K5" i="5"/>
  <c r="N5" i="5"/>
  <c r="N6" i="5"/>
  <c r="F6" i="5"/>
  <c r="J5" i="5"/>
  <c r="M6" i="5"/>
  <c r="E6" i="5"/>
  <c r="I5" i="5"/>
  <c r="D6" i="5"/>
  <c r="H5" i="5"/>
  <c r="K6" i="5"/>
  <c r="G5" i="5"/>
  <c r="J6" i="5"/>
  <c r="F5" i="5"/>
  <c r="L6" i="5"/>
  <c r="L15" i="5" l="1" a="1"/>
  <c r="L15" i="5" s="1"/>
  <c r="N17" i="5"/>
  <c r="F245" i="20" s="1" a="1"/>
  <c r="F245" i="20" s="1"/>
  <c r="D18" i="5"/>
  <c r="H235" i="20" s="1" a="1"/>
  <c r="H235" i="20" s="1"/>
  <c r="D16" i="5"/>
  <c r="G235" i="20" s="1" a="1"/>
  <c r="G235" i="20" s="1"/>
  <c r="D15" i="5" a="1"/>
  <c r="D15" i="5" s="1"/>
  <c r="D17" i="5"/>
  <c r="F235" i="20" s="1" a="1"/>
  <c r="F235" i="20" s="1"/>
  <c r="D22" i="5"/>
  <c r="H17" i="5"/>
  <c r="F239" i="20" s="1" a="1"/>
  <c r="F239" i="20" s="1"/>
  <c r="H16" i="5"/>
  <c r="G239" i="20" s="1" a="1"/>
  <c r="G239" i="20" s="1"/>
  <c r="H15" i="5" a="1"/>
  <c r="H15" i="5" s="1"/>
  <c r="H22" i="5"/>
  <c r="H18" i="5"/>
  <c r="H239" i="20" s="1" a="1"/>
  <c r="H239" i="20" s="1"/>
  <c r="I17" i="5"/>
  <c r="F240" i="20" s="1" a="1"/>
  <c r="F240" i="20" s="1"/>
  <c r="I18" i="5"/>
  <c r="H240" i="20" s="1" a="1"/>
  <c r="H240" i="20" s="1"/>
  <c r="I15" i="5" a="1"/>
  <c r="I15" i="5" s="1"/>
  <c r="I22" i="5"/>
  <c r="I16" i="5"/>
  <c r="G240" i="20" s="1" a="1"/>
  <c r="G240" i="20" s="1"/>
  <c r="F15" i="5" a="1"/>
  <c r="F15" i="5" s="1"/>
  <c r="F17" i="5"/>
  <c r="F237" i="20" s="1" a="1"/>
  <c r="F237" i="20" s="1"/>
  <c r="F16" i="5"/>
  <c r="G237" i="20" s="1" a="1"/>
  <c r="G237" i="20" s="1"/>
  <c r="F18" i="5"/>
  <c r="H237" i="20" s="1" a="1"/>
  <c r="H237" i="20" s="1"/>
  <c r="F22" i="5"/>
  <c r="N16" i="5"/>
  <c r="N18" i="5"/>
  <c r="H245" i="20" s="1" a="1"/>
  <c r="H245" i="20" s="1"/>
  <c r="N15" i="5" a="1"/>
  <c r="N15" i="5" s="1"/>
  <c r="N22" i="5"/>
  <c r="K22" i="5"/>
  <c r="K15" i="5" a="1"/>
  <c r="K15" i="5" s="1"/>
  <c r="K17" i="5"/>
  <c r="F242" i="20" s="1" a="1"/>
  <c r="F242" i="20" s="1"/>
  <c r="K16" i="5"/>
  <c r="G242" i="20" s="1" a="1"/>
  <c r="G242" i="20" s="1"/>
  <c r="K18" i="5"/>
  <c r="H242" i="20" s="1" a="1"/>
  <c r="H242" i="20" s="1"/>
  <c r="L18" i="5"/>
  <c r="H243" i="20" s="1" a="1"/>
  <c r="H243" i="20" s="1"/>
  <c r="L22" i="5"/>
  <c r="L17" i="5"/>
  <c r="F243" i="20" s="1" a="1"/>
  <c r="F243" i="20" s="1"/>
  <c r="L16" i="5"/>
  <c r="G243" i="20" s="1" a="1"/>
  <c r="G243" i="20" s="1"/>
  <c r="J22" i="5"/>
  <c r="J17" i="5"/>
  <c r="F241" i="20" s="1" a="1"/>
  <c r="F241" i="20" s="1"/>
  <c r="J15" i="5" a="1"/>
  <c r="J15" i="5" s="1"/>
  <c r="J16" i="5"/>
  <c r="G241" i="20" s="1" a="1"/>
  <c r="G241" i="20" s="1"/>
  <c r="J18" i="5"/>
  <c r="H241" i="20" s="1" a="1"/>
  <c r="H241" i="20" s="1"/>
  <c r="G15" i="5" a="1"/>
  <c r="G15" i="5" s="1"/>
  <c r="G16" i="5"/>
  <c r="G238" i="20" s="1" a="1"/>
  <c r="G238" i="20" s="1"/>
  <c r="G22" i="5"/>
  <c r="G17" i="5"/>
  <c r="F238" i="20" s="1" a="1"/>
  <c r="F238" i="20" s="1"/>
  <c r="G18" i="5"/>
  <c r="H238" i="20" s="1" a="1"/>
  <c r="H238" i="20" s="1"/>
  <c r="E18" i="5"/>
  <c r="H236" i="20" s="1" a="1"/>
  <c r="H236" i="20" s="1"/>
  <c r="E15" i="5" a="1"/>
  <c r="E15" i="5" s="1"/>
  <c r="E16" i="5"/>
  <c r="G236" i="20" s="1" a="1"/>
  <c r="G236" i="20" s="1"/>
  <c r="E22" i="5"/>
  <c r="E17" i="5"/>
  <c r="F236" i="20" s="1" a="1"/>
  <c r="F236" i="20" s="1"/>
  <c r="M15" i="5" a="1"/>
  <c r="M15" i="5" s="1"/>
  <c r="M16" i="5"/>
  <c r="G244" i="20" s="1" a="1"/>
  <c r="G244" i="20" s="1"/>
  <c r="M22" i="5"/>
  <c r="M18" i="5"/>
  <c r="H244" i="20" s="1" a="1"/>
  <c r="H244" i="20" s="1"/>
  <c r="M17" i="5"/>
  <c r="F244" i="20" s="1" a="1"/>
  <c r="F244" i="20" s="1"/>
  <c r="C5" i="5"/>
  <c r="C6" i="5"/>
  <c r="N19" i="5" l="1"/>
  <c r="I245" i="20" s="1" a="1"/>
  <c r="I245" i="20" s="1"/>
  <c r="G245" i="20" a="1"/>
  <c r="G245" i="20" s="1"/>
  <c r="F19" i="5"/>
  <c r="I237" i="20" s="1" a="1"/>
  <c r="I237" i="20" s="1"/>
  <c r="D19" i="5"/>
  <c r="I235" i="20" s="1" a="1"/>
  <c r="I235" i="20" s="1"/>
  <c r="M19" i="5"/>
  <c r="I244" i="20" s="1" a="1"/>
  <c r="I244" i="20" s="1"/>
  <c r="I19" i="5"/>
  <c r="I240" i="20" s="1" a="1"/>
  <c r="I240" i="20" s="1"/>
  <c r="H19" i="5"/>
  <c r="I239" i="20" s="1" a="1"/>
  <c r="I239" i="20" s="1"/>
  <c r="E19" i="5"/>
  <c r="I236" i="20" s="1" a="1"/>
  <c r="I236" i="20" s="1"/>
  <c r="J19" i="5"/>
  <c r="I241" i="20" s="1" a="1"/>
  <c r="I241" i="20" s="1"/>
  <c r="G19" i="5"/>
  <c r="I238" i="20" s="1" a="1"/>
  <c r="I238" i="20" s="1"/>
  <c r="C22" i="5"/>
  <c r="C15" i="5" a="1"/>
  <c r="C15" i="5" s="1"/>
  <c r="C18" i="5"/>
  <c r="C16" i="5"/>
  <c r="C17" i="5"/>
  <c r="K19" i="5"/>
  <c r="I242" i="20" s="1" a="1"/>
  <c r="I242" i="20" s="1"/>
  <c r="L19" i="5"/>
  <c r="I243" i="20" s="1" a="1"/>
  <c r="I243" i="20" s="1"/>
  <c r="F297" i="20" l="1"/>
  <c r="E307" i="20" s="1"/>
  <c r="C21" i="5"/>
  <c r="H234" i="20" a="1"/>
  <c r="H234" i="20" s="1"/>
  <c r="C212" i="20"/>
  <c r="E212" i="20" s="1" a="1"/>
  <c r="E212" i="20" s="1"/>
  <c r="F212" i="20" s="1"/>
  <c r="G234" i="20" a="1"/>
  <c r="G234" i="20" s="1"/>
  <c r="C213" i="20"/>
  <c r="E213" i="20" s="1" a="1"/>
  <c r="E213" i="20" s="1"/>
  <c r="F213" i="20" s="1"/>
  <c r="F234" i="20" a="1"/>
  <c r="F234" i="20" s="1"/>
  <c r="C211" i="20"/>
  <c r="E211" i="20" s="1" a="1"/>
  <c r="E211" i="20" s="1"/>
  <c r="C20" i="5"/>
  <c r="E305" i="20" s="1"/>
  <c r="C19" i="5"/>
  <c r="I234" i="20" l="1" a="1"/>
  <c r="I234" i="20" s="1"/>
  <c r="C214" i="20"/>
  <c r="D212" i="20"/>
  <c r="D213" i="20"/>
  <c r="D211" i="20"/>
  <c r="F211" i="20"/>
  <c r="A53" i="2" l="1"/>
  <c r="A52" i="2"/>
  <c r="A51" i="2"/>
  <c r="A50" i="2"/>
  <c r="A49" i="2"/>
  <c r="A48" i="2"/>
  <c r="A47" i="2"/>
  <c r="A46" i="2"/>
  <c r="A45" i="2"/>
  <c r="A44" i="2"/>
  <c r="A43" i="2"/>
  <c r="A42" i="2"/>
  <c r="C96" i="20" l="1" a="1"/>
  <c r="C96" i="2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<sst xmlns="http://schemas.openxmlformats.org/spreadsheetml/2006/main" count="1179" uniqueCount="311">
  <si>
    <t>Constat de niveau de vérification :</t>
  </si>
  <si>
    <t>Date de début d'essai :</t>
  </si>
  <si>
    <t>Heure de début :</t>
  </si>
  <si>
    <t>Site</t>
  </si>
  <si>
    <t>Rédacteur</t>
  </si>
  <si>
    <t>Date d'émission du PV</t>
  </si>
  <si>
    <t>Périodicité</t>
  </si>
  <si>
    <t>Consignes</t>
  </si>
  <si>
    <t>Tolérances +/-</t>
  </si>
  <si>
    <t>Positions</t>
  </si>
  <si>
    <t>Équipement de contrôle</t>
  </si>
  <si>
    <t>Rapport d’homogénéité (T.U.S.)
Congélateur « maturation retardée » POLE FROID</t>
  </si>
  <si>
    <t>Thermocouples</t>
  </si>
  <si>
    <t>SONDES</t>
  </si>
  <si>
    <t>Annuelle</t>
  </si>
  <si>
    <t>N° voie Enregistreur</t>
  </si>
  <si>
    <t>Numéro de série</t>
  </si>
  <si>
    <t>Décalage Enregistreur</t>
  </si>
  <si>
    <t>CONSTAT DE 
VERIFICATION</t>
  </si>
  <si>
    <t>Date de fin d'essai :</t>
  </si>
  <si>
    <t>Heure de fin :</t>
  </si>
  <si>
    <t>Contrôleur -Technicien</t>
  </si>
  <si>
    <t>Nombres de pages</t>
  </si>
  <si>
    <t>Validité du contrôle</t>
  </si>
  <si>
    <t>Décalage TC</t>
  </si>
  <si>
    <t>Certificat
d'étalonnage</t>
  </si>
  <si>
    <t>validité
jusqu'au</t>
  </si>
  <si>
    <t>Matériel de vérification</t>
  </si>
  <si>
    <t>Enregistreur Portable</t>
  </si>
  <si>
    <t>REGULATION DU GROUPE FROID DE DEVANT</t>
  </si>
  <si>
    <t>REGULATION DU GROUPE FROID DU FOND</t>
  </si>
  <si>
    <t>ENREGISTREUR</t>
  </si>
  <si>
    <t>SAT</t>
  </si>
  <si>
    <t>Certificat d'étalonnage</t>
  </si>
  <si>
    <t>LECTURE DE L'INSTRUMENT 
EN °C</t>
  </si>
  <si>
    <t>Date d'étalonnage</t>
  </si>
  <si>
    <t>Fin de validité d'étalonnage</t>
  </si>
  <si>
    <t>Date/Heure</t>
  </si>
  <si>
    <t>Connecteur 1</t>
  </si>
  <si>
    <t>Connecteur 2</t>
  </si>
  <si>
    <t>Connecteur 3</t>
  </si>
  <si>
    <t>Connecteur 4</t>
  </si>
  <si>
    <t>Connecteur 5</t>
  </si>
  <si>
    <t>Connecteur 6</t>
  </si>
  <si>
    <t>Connecteur 7</t>
  </si>
  <si>
    <t>Connecteur 8</t>
  </si>
  <si>
    <t>Connecteur 9</t>
  </si>
  <si>
    <t>Connecteur 10</t>
  </si>
  <si>
    <t>Connecteur 11</t>
  </si>
  <si>
    <t>Connecteur 12</t>
  </si>
  <si>
    <t>Rapport d’homogénéité (T.U.S.) ET S.A.T
Étude de polymérisation peinture ENATT</t>
  </si>
  <si>
    <t>Décalage Enregistreur
60°C</t>
  </si>
  <si>
    <t>Décalage Enregistreur
150°C</t>
  </si>
  <si>
    <t>Décalage Enregistreur
190°C</t>
  </si>
  <si>
    <t>Décalage TC
60°C</t>
  </si>
  <si>
    <t>Décalage TC
150°C</t>
  </si>
  <si>
    <t>Décalage TC
190°C</t>
  </si>
  <si>
    <t>Appareil</t>
  </si>
  <si>
    <t>Nom=</t>
  </si>
  <si>
    <t>6100 PORTABLE</t>
  </si>
  <si>
    <t>Numéro de série=</t>
  </si>
  <si>
    <t>Version de logiciel=</t>
  </si>
  <si>
    <t>5.7</t>
  </si>
  <si>
    <t>Adresse MAC=</t>
  </si>
  <si>
    <t>00:0A:8D:81:66:7D</t>
  </si>
  <si>
    <t>Langue=</t>
  </si>
  <si>
    <t>fr</t>
  </si>
  <si>
    <t>Pays=</t>
  </si>
  <si>
    <t>FR</t>
  </si>
  <si>
    <t>Fuseau horaire=</t>
  </si>
  <si>
    <t>GMT</t>
  </si>
  <si>
    <t>Groupe</t>
  </si>
  <si>
    <t>Group 1</t>
  </si>
  <si>
    <t>TC1</t>
  </si>
  <si>
    <t>Bas=</t>
  </si>
  <si>
    <t>Haut=</t>
  </si>
  <si>
    <t>Unités=</t>
  </si>
  <si>
    <t>°C</t>
  </si>
  <si>
    <t>TC2</t>
  </si>
  <si>
    <t>TC3</t>
  </si>
  <si>
    <t>TC4</t>
  </si>
  <si>
    <t>TC5</t>
  </si>
  <si>
    <t>TC6</t>
  </si>
  <si>
    <t>TC7</t>
  </si>
  <si>
    <t>TC8</t>
  </si>
  <si>
    <t>TC9</t>
  </si>
  <si>
    <t>TC10</t>
  </si>
  <si>
    <t>TC11</t>
  </si>
  <si>
    <t>TC12</t>
  </si>
  <si>
    <t>TC13</t>
  </si>
  <si>
    <t>TC14</t>
  </si>
  <si>
    <t>TC15</t>
  </si>
  <si>
    <t>Congel</t>
  </si>
  <si>
    <t>Étuve OMIA</t>
  </si>
  <si>
    <t>Décalage Enreg.</t>
  </si>
  <si>
    <t>Valeurs corrigées</t>
  </si>
  <si>
    <t>Temps de maintien</t>
  </si>
  <si>
    <t>DEPASSEMENT</t>
  </si>
  <si>
    <t>MAX 30</t>
  </si>
  <si>
    <t>Tolérance haute</t>
  </si>
  <si>
    <t>MIN 30</t>
  </si>
  <si>
    <t>Tolérance basse</t>
  </si>
  <si>
    <t>MOYENNE 30</t>
  </si>
  <si>
    <t>AMPLITUDE</t>
  </si>
  <si>
    <t>HOMOGENEITE</t>
  </si>
  <si>
    <t>MOY</t>
  </si>
  <si>
    <t>Ecartype 30</t>
  </si>
  <si>
    <t>VERIFICATION PERIODIQUE DES CHAINES PYROMETRIQUES DU CONGELATEUR POLE FROID</t>
  </si>
  <si>
    <t xml:space="preserve">PROCEDURE DE VERIFICATION : </t>
  </si>
  <si>
    <t>AFIN DE VERIFIER LES CHAINES PYROMETRIQUES DU CONGELATEUR, IL FAUT PLACER UNE SONDE TEST AU PLUS PRES DE CHAQUE SONDE DE TRAVAIL.</t>
  </si>
  <si>
    <t>LES MESURES DOIVENT ETRE FAITES LORSQUE LA TEMPERATURE DU CONGELATEUR EST STABILISEE.</t>
  </si>
  <si>
    <t>LA VERIFICATION SE FAIT SUR LES 3 CHAINES PYROMETRIQUES DU CONGELATEUR</t>
  </si>
  <si>
    <t>MATERIEL DE VERIFICATION</t>
  </si>
  <si>
    <t>DESIGNATION</t>
  </si>
  <si>
    <t>N° DE SERIE</t>
  </si>
  <si>
    <t xml:space="preserve"> - APPAREIL DE LECTURE : </t>
  </si>
  <si>
    <t>ENREG. TEMP. PORT.</t>
  </si>
  <si>
    <t xml:space="preserve"> PL1707000191-0817-PL3 Z19</t>
  </si>
  <si>
    <r>
      <t xml:space="preserve">FACTEUR DE CORRECTION DE L'APPAREIL EN °C : </t>
    </r>
    <r>
      <rPr>
        <b/>
        <sz val="12"/>
        <rFont val="Calibri"/>
        <family val="2"/>
      </rPr>
      <t>(F)</t>
    </r>
  </si>
  <si>
    <t>Position</t>
  </si>
  <si>
    <r>
      <t xml:space="preserve">FACTEUR DE CORRECTION DE L'APPAREIL EN °C : </t>
    </r>
    <r>
      <rPr>
        <b/>
        <sz val="12"/>
        <rFont val="Calibri"/>
        <family val="2"/>
      </rPr>
      <t>(E)</t>
    </r>
  </si>
  <si>
    <t>INSTRUMENTATION SUR LE CONGELATEUR POLE FROID</t>
  </si>
  <si>
    <t>REGULATEUR DU GROUPE FROID DE DEVANT</t>
  </si>
  <si>
    <r>
      <t xml:space="preserve">FACTEUR DE CORRECTION/OFFSET DE L'INSTRUMENT EN °C : </t>
    </r>
    <r>
      <rPr>
        <b/>
        <sz val="12"/>
        <rFont val="Calibri"/>
        <family val="2"/>
      </rPr>
      <t>(B)</t>
    </r>
  </si>
  <si>
    <t xml:space="preserve"> - SONDE REGULATION DU GROUPE FROID DE DEVANT</t>
  </si>
  <si>
    <t>REGULATEUR DU GROUPE FROID DU FOND</t>
  </si>
  <si>
    <t xml:space="preserve"> - SONDE REGULATION DU GROUPE FROID DU FOND</t>
  </si>
  <si>
    <t>ENREGISTREUR CONGELATEUR POLE FROID</t>
  </si>
  <si>
    <t xml:space="preserve"> - SONDE ENREGISTREMENT</t>
  </si>
  <si>
    <t>CONFORMITE</t>
  </si>
  <si>
    <t>DATE / HEURE</t>
  </si>
  <si>
    <t>NOM</t>
  </si>
  <si>
    <t>SONDE TEST</t>
  </si>
  <si>
    <r>
      <rPr>
        <sz val="12"/>
        <rFont val="Calibri"/>
        <family val="2"/>
      </rPr>
      <t xml:space="preserve">LECTURE DE L'APPAREIL 
EN °C : </t>
    </r>
    <r>
      <rPr>
        <b/>
        <sz val="12"/>
        <rFont val="Calibri"/>
        <family val="2"/>
      </rPr>
      <t>(D)</t>
    </r>
  </si>
  <si>
    <r>
      <t xml:space="preserve">LECTURE DE L'APPAREIL 
CORRIGE EN °C : 
</t>
    </r>
    <r>
      <rPr>
        <b/>
        <sz val="12"/>
        <rFont val="Calibri"/>
        <family val="2"/>
      </rPr>
      <t>(G) = (D+E+F)</t>
    </r>
  </si>
  <si>
    <r>
      <rPr>
        <sz val="12"/>
        <rFont val="Calibri"/>
        <family val="2"/>
      </rPr>
      <t xml:space="preserve">LECTURE DE L'INSTRUMENT 
EN °C : </t>
    </r>
    <r>
      <rPr>
        <b/>
        <sz val="12"/>
        <rFont val="Calibri"/>
        <family val="2"/>
      </rPr>
      <t>(A)</t>
    </r>
  </si>
  <si>
    <r>
      <rPr>
        <sz val="12"/>
        <rFont val="Calibri"/>
        <family val="2"/>
      </rPr>
      <t xml:space="preserve">LECTURE DE L'INSTRUMENT CORRIGE EN °C : 
</t>
    </r>
    <r>
      <rPr>
        <b/>
        <sz val="12"/>
        <rFont val="Calibri"/>
        <family val="2"/>
      </rPr>
      <t>(C) = (A+B)</t>
    </r>
  </si>
  <si>
    <r>
      <t xml:space="preserve">ECART EN °C : </t>
    </r>
    <r>
      <rPr>
        <b/>
        <sz val="12"/>
        <rFont val="Calibri"/>
        <family val="2"/>
      </rPr>
      <t>(C-G)</t>
    </r>
  </si>
  <si>
    <t>CONFORME /
NON CONFORME</t>
  </si>
  <si>
    <t>E.LAGASSY</t>
  </si>
  <si>
    <t>SI RESULTATS NON CONFORMES, AVERTIR LE SERVICE QUALITE</t>
  </si>
  <si>
    <t>Vérifié le :</t>
  </si>
  <si>
    <t xml:space="preserve"> </t>
  </si>
  <si>
    <t>A vérifier le :</t>
  </si>
  <si>
    <t>RAPPORT D'HOMOGENEITE (T.U.S.) FREGATE AERO CONGÉLATEUR "Maturation retardée" POLE FROID</t>
  </si>
  <si>
    <t>Constat de vérification N°</t>
  </si>
  <si>
    <t>Date d'émission :</t>
  </si>
  <si>
    <t>Périodicité :</t>
  </si>
  <si>
    <t>Nombres de pages :</t>
  </si>
  <si>
    <t>Validité du contrôle :</t>
  </si>
  <si>
    <t>Rédacteur :</t>
  </si>
  <si>
    <t>Technicien (s) :</t>
  </si>
  <si>
    <t>Site :</t>
  </si>
  <si>
    <t>1. Objet</t>
  </si>
  <si>
    <t xml:space="preserve">
Ce rapport présente les résultats et les conclusions de l’essai du contrôle d’homogénéité thermique du congélateur « maturation retardée » POLE FROID.
Pour la réalisation de cet essai, l’exploitation des enregistrements et l’interprétation des résultats, nous avons appliqué les recommandations des référentiels suivants :
 - DGQT 0.8.3.0016 (Conservation au froid après trempe des alliages d’aluminium) indice B
 - IGC 04.63.105 (Vérification périodique des installations de traitement thermique et de polymérisation) indice C4</t>
  </si>
  <si>
    <t>2. Désignation du matériel à vérifier</t>
  </si>
  <si>
    <t>1 – Informations générales</t>
  </si>
  <si>
    <t>Type : Enceinte frigorifique</t>
  </si>
  <si>
    <t>Identification fabricant : SCS ZF 09</t>
  </si>
  <si>
    <t>Marque : POLE FROID</t>
  </si>
  <si>
    <t>Températures (mini et maxi) d’utilisation : -35°C à ambiante</t>
  </si>
  <si>
    <t>Identification interne : Congélateur POLE FROID</t>
  </si>
  <si>
    <t>Atmosphère : Air</t>
  </si>
  <si>
    <t>2 – Instrumentation</t>
  </si>
  <si>
    <t>Régulateur du groupe froid de devant : PROCOLD2 - CAREL</t>
  </si>
  <si>
    <t>Enregistreur : MEMO200 - ELIWELL</t>
  </si>
  <si>
    <t>Régulateur du groupe froid de derrière : PROCOLD2 – CAREL</t>
  </si>
  <si>
    <t>3 – Installation</t>
  </si>
  <si>
    <t>Le congélateur dispose de 3 sondes de température résidentes.</t>
  </si>
  <si>
    <t>Dimensions intérieures du congélateur (L*P*H) : 950*3200*1800mm</t>
  </si>
  <si>
    <t>-1 TC REGULATEUR GROUPE FROID DEVANT TYPE PT 100</t>
  </si>
  <si>
    <r>
      <t>Volume intérieur : 5,5 m</t>
    </r>
    <r>
      <rPr>
        <vertAlign val="superscript"/>
        <sz val="16"/>
        <color rgb="FF000000"/>
        <rFont val="Calibri"/>
        <family val="2"/>
        <scheme val="minor"/>
      </rPr>
      <t>3</t>
    </r>
  </si>
  <si>
    <t>-1 TC REGULATEUR GROUPE FROID DERRIERE TYPE PT 100</t>
  </si>
  <si>
    <t xml:space="preserve">Dimensions utiles du congélateur (L*P*H) : 950*3200*1200mm </t>
  </si>
  <si>
    <t>-1 TC ENREGISTREUR TYPE N</t>
  </si>
  <si>
    <r>
      <t>Volume utile : 3,6 m</t>
    </r>
    <r>
      <rPr>
        <vertAlign val="superscript"/>
        <sz val="16"/>
        <color rgb="FF000000"/>
        <rFont val="Calibri"/>
        <family val="2"/>
        <scheme val="minor"/>
      </rPr>
      <t>3</t>
    </r>
  </si>
  <si>
    <t>La sonde du REGULATEUR GROUPE FROID DEVANT est située à l’arrière du congélateur et celle du REGULATEUR GROUPE FROID DERRIERE est située à l’avant.</t>
  </si>
  <si>
    <t>3. Désignation du matériel de vérification</t>
  </si>
  <si>
    <t>1 – Thermocouples</t>
  </si>
  <si>
    <t>Nombre de thermocouples : 9</t>
  </si>
  <si>
    <t>Type : N</t>
  </si>
  <si>
    <t>Diamètre : 1,5 mm</t>
  </si>
  <si>
    <t>Longueur : 5000 mm</t>
  </si>
  <si>
    <t>Aucune défaillance des thermocouples n’a été relevée durant le test d’homogénéité.</t>
  </si>
  <si>
    <t>2 – Enregistreur</t>
  </si>
  <si>
    <t xml:space="preserve">N° certificat étalonnage : </t>
  </si>
  <si>
    <t xml:space="preserve">Marque : </t>
  </si>
  <si>
    <t>EUROTHERM</t>
  </si>
  <si>
    <t>Date d’étalonnage :</t>
  </si>
  <si>
    <t xml:space="preserve">Modèle : </t>
  </si>
  <si>
    <t>6100 Portable</t>
  </si>
  <si>
    <t>Fin de validité d’étalonnage :</t>
  </si>
  <si>
    <t xml:space="preserve">N° série : </t>
  </si>
  <si>
    <t>PL1707000191-0817-PL3 Z19</t>
  </si>
  <si>
    <t xml:space="preserve">Tolérance : </t>
  </si>
  <si>
    <t>4. Déroulement de la vérification</t>
  </si>
  <si>
    <t xml:space="preserve">5. Implantation des thermocouples dans le congélateur </t>
  </si>
  <si>
    <r>
      <t xml:space="preserve">6. Résultats et exploitation des résultats à </t>
    </r>
    <r>
      <rPr>
        <b/>
        <sz val="28"/>
        <color rgb="FF000000"/>
        <rFont val="Calibri"/>
        <family val="2"/>
        <scheme val="minor"/>
      </rPr>
      <t>-30°C</t>
    </r>
    <r>
      <rPr>
        <sz val="28"/>
        <color rgb="FF000000"/>
        <rFont val="Calibri"/>
        <family val="2"/>
        <scheme val="minor"/>
      </rPr>
      <t xml:space="preserve"> </t>
    </r>
  </si>
  <si>
    <t>Régime d'équilibre</t>
  </si>
  <si>
    <t>Début</t>
  </si>
  <si>
    <t>Fin</t>
  </si>
  <si>
    <t>Durée</t>
  </si>
  <si>
    <t>1 – Relevés de mesure du matériel de vérification</t>
  </si>
  <si>
    <t>Désignation</t>
  </si>
  <si>
    <t>Valeur</t>
  </si>
  <si>
    <t>voie/
Connecteur</t>
  </si>
  <si>
    <t>N° THERMOCOUPLE</t>
  </si>
  <si>
    <t>Température de stockage désirée</t>
  </si>
  <si>
    <t>X</t>
  </si>
  <si>
    <t>Température de consigne</t>
  </si>
  <si>
    <t>Régime
 d'équilibre</t>
  </si>
  <si>
    <t>Température maximale du point le plus chaud</t>
  </si>
  <si>
    <t>Température minimale du point le plus chaud</t>
  </si>
  <si>
    <t>Température minimale du point le plus froid</t>
  </si>
  <si>
    <t>Température moyenne</t>
  </si>
  <si>
    <r>
      <t xml:space="preserve">7. Résultats et exploitation des résultats à </t>
    </r>
    <r>
      <rPr>
        <b/>
        <sz val="28"/>
        <color rgb="FF000000"/>
        <rFont val="Calibri"/>
        <family val="2"/>
        <scheme val="minor"/>
      </rPr>
      <t>-30°C</t>
    </r>
    <r>
      <rPr>
        <sz val="28"/>
        <color rgb="FF000000"/>
        <rFont val="Calibri"/>
        <family val="2"/>
        <scheme val="minor"/>
      </rPr>
      <t xml:space="preserve"> </t>
    </r>
  </si>
  <si>
    <t>2 – Relevés corrigés de chaque thermocouple de vérification</t>
  </si>
  <si>
    <t>N°Voie
enregistreur</t>
  </si>
  <si>
    <t>MIN (°C)</t>
  </si>
  <si>
    <t>Max(°C)</t>
  </si>
  <si>
    <t>Moyenne (°C)</t>
  </si>
  <si>
    <t>Amplitude (°C)</t>
  </si>
  <si>
    <r>
      <t xml:space="preserve">8. Résultats et exploitation des résultats à </t>
    </r>
    <r>
      <rPr>
        <b/>
        <sz val="28"/>
        <color rgb="FF000000"/>
        <rFont val="Calibri"/>
        <family val="2"/>
        <scheme val="minor"/>
      </rPr>
      <t>-30°C</t>
    </r>
    <r>
      <rPr>
        <sz val="28"/>
        <color rgb="FF000000"/>
        <rFont val="Calibri"/>
        <family val="2"/>
        <scheme val="minor"/>
      </rPr>
      <t xml:space="preserve"> </t>
    </r>
  </si>
  <si>
    <t>3 – Courbe</t>
  </si>
  <si>
    <t>9. Conclusions</t>
  </si>
  <si>
    <r>
      <t xml:space="preserve">Le congélateur « maturation retardée » POLE FROID est déclaré </t>
    </r>
    <r>
      <rPr>
        <b/>
        <sz val="18"/>
        <color rgb="FF70AD47"/>
        <rFont val="Calibri"/>
        <family val="2"/>
        <scheme val="minor"/>
      </rPr>
      <t xml:space="preserve">
</t>
    </r>
    <r>
      <rPr>
        <b/>
        <sz val="18"/>
        <color rgb="FF000000"/>
        <rFont val="Calibri"/>
        <family val="2"/>
        <scheme val="minor"/>
      </rPr>
      <t xml:space="preserve"> aux tolérances requises, à savoir : 
Classe 2 (± 5°C) à -30°C</t>
    </r>
  </si>
  <si>
    <t>Température nominale de traitement désiré</t>
  </si>
  <si>
    <t>Température de Consigne</t>
  </si>
  <si>
    <t>Homogénéité en régime d'équilibre</t>
  </si>
  <si>
    <t>Tolérance requise</t>
  </si>
  <si>
    <t>Conformité avec la tolérance requise</t>
  </si>
  <si>
    <t>Classe de l'installation</t>
  </si>
  <si>
    <t>Trimestrielle</t>
  </si>
  <si>
    <t>Mensuelle</t>
  </si>
  <si>
    <t>Connecteur 13</t>
  </si>
  <si>
    <t>Ce rapport présente les résultats et les conclusions de l’essai du contrôle d’homogénéité thermique de l’étuve de polymérisation de peinture Omia sur le site de La Voulte.
Les résultats de la SAT sont également formalisés dans ce rapport (contrôle de dérive de la chaîne pyrométrique du régulateur de température).
Pour la réalisation de cet essai, l’exploitation des enregistrements et l’interprétation des résultats, nous avons appliqué les recommandations des référentiels suivants :
IGC 04.63.105 (Vérification périodique des installations de traitement thermique et de polymérisation) indice C4</t>
  </si>
  <si>
    <t>Type : Etuve ventilée</t>
  </si>
  <si>
    <t>Identification fabricant : AF002141C</t>
  </si>
  <si>
    <t>Marque : OMIA</t>
  </si>
  <si>
    <t>Températures (mini et maxi) d’utilisation : 60°C à 200°C</t>
  </si>
  <si>
    <t>Identification interne : Etuve de polymérisation Omia</t>
  </si>
  <si>
    <t>Régulateur : PXG4 Fuji electric France</t>
  </si>
  <si>
    <t>Paramètres du régulateur (PID) : P = 10 ; I = 205 ; d = 0</t>
  </si>
  <si>
    <t>L’étuve possède 1 thermocouple résident :</t>
  </si>
  <si>
    <r>
      <t>-</t>
    </r>
    <r>
      <rPr>
        <sz val="16"/>
        <color rgb="FF000000"/>
        <rFont val="Calibri"/>
        <family val="2"/>
        <scheme val="minor"/>
      </rPr>
      <t xml:space="preserve">1x TC REGULATEUR </t>
    </r>
  </si>
  <si>
    <t>Dimensions intérieures du four (L*P*H) : 4,1 x 3,36 x 2,8 m</t>
  </si>
  <si>
    <t>Nombre de thermocouples : 13</t>
  </si>
  <si>
    <t>Diamètre : 1,5mm</t>
  </si>
  <si>
    <t>Longueur : 5000mm</t>
  </si>
  <si>
    <t>5. Localisation des thermocouples de contrôle</t>
  </si>
  <si>
    <r>
      <t xml:space="preserve">6. Résultats et exploitation des résultats à </t>
    </r>
    <r>
      <rPr>
        <b/>
        <sz val="28"/>
        <color rgb="FF000000"/>
        <rFont val="Calibri"/>
        <family val="2"/>
        <scheme val="minor"/>
      </rPr>
      <t>60°C</t>
    </r>
  </si>
  <si>
    <t>Consigne</t>
  </si>
  <si>
    <t>Tolérance</t>
  </si>
  <si>
    <r>
      <t xml:space="preserve">7. Résultats et exploitation des résultats à </t>
    </r>
    <r>
      <rPr>
        <b/>
        <sz val="28"/>
        <color rgb="FF000000"/>
        <rFont val="Calibri"/>
        <family val="2"/>
        <scheme val="minor"/>
      </rPr>
      <t>60°C</t>
    </r>
  </si>
  <si>
    <r>
      <t xml:space="preserve">8. Résultats et exploitation des résultats à </t>
    </r>
    <r>
      <rPr>
        <b/>
        <sz val="28"/>
        <color rgb="FF000000"/>
        <rFont val="Calibri"/>
        <family val="2"/>
        <scheme val="minor"/>
      </rPr>
      <t>60°C</t>
    </r>
  </si>
  <si>
    <r>
      <t>7. Résultats et exploitation des résultats à 15</t>
    </r>
    <r>
      <rPr>
        <b/>
        <sz val="28"/>
        <color rgb="FF000000"/>
        <rFont val="Calibri"/>
        <family val="2"/>
        <scheme val="minor"/>
      </rPr>
      <t>0°C</t>
    </r>
  </si>
  <si>
    <r>
      <t>8. Résultats et exploitation des résultats à 15</t>
    </r>
    <r>
      <rPr>
        <b/>
        <sz val="28"/>
        <color rgb="FF000000"/>
        <rFont val="Calibri"/>
        <family val="2"/>
        <scheme val="minor"/>
      </rPr>
      <t>0°C</t>
    </r>
  </si>
  <si>
    <t>60°C</t>
  </si>
  <si>
    <t>150°C</t>
  </si>
  <si>
    <t>190°C</t>
  </si>
  <si>
    <t>Conformité avec la tolérance basse requise</t>
  </si>
  <si>
    <t>Conformité avec la tolérance haute requise</t>
  </si>
  <si>
    <t>Conformité avec la tolérance requise sur la moyenne</t>
  </si>
  <si>
    <t>Tus du Congélateur</t>
  </si>
  <si>
    <t>Tus de l'étuve OMIA</t>
  </si>
  <si>
    <t>Tus de l'étuve DOVER</t>
  </si>
  <si>
    <t/>
  </si>
  <si>
    <t>Veuillez choisir une TUS</t>
  </si>
  <si>
    <t>Décalage Enregistreur
50°C</t>
  </si>
  <si>
    <t>Décalage Enregistreur
100°C</t>
  </si>
  <si>
    <t>Décalage TC
50°C</t>
  </si>
  <si>
    <t>Décalage TC
100°C</t>
  </si>
  <si>
    <t>Étuve DOVER</t>
  </si>
  <si>
    <t>Rapport d’homogénéité (T.U.S.) 
FREGATE AERO
Etude de polymérisation peinture ENATT</t>
  </si>
  <si>
    <t>Rapport d’homogénéité (T.U.S.) 
FREGATE AERO
Etuve DOUVER N°1614</t>
  </si>
  <si>
    <t xml:space="preserve">Ce rapport présente les résultats et les conclusions de l’essai du contrôle d’homogénéité thermique de l'étuve Dover  N°1614.
Pour la réalisation de cet essai, l’exploitation des enregistrements et l’interprétation des résultats, nous avons appliqué les recommandations des référentiels suivants :
          - MQUA06 (Caractérisation du four de traitement thermique) 
          - AMS 2750 (Pyrometry) 
          - DGQT 0.4.2.0376 (Qualification et contrôle des installations de traitement thermique) 
Au sens de la norme AMS 2750, le four est défini comme suit :
                                  -  Classe 1 (± 5°C) de 50 à 150°C
                                  - 1 zone de chauffe
                                  - Instrumentation type C, soit 1 thermocouple de régulation
                                  - Traitement de pièces </t>
  </si>
  <si>
    <t>2-Désignation du matériel à vérifier</t>
  </si>
  <si>
    <t>A – Informations générales</t>
  </si>
  <si>
    <t>B – Instrumentation</t>
  </si>
  <si>
    <t>Type:</t>
  </si>
  <si>
    <t>Etuve Ventilée</t>
  </si>
  <si>
    <t xml:space="preserve">Régulateur Chauffe : </t>
  </si>
  <si>
    <t>Marque :</t>
  </si>
  <si>
    <t>ETUVE DOVER</t>
  </si>
  <si>
    <t xml:space="preserve">Régulateur Sécurité : </t>
  </si>
  <si>
    <t>Identification interne:</t>
  </si>
  <si>
    <t>THITEC</t>
  </si>
  <si>
    <t xml:space="preserve">Enregistreur : </t>
  </si>
  <si>
    <t>Identification fabricant :</t>
  </si>
  <si>
    <t xml:space="preserve">Date de mise en service : </t>
  </si>
  <si>
    <t xml:space="preserve">Températures (mini et maxi) d’utilisation : </t>
  </si>
  <si>
    <t>50°C à 150°C</t>
  </si>
  <si>
    <t xml:space="preserve">Atmosphère : </t>
  </si>
  <si>
    <t>Air</t>
  </si>
  <si>
    <t xml:space="preserve">Puissance : </t>
  </si>
  <si>
    <t>C- Installation</t>
  </si>
  <si>
    <t xml:space="preserve"> - 1 TC REGULATION TYPE N</t>
  </si>
  <si>
    <t>NA</t>
  </si>
  <si>
    <t>Dimensions intérieures du four</t>
  </si>
  <si>
    <t>L (mm)</t>
  </si>
  <si>
    <t>P (mm)</t>
  </si>
  <si>
    <t>H (mm)</t>
  </si>
  <si>
    <t>Volume (dm³)</t>
  </si>
  <si>
    <t>Dimensions utiles du four</t>
  </si>
  <si>
    <r>
      <t>6. Résultats et exploitation des résultats à 5</t>
    </r>
    <r>
      <rPr>
        <b/>
        <sz val="28"/>
        <color rgb="FF000000"/>
        <rFont val="Calibri"/>
        <family val="2"/>
        <scheme val="minor"/>
      </rPr>
      <t>0°C</t>
    </r>
  </si>
  <si>
    <t>7. Résultats et exploitation des résultats à 50°C</t>
  </si>
  <si>
    <t>8. Résultats et exploitation des résultats à 50°C</t>
  </si>
  <si>
    <t>7. Résultats et exploitation des résultats à 100°C</t>
  </si>
  <si>
    <t>8. Résultats et exploitation des résultats à 100°C</t>
  </si>
  <si>
    <t>50°C</t>
  </si>
  <si>
    <t>100°C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</si>
</sst>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
  </numFmts>
  <fonts count="44" x14ac:knownFonts="1">
    <font>
      <sz val="11"/>
      <color theme="1"/>
      <name val="Calibri"/>
      <family val="2"/>
      <scheme val="minor"/>
    </font>
    <font>
      <sz val="11"/>
      <color theme="0"/>
      <name val="Calibri"/>
      <family val="2"/>
      <scheme val="minor"/>
    </font>
    <font>
      <sz val="35"/>
      <color rgb="FF000000"/>
      <name val="Calibri Light"/>
      <family val="2"/>
    </font>
    <font>
      <sz val="44"/>
      <color rgb="FF000000"/>
      <name val="Calibri Light"/>
      <family val="2"/>
    </font>
    <font>
      <sz val="10"/>
      <name val="Arial"/>
      <family val="2"/>
    </font>
    <font>
      <b/>
      <sz val="20"/>
      <color theme="1"/>
      <name val="Calibri"/>
      <family val="2"/>
      <scheme val="minor"/>
    </font>
    <font>
      <sz val="11"/>
      <color rgb="FF006100"/>
      <name val="Calibri"/>
      <family val="2"/>
      <scheme val="minor"/>
    </font>
    <font>
      <sz val="11"/>
      <color rgb="FF9C5700"/>
      <name val="Calibri"/>
      <family val="2"/>
      <scheme val="minor"/>
    </font>
    <font>
      <b/>
      <sz val="30"/>
      <color theme="1"/>
      <name val="Calibri"/>
      <family val="2"/>
      <scheme val="minor"/>
    </font>
    <font>
      <sz val="12"/>
      <name val="Calibri"/>
      <family val="2"/>
      <scheme val="minor"/>
    </font>
    <font>
      <sz val="22"/>
      <name val="Calibri"/>
      <family val="2"/>
      <scheme val="minor"/>
    </font>
    <font>
      <b/>
      <u/>
      <sz val="12"/>
      <name val="Calibri"/>
      <family val="2"/>
      <scheme val="minor"/>
    </font>
    <font>
      <b/>
      <sz val="12"/>
      <name val="Calibri"/>
      <family val="2"/>
    </font>
    <font>
      <b/>
      <sz val="12"/>
      <name val="Calibri"/>
      <family val="2"/>
      <scheme val="minor"/>
    </font>
    <font>
      <sz val="12"/>
      <name val="Calibri"/>
      <family val="2"/>
    </font>
    <font>
      <sz val="14"/>
      <color rgb="FF006100"/>
      <name val="Calibri"/>
      <family val="2"/>
      <scheme val="minor"/>
    </font>
    <font>
      <sz val="14"/>
      <color rgb="FF9C6500"/>
      <name val="Calibri"/>
      <family val="2"/>
      <scheme val="minor"/>
    </font>
    <font>
      <b/>
      <u/>
      <sz val="20"/>
      <color theme="1"/>
      <name val="Calibri"/>
      <family val="2"/>
      <scheme val="minor"/>
    </font>
    <font>
      <sz val="16"/>
      <color theme="1"/>
      <name val="Calibri"/>
      <family val="2"/>
      <scheme val="minor"/>
    </font>
    <font>
      <b/>
      <i/>
      <sz val="16"/>
      <color theme="1"/>
      <name val="Calibri"/>
      <family val="2"/>
      <scheme val="minor"/>
    </font>
    <font>
      <sz val="12"/>
      <color rgb="FF000000"/>
      <name val="Calibri"/>
      <family val="2"/>
      <scheme val="minor"/>
    </font>
    <font>
      <i/>
      <sz val="12"/>
      <color theme="1"/>
      <name val="Calibri"/>
      <family val="2"/>
      <scheme val="minor"/>
    </font>
    <font>
      <sz val="12"/>
      <color theme="1"/>
      <name val="Calibri"/>
      <family val="2"/>
      <scheme val="minor"/>
    </font>
    <font>
      <i/>
      <sz val="11"/>
      <color theme="1"/>
      <name val="Calibri"/>
      <family val="2"/>
      <scheme val="minor"/>
    </font>
    <font>
      <sz val="28"/>
      <color rgb="FF000000"/>
      <name val="Calibri Light"/>
      <family val="2"/>
    </font>
    <font>
      <sz val="28"/>
      <color rgb="FF000000"/>
      <name val="Calibri"/>
      <family val="2"/>
      <scheme val="minor"/>
    </font>
    <font>
      <u/>
      <sz val="13"/>
      <color theme="1"/>
      <name val="Calibri"/>
      <family val="2"/>
      <scheme val="minor"/>
    </font>
    <font>
      <sz val="18"/>
      <color rgb="FF000000"/>
      <name val="Calibri"/>
      <family val="2"/>
      <scheme val="minor"/>
    </font>
    <font>
      <sz val="16"/>
      <color rgb="FF000000"/>
      <name val="Calibri"/>
      <family val="2"/>
      <scheme val="minor"/>
    </font>
    <font>
      <vertAlign val="superscript"/>
      <sz val="16"/>
      <color rgb="FF000000"/>
      <name val="Calibri"/>
      <family val="2"/>
      <scheme val="minor"/>
    </font>
    <font>
      <sz val="20"/>
      <color rgb="FF000000"/>
      <name val="Calibri"/>
      <family val="2"/>
      <scheme val="minor"/>
    </font>
    <font>
      <sz val="13"/>
      <color theme="1"/>
      <name val="Calibri"/>
      <family val="2"/>
      <scheme val="minor"/>
    </font>
    <font>
      <sz val="16"/>
      <color rgb="FF7F7F7F"/>
      <name val="Calibri"/>
      <family val="2"/>
      <scheme val="minor"/>
    </font>
    <font>
      <sz val="15"/>
      <color theme="1"/>
      <name val="Calibri"/>
      <family val="2"/>
      <scheme val="minor"/>
    </font>
    <font>
      <sz val="15"/>
      <color rgb="FF000000"/>
      <name val="Calibri"/>
      <family val="2"/>
      <scheme val="minor"/>
    </font>
    <font>
      <b/>
      <sz val="28"/>
      <color rgb="FF000000"/>
      <name val="Calibri"/>
      <family val="2"/>
      <scheme val="minor"/>
    </font>
    <font>
      <b/>
      <sz val="18"/>
      <color rgb="FF000000"/>
      <name val="Calibri"/>
      <family val="2"/>
      <scheme val="minor"/>
    </font>
    <font>
      <b/>
      <sz val="18"/>
      <color rgb="FF70AD47"/>
      <name val="Calibri"/>
      <family val="2"/>
      <scheme val="minor"/>
    </font>
    <font>
      <sz val="11"/>
      <color rgb="FF000000"/>
      <name val="Calibri"/>
      <family val="2"/>
    </font>
    <font>
      <b/>
      <sz val="11"/>
      <color theme="1"/>
      <name val="Calibri"/>
      <family val="2"/>
      <scheme val="minor"/>
    </font>
    <font>
      <sz val="8"/>
      <name val="Calibri"/>
      <family val="2"/>
      <scheme val="minor"/>
    </font>
    <font>
      <u/>
      <sz val="14"/>
      <color rgb="FF000000"/>
      <name val="Calibri"/>
      <family val="2"/>
      <scheme val="minor"/>
    </font>
    <font>
      <sz val="14"/>
      <color rgb="FF000000"/>
      <name val="Calibri"/>
      <family val="2"/>
      <scheme val="minor"/>
    </font>
    <font>
      <sz val="10"/>
      <color theme="1"/>
      <name val="Calibri"/>
      <family val="2"/>
      <scheme val="minor"/>
    </font>
  </fonts>
  <fills count="16">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FFFF00"/>
        <bgColor indexed="64"/>
      </patternFill>
    </fill>
    <fill>
      <patternFill patternType="solid">
        <fgColor rgb="FFDAEEF3"/>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ck">
        <color indexed="64"/>
      </top>
      <bottom/>
      <diagonal/>
    </border>
    <border>
      <left style="thick">
        <color indexed="64"/>
      </left>
      <right style="medium">
        <color indexed="64"/>
      </right>
      <top style="medium">
        <color indexed="64"/>
      </top>
      <bottom style="medium">
        <color indexed="64"/>
      </bottom>
      <diagonal/>
    </border>
    <border>
      <left style="thin">
        <color indexed="64"/>
      </left>
      <right style="thick">
        <color indexed="64"/>
      </right>
      <top style="thick">
        <color indexed="64"/>
      </top>
      <bottom style="thick">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6" fillId="8" borderId="0" applyNumberFormat="0" applyBorder="0" applyAlignment="0" applyProtection="0"/>
    <xf numFmtId="0" fontId="7" fillId="9" borderId="0" applyNumberFormat="0" applyBorder="0" applyAlignment="0" applyProtection="0"/>
  </cellStyleXfs>
  <cellXfs count="246">
    <xf numFmtId="0" fontId="0" fillId="0" borderId="0" xfId="0"/>
    <xf numFmtId="0" fontId="0" fillId="0" borderId="0" xfId="0" applyAlignment="1">
      <alignment horizontal="center" vertical="center"/>
    </xf>
    <xf numFmtId="0" fontId="3" fillId="0" borderId="0" xfId="0" applyFont="1" applyAlignment="1">
      <alignment horizontal="center" vertical="center"/>
    </xf>
    <xf numFmtId="0" fontId="0" fillId="2" borderId="1" xfId="0" applyFill="1" applyBorder="1" applyAlignment="1">
      <alignment horizontal="center" vertical="center"/>
    </xf>
    <xf numFmtId="14" fontId="0" fillId="4" borderId="1" xfId="0" applyNumberFormat="1" applyFill="1" applyBorder="1" applyAlignment="1" applyProtection="1">
      <alignment horizontal="center" vertical="center"/>
      <protection locked="0"/>
    </xf>
    <xf numFmtId="0" fontId="1" fillId="0" borderId="0" xfId="0" applyFont="1" applyAlignment="1">
      <alignment horizontal="center" vertical="center"/>
    </xf>
    <xf numFmtId="164" fontId="0" fillId="4" borderId="1" xfId="0" applyNumberForma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49" fontId="0" fillId="4" borderId="1" xfId="0" applyNumberForma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4"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protection locked="0"/>
    </xf>
    <xf numFmtId="0" fontId="0" fillId="5" borderId="4" xfId="0" applyFill="1" applyBorder="1" applyAlignment="1">
      <alignment horizontal="center" vertical="center"/>
    </xf>
    <xf numFmtId="0" fontId="0" fillId="5" borderId="5"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1" fontId="0" fillId="6" borderId="1" xfId="0" applyNumberFormat="1" applyFill="1" applyBorder="1" applyAlignment="1" applyProtection="1">
      <alignment horizontal="center" vertical="center"/>
      <protection locked="0"/>
    </xf>
    <xf numFmtId="1" fontId="0" fillId="4" borderId="8" xfId="0" applyNumberFormat="1" applyFill="1" applyBorder="1" applyAlignment="1" applyProtection="1">
      <alignment horizontal="center" vertical="center"/>
      <protection locked="0"/>
    </xf>
    <xf numFmtId="2" fontId="0" fillId="4" borderId="8" xfId="0" applyNumberFormat="1" applyFill="1" applyBorder="1" applyAlignment="1" applyProtection="1">
      <alignment horizontal="center" vertical="center"/>
      <protection locked="0"/>
    </xf>
    <xf numFmtId="0" fontId="0" fillId="5" borderId="9" xfId="0" applyFill="1" applyBorder="1" applyAlignment="1">
      <alignment horizontal="center" vertical="center"/>
    </xf>
    <xf numFmtId="0" fontId="0" fillId="2" borderId="1" xfId="0" applyFill="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center" vertical="center"/>
    </xf>
    <xf numFmtId="22" fontId="0" fillId="0" borderId="0" xfId="0" applyNumberFormat="1"/>
    <xf numFmtId="0" fontId="1" fillId="0" borderId="0" xfId="0" applyFont="1"/>
    <xf numFmtId="0" fontId="0" fillId="5" borderId="5" xfId="0" applyFill="1" applyBorder="1" applyAlignment="1">
      <alignment horizontal="center" vertical="center" wrapText="1"/>
    </xf>
    <xf numFmtId="0" fontId="0" fillId="5" borderId="6" xfId="0" applyFill="1" applyBorder="1" applyAlignment="1">
      <alignment horizontal="center" vertical="center" wrapText="1"/>
    </xf>
    <xf numFmtId="0" fontId="0" fillId="0" borderId="0" xfId="0" applyAlignment="1">
      <alignment horizontal="center"/>
    </xf>
    <xf numFmtId="0" fontId="0" fillId="0" borderId="15" xfId="0" applyBorder="1"/>
    <xf numFmtId="0" fontId="0" fillId="0" borderId="16" xfId="0" applyBorder="1"/>
    <xf numFmtId="0" fontId="0" fillId="0" borderId="12" xfId="0" applyBorder="1"/>
    <xf numFmtId="0" fontId="0" fillId="0" borderId="17" xfId="0" applyBorder="1"/>
    <xf numFmtId="0" fontId="0" fillId="0" borderId="13" xfId="0" applyBorder="1"/>
    <xf numFmtId="14" fontId="0" fillId="0" borderId="0" xfId="0" applyNumberFormat="1" applyAlignment="1">
      <alignment horizontal="center"/>
    </xf>
    <xf numFmtId="22" fontId="0" fillId="7" borderId="1" xfId="0" applyNumberFormat="1" applyFill="1" applyBorder="1" applyAlignment="1">
      <alignment horizontal="center"/>
    </xf>
    <xf numFmtId="0" fontId="0" fillId="0" borderId="1" xfId="0" applyBorder="1" applyAlignment="1">
      <alignment horizontal="center"/>
    </xf>
    <xf numFmtId="0" fontId="0" fillId="7" borderId="1" xfId="0" applyFill="1" applyBorder="1" applyAlignment="1">
      <alignment horizontal="center"/>
    </xf>
    <xf numFmtId="14" fontId="0" fillId="3" borderId="1" xfId="0" applyNumberFormat="1" applyFill="1" applyBorder="1" applyAlignment="1">
      <alignment horizontal="center"/>
    </xf>
    <xf numFmtId="0" fontId="0" fillId="3" borderId="1" xfId="0" applyFill="1" applyBorder="1" applyAlignment="1">
      <alignment horizontal="center"/>
    </xf>
    <xf numFmtId="14" fontId="0" fillId="11" borderId="1" xfId="0" applyNumberFormat="1" applyFill="1" applyBorder="1" applyAlignment="1">
      <alignment horizontal="center"/>
    </xf>
    <xf numFmtId="0" fontId="0" fillId="11" borderId="1" xfId="0" applyFill="1" applyBorder="1" applyAlignment="1">
      <alignment horizontal="center"/>
    </xf>
    <xf numFmtId="0" fontId="0" fillId="7" borderId="18" xfId="0" applyFill="1" applyBorder="1" applyAlignment="1">
      <alignment horizontal="center"/>
    </xf>
    <xf numFmtId="0" fontId="0" fillId="7" borderId="2" xfId="0"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2" fontId="0" fillId="0" borderId="18" xfId="0" applyNumberFormat="1" applyBorder="1" applyAlignment="1">
      <alignment horizontal="center"/>
    </xf>
    <xf numFmtId="2" fontId="0" fillId="0" borderId="8" xfId="0" applyNumberFormat="1" applyBorder="1" applyAlignment="1">
      <alignment horizontal="center"/>
    </xf>
    <xf numFmtId="1" fontId="0" fillId="0" borderId="0" xfId="0" applyNumberFormat="1" applyAlignment="1">
      <alignment horizontal="center"/>
    </xf>
    <xf numFmtId="1" fontId="0" fillId="0" borderId="1" xfId="0" applyNumberFormat="1" applyBorder="1" applyAlignment="1">
      <alignment horizontal="center"/>
    </xf>
    <xf numFmtId="0" fontId="9" fillId="0" borderId="0" xfId="0" applyFont="1" applyAlignment="1">
      <alignment horizontal="center" vertical="center"/>
    </xf>
    <xf numFmtId="0" fontId="10" fillId="0" borderId="0" xfId="0" applyFont="1" applyAlignment="1">
      <alignment vertical="center"/>
    </xf>
    <xf numFmtId="0" fontId="9" fillId="0" borderId="0" xfId="0" applyFont="1" applyAlignment="1">
      <alignmen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0" fontId="9" fillId="7" borderId="21" xfId="0" applyFont="1" applyFill="1" applyBorder="1" applyAlignment="1">
      <alignment horizontal="center" vertical="center"/>
    </xf>
    <xf numFmtId="0" fontId="9" fillId="7" borderId="20" xfId="0" applyFont="1" applyFill="1" applyBorder="1" applyAlignment="1">
      <alignment horizontal="center" vertical="center"/>
    </xf>
    <xf numFmtId="2" fontId="9" fillId="7" borderId="21" xfId="0" applyNumberFormat="1" applyFont="1" applyFill="1" applyBorder="1" applyAlignment="1">
      <alignment horizontal="center" vertical="center"/>
    </xf>
    <xf numFmtId="2" fontId="9" fillId="0" borderId="0" xfId="0" applyNumberFormat="1" applyFont="1" applyAlignment="1">
      <alignment horizontal="center" vertical="center"/>
    </xf>
    <xf numFmtId="0" fontId="9" fillId="0" borderId="22" xfId="0" applyFont="1" applyBorder="1" applyAlignment="1">
      <alignment horizontal="center" vertical="center"/>
    </xf>
    <xf numFmtId="0" fontId="9" fillId="7" borderId="23" xfId="0" applyFont="1" applyFill="1" applyBorder="1" applyAlignment="1">
      <alignment horizontal="center" vertical="center"/>
    </xf>
    <xf numFmtId="0" fontId="9" fillId="0" borderId="24" xfId="0" applyFont="1" applyBorder="1" applyAlignment="1">
      <alignment horizontal="center" vertical="center"/>
    </xf>
    <xf numFmtId="2" fontId="9" fillId="0" borderId="25" xfId="0" applyNumberFormat="1" applyFont="1" applyBorder="1" applyAlignment="1">
      <alignment horizontal="center" vertical="center"/>
    </xf>
    <xf numFmtId="0" fontId="13" fillId="0" borderId="0" xfId="0" applyFont="1" applyAlignment="1">
      <alignment horizontal="center" vertical="center"/>
    </xf>
    <xf numFmtId="165" fontId="9" fillId="7" borderId="21" xfId="0" applyNumberFormat="1" applyFont="1" applyFill="1" applyBorder="1" applyAlignment="1">
      <alignment horizontal="center" vertical="center"/>
    </xf>
    <xf numFmtId="0" fontId="9" fillId="0" borderId="27" xfId="0" applyFont="1" applyBorder="1" applyAlignment="1">
      <alignment vertical="center"/>
    </xf>
    <xf numFmtId="0" fontId="9" fillId="7" borderId="28" xfId="0" applyFont="1" applyFill="1" applyBorder="1" applyAlignment="1">
      <alignment horizontal="center" vertical="center"/>
    </xf>
    <xf numFmtId="0" fontId="9" fillId="0" borderId="32" xfId="0" applyFont="1" applyBorder="1" applyAlignment="1">
      <alignment horizontal="center" vertical="center" wrapText="1"/>
    </xf>
    <xf numFmtId="0" fontId="13" fillId="0" borderId="0" xfId="0" applyFont="1" applyAlignment="1">
      <alignment horizontal="center" vertical="center" wrapText="1"/>
    </xf>
    <xf numFmtId="0" fontId="9" fillId="0" borderId="33" xfId="0" applyFont="1" applyBorder="1" applyAlignment="1">
      <alignment horizontal="center" vertical="center" wrapText="1"/>
    </xf>
    <xf numFmtId="0" fontId="9"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9"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0" xfId="0" applyFont="1" applyAlignment="1">
      <alignment horizontal="left" vertical="center" wrapText="1"/>
    </xf>
    <xf numFmtId="22" fontId="9" fillId="0" borderId="34" xfId="0" applyNumberFormat="1" applyFont="1" applyBorder="1" applyAlignment="1">
      <alignment horizontal="center" vertical="center"/>
    </xf>
    <xf numFmtId="0" fontId="9" fillId="0" borderId="35" xfId="0" applyFont="1" applyBorder="1" applyAlignment="1">
      <alignment horizontal="center" vertical="center"/>
    </xf>
    <xf numFmtId="2" fontId="9" fillId="0" borderId="35" xfId="0" quotePrefix="1" applyNumberFormat="1" applyFont="1" applyBorder="1" applyAlignment="1">
      <alignment horizontal="center" vertical="center"/>
    </xf>
    <xf numFmtId="165" fontId="9" fillId="0" borderId="36" xfId="0" applyNumberFormat="1" applyFont="1" applyBorder="1" applyAlignment="1">
      <alignment horizontal="center" vertical="center"/>
    </xf>
    <xf numFmtId="165" fontId="9" fillId="0" borderId="35" xfId="0" applyNumberFormat="1" applyFont="1" applyBorder="1" applyAlignment="1">
      <alignment horizontal="center" vertical="center"/>
    </xf>
    <xf numFmtId="0" fontId="15" fillId="0" borderId="35" xfId="1" applyFont="1" applyFill="1" applyBorder="1" applyAlignment="1">
      <alignment horizontal="center" vertical="center"/>
    </xf>
    <xf numFmtId="2" fontId="9" fillId="0" borderId="35" xfId="0" applyNumberFormat="1" applyFont="1" applyBorder="1" applyAlignment="1">
      <alignment horizontal="center" vertical="center"/>
    </xf>
    <xf numFmtId="0" fontId="16" fillId="9" borderId="37" xfId="2" applyFont="1" applyBorder="1" applyAlignment="1">
      <alignment horizontal="right" vertical="center"/>
    </xf>
    <xf numFmtId="14" fontId="16" fillId="9" borderId="25" xfId="2" applyNumberFormat="1" applyFont="1" applyBorder="1" applyAlignment="1">
      <alignment horizontal="center" vertical="center"/>
    </xf>
    <xf numFmtId="0" fontId="9" fillId="0" borderId="0" xfId="0" applyFont="1" applyAlignment="1">
      <alignment vertical="top"/>
    </xf>
    <xf numFmtId="0" fontId="16" fillId="9" borderId="38" xfId="2" applyFont="1" applyBorder="1" applyAlignment="1">
      <alignment horizontal="right" vertical="center"/>
    </xf>
    <xf numFmtId="14" fontId="16" fillId="9" borderId="39" xfId="2" applyNumberFormat="1" applyFont="1" applyBorder="1" applyAlignment="1">
      <alignment horizontal="center" vertical="center"/>
    </xf>
    <xf numFmtId="0" fontId="17" fillId="0" borderId="0" xfId="0" applyFont="1" applyAlignment="1">
      <alignment vertical="center"/>
    </xf>
    <xf numFmtId="0" fontId="0" fillId="0" borderId="0" xfId="0" applyAlignment="1">
      <alignment vertical="center"/>
    </xf>
    <xf numFmtId="0" fontId="18" fillId="0" borderId="0" xfId="0" applyFont="1" applyAlignment="1">
      <alignment horizontal="center" vertical="center"/>
    </xf>
    <xf numFmtId="0" fontId="19" fillId="0" borderId="0" xfId="0" applyFont="1" applyAlignment="1">
      <alignment horizontal="center" vertical="center"/>
    </xf>
    <xf numFmtId="0" fontId="0" fillId="0" borderId="1" xfId="0" applyBorder="1"/>
    <xf numFmtId="14" fontId="0" fillId="4" borderId="1" xfId="0" applyNumberFormat="1" applyFill="1" applyBorder="1"/>
    <xf numFmtId="0" fontId="20" fillId="0" borderId="1" xfId="0" applyFont="1" applyBorder="1"/>
    <xf numFmtId="164" fontId="21" fillId="4" borderId="1" xfId="0" applyNumberFormat="1" applyFont="1" applyFill="1" applyBorder="1" applyAlignment="1">
      <alignment horizontal="center" vertical="center"/>
    </xf>
    <xf numFmtId="0" fontId="22" fillId="0" borderId="1" xfId="0" applyFont="1" applyBorder="1" applyAlignment="1">
      <alignment horizontal="left" vertical="center"/>
    </xf>
    <xf numFmtId="0" fontId="22" fillId="0" borderId="0" xfId="0" applyFont="1"/>
    <xf numFmtId="0" fontId="21" fillId="0" borderId="0" xfId="0" applyFont="1" applyAlignment="1">
      <alignment horizontal="center" vertical="center"/>
    </xf>
    <xf numFmtId="0" fontId="23" fillId="0" borderId="0" xfId="0" applyFont="1" applyAlignment="1">
      <alignment horizontal="center" vertical="center"/>
    </xf>
    <xf numFmtId="0" fontId="22" fillId="0" borderId="1" xfId="0" applyFont="1" applyBorder="1"/>
    <xf numFmtId="14" fontId="21" fillId="4" borderId="1" xfId="0" applyNumberFormat="1" applyFont="1" applyFill="1" applyBorder="1" applyAlignment="1">
      <alignment horizontal="center" vertical="center"/>
    </xf>
    <xf numFmtId="0" fontId="0" fillId="4" borderId="1" xfId="0" applyFill="1" applyBorder="1"/>
    <xf numFmtId="0" fontId="21" fillId="4" borderId="1" xfId="0" applyFont="1" applyFill="1" applyBorder="1" applyAlignment="1">
      <alignment horizontal="center" vertical="center"/>
    </xf>
    <xf numFmtId="0" fontId="25" fillId="0" borderId="0" xfId="0" applyFont="1" applyAlignment="1">
      <alignment horizontal="center" vertical="center" readingOrder="1"/>
    </xf>
    <xf numFmtId="0" fontId="26" fillId="0" borderId="0" xfId="0" applyFont="1" applyAlignment="1">
      <alignment horizontal="center" vertical="center"/>
    </xf>
    <xf numFmtId="0" fontId="27" fillId="0" borderId="0" xfId="0" applyFont="1" applyAlignment="1">
      <alignment horizontal="left" vertical="center" readingOrder="1"/>
    </xf>
    <xf numFmtId="0" fontId="28" fillId="0" borderId="0" xfId="0" applyFont="1" applyAlignment="1">
      <alignment horizontal="left" vertical="center" readingOrder="1"/>
    </xf>
    <xf numFmtId="0" fontId="0" fillId="0" borderId="0" xfId="0" applyAlignment="1">
      <alignment horizontal="left"/>
    </xf>
    <xf numFmtId="0" fontId="30" fillId="0" borderId="0" xfId="0" applyFont="1" applyAlignment="1">
      <alignment horizontal="left" vertical="center" readingOrder="1"/>
    </xf>
    <xf numFmtId="0" fontId="28" fillId="0" borderId="0" xfId="0" applyFont="1" applyAlignment="1">
      <alignment vertical="center" readingOrder="1"/>
    </xf>
    <xf numFmtId="0" fontId="31" fillId="0" borderId="0" xfId="0" applyFont="1" applyAlignment="1">
      <alignment horizontal="center" vertical="center"/>
    </xf>
    <xf numFmtId="0" fontId="31" fillId="2" borderId="1" xfId="0" applyFont="1" applyFill="1" applyBorder="1" applyAlignment="1">
      <alignment horizontal="center" vertical="center"/>
    </xf>
    <xf numFmtId="0" fontId="31" fillId="2" borderId="1" xfId="0" applyFont="1" applyFill="1" applyBorder="1" applyAlignment="1">
      <alignment horizontal="center" vertical="center" wrapText="1"/>
    </xf>
    <xf numFmtId="0" fontId="31" fillId="0" borderId="0" xfId="0" applyFont="1" applyAlignment="1">
      <alignment horizontal="center" vertical="center" wrapText="1"/>
    </xf>
    <xf numFmtId="0" fontId="31" fillId="4" borderId="1" xfId="0" applyFont="1" applyFill="1" applyBorder="1" applyAlignment="1">
      <alignment horizontal="center" vertical="center"/>
    </xf>
    <xf numFmtId="14" fontId="33" fillId="0" borderId="0" xfId="0" applyNumberFormat="1" applyFont="1" applyAlignment="1">
      <alignment horizontal="left"/>
    </xf>
    <xf numFmtId="0" fontId="28" fillId="0" borderId="0" xfId="0" applyFont="1" applyAlignment="1">
      <alignment horizontal="right" vertical="center" readingOrder="1"/>
    </xf>
    <xf numFmtId="14" fontId="34" fillId="0" borderId="0" xfId="0" applyNumberFormat="1" applyFont="1" applyAlignment="1">
      <alignment horizontal="left" vertical="center" readingOrder="1"/>
    </xf>
    <xf numFmtId="0" fontId="28" fillId="0" borderId="0" xfId="0" applyFont="1" applyAlignment="1">
      <alignment horizontal="right"/>
    </xf>
    <xf numFmtId="0" fontId="28" fillId="0" borderId="0" xfId="0" applyFont="1" applyAlignment="1">
      <alignment horizontal="left"/>
    </xf>
    <xf numFmtId="0" fontId="33" fillId="0" borderId="0" xfId="0" applyFont="1" applyAlignment="1">
      <alignment horizontal="left"/>
    </xf>
    <xf numFmtId="0" fontId="0" fillId="13" borderId="1" xfId="0" applyFill="1" applyBorder="1"/>
    <xf numFmtId="0" fontId="0" fillId="6" borderId="1" xfId="0" applyFill="1" applyBorder="1"/>
    <xf numFmtId="0" fontId="0" fillId="3" borderId="1" xfId="0" applyFill="1" applyBorder="1"/>
    <xf numFmtId="164" fontId="0" fillId="3" borderId="1" xfId="0" applyNumberFormat="1"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center" vertical="center"/>
    </xf>
    <xf numFmtId="0" fontId="0" fillId="13" borderId="1" xfId="0" applyFill="1" applyBorder="1" applyAlignment="1">
      <alignment horizontal="center" vertical="center" wrapText="1"/>
    </xf>
    <xf numFmtId="0" fontId="0" fillId="7" borderId="1" xfId="0" applyFill="1" applyBorder="1"/>
    <xf numFmtId="0" fontId="0" fillId="3" borderId="1" xfId="0" applyFill="1" applyBorder="1" applyAlignment="1">
      <alignment horizontal="center" vertical="center"/>
    </xf>
    <xf numFmtId="0" fontId="0" fillId="3" borderId="3" xfId="0" applyFill="1" applyBorder="1" applyAlignment="1">
      <alignment horizontal="center" vertical="center"/>
    </xf>
    <xf numFmtId="2" fontId="0" fillId="3" borderId="1" xfId="0" applyNumberFormat="1" applyFill="1" applyBorder="1" applyAlignment="1">
      <alignment horizontal="center" vertical="center"/>
    </xf>
    <xf numFmtId="0" fontId="0" fillId="7" borderId="1" xfId="0" applyFill="1" applyBorder="1" applyAlignment="1">
      <alignment horizontal="center" wrapText="1"/>
    </xf>
    <xf numFmtId="2" fontId="0" fillId="3" borderId="1" xfId="0" applyNumberFormat="1" applyFill="1" applyBorder="1" applyAlignment="1">
      <alignment horizontal="center"/>
    </xf>
    <xf numFmtId="2" fontId="0" fillId="0" borderId="0" xfId="0" applyNumberFormat="1"/>
    <xf numFmtId="0" fontId="25" fillId="0" borderId="0" xfId="0" applyFont="1" applyAlignment="1">
      <alignment horizontal="left" vertical="center" readingOrder="1"/>
    </xf>
    <xf numFmtId="0" fontId="33" fillId="0" borderId="0" xfId="0" applyFont="1"/>
    <xf numFmtId="0" fontId="36" fillId="0" borderId="0" xfId="0" applyFont="1" applyAlignment="1">
      <alignment horizontal="left" vertical="center" readingOrder="1"/>
    </xf>
    <xf numFmtId="0" fontId="36" fillId="0" borderId="0" xfId="0" applyFont="1" applyAlignment="1">
      <alignment horizontal="center" vertical="center" readingOrder="1"/>
    </xf>
    <xf numFmtId="49" fontId="21" fillId="4" borderId="1" xfId="0" applyNumberFormat="1" applyFont="1" applyFill="1" applyBorder="1" applyAlignment="1">
      <alignment horizontal="center" vertical="center"/>
    </xf>
    <xf numFmtId="49" fontId="0" fillId="4" borderId="1" xfId="0" applyNumberFormat="1" applyFill="1" applyBorder="1"/>
    <xf numFmtId="1" fontId="0" fillId="3" borderId="1" xfId="0" applyNumberFormat="1" applyFill="1" applyBorder="1" applyAlignment="1">
      <alignment horizontal="center"/>
    </xf>
    <xf numFmtId="0" fontId="0" fillId="11" borderId="11" xfId="0" applyFill="1" applyBorder="1" applyAlignment="1">
      <alignment horizontal="center" vertical="center" textRotation="90"/>
    </xf>
    <xf numFmtId="0" fontId="0" fillId="3" borderId="11" xfId="0" applyFill="1" applyBorder="1" applyAlignment="1">
      <alignment horizontal="center" vertical="center" textRotation="90"/>
    </xf>
    <xf numFmtId="14" fontId="0" fillId="3" borderId="1" xfId="0" applyNumberFormat="1" applyFill="1" applyBorder="1" applyAlignment="1">
      <alignment horizontal="center" vertical="center"/>
    </xf>
    <xf numFmtId="22" fontId="0" fillId="0" borderId="0" xfId="0" applyNumberFormat="1" applyAlignment="1">
      <alignment horizontal="center"/>
    </xf>
    <xf numFmtId="14" fontId="0" fillId="4" borderId="1" xfId="0" applyNumberFormat="1" applyFill="1" applyBorder="1" applyAlignment="1">
      <alignment horizontal="center" vertical="center"/>
    </xf>
    <xf numFmtId="164" fontId="0" fillId="4" borderId="1" xfId="0" applyNumberFormat="1" applyFill="1" applyBorder="1" applyAlignment="1">
      <alignment horizontal="center" vertical="center"/>
    </xf>
    <xf numFmtId="49" fontId="22" fillId="4" borderId="1" xfId="0" applyNumberFormat="1" applyFont="1" applyFill="1" applyBorder="1" applyAlignment="1">
      <alignment horizontal="center" vertical="center"/>
    </xf>
    <xf numFmtId="0" fontId="18" fillId="0" borderId="0" xfId="0" applyFont="1" applyAlignment="1">
      <alignment horizontal="left" vertical="center" readingOrder="1"/>
    </xf>
    <xf numFmtId="1" fontId="0" fillId="3" borderId="1" xfId="0" applyNumberFormat="1" applyFill="1" applyBorder="1"/>
    <xf numFmtId="0" fontId="0" fillId="7" borderId="18" xfId="0" applyFill="1" applyBorder="1" applyAlignment="1">
      <alignment horizontal="center" vertical="center"/>
    </xf>
    <xf numFmtId="2" fontId="0" fillId="12" borderId="1" xfId="0" applyNumberFormat="1" applyFill="1" applyBorder="1" applyAlignment="1">
      <alignment horizontal="center" vertical="center"/>
    </xf>
    <xf numFmtId="0" fontId="0" fillId="12" borderId="1" xfId="0" applyFill="1" applyBorder="1" applyAlignment="1">
      <alignment horizontal="center" vertical="center"/>
    </xf>
    <xf numFmtId="1" fontId="0" fillId="3" borderId="1" xfId="0" applyNumberFormat="1" applyFill="1" applyBorder="1" applyAlignment="1">
      <alignment horizontal="center" vertical="center"/>
    </xf>
    <xf numFmtId="49" fontId="0" fillId="4" borderId="1" xfId="0" applyNumberFormat="1" applyFill="1" applyBorder="1" applyAlignment="1">
      <alignment horizontal="center" vertical="center"/>
    </xf>
    <xf numFmtId="0" fontId="0" fillId="0" borderId="0" xfId="0" applyAlignment="1">
      <alignment wrapText="1"/>
    </xf>
    <xf numFmtId="0" fontId="20" fillId="0" borderId="0" xfId="0" applyFont="1" applyAlignment="1">
      <alignment horizontal="left" vertical="top" wrapText="1" readingOrder="1"/>
    </xf>
    <xf numFmtId="0" fontId="0" fillId="10" borderId="1" xfId="0" applyFill="1" applyBorder="1" applyAlignment="1">
      <alignment horizont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xf>
    <xf numFmtId="0" fontId="0" fillId="2" borderId="1" xfId="0" applyFill="1" applyBorder="1" applyAlignment="1">
      <alignment horizontal="center" vertical="center"/>
    </xf>
    <xf numFmtId="0" fontId="5" fillId="0" borderId="0" xfId="0" applyFont="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2" borderId="8" xfId="0" applyFill="1" applyBorder="1" applyAlignment="1">
      <alignment horizontal="center" vertical="center"/>
    </xf>
    <xf numFmtId="0" fontId="0" fillId="2" borderId="12" xfId="0" applyFill="1" applyBorder="1" applyAlignment="1">
      <alignment horizontal="center" vertical="center"/>
    </xf>
    <xf numFmtId="0" fontId="0" fillId="2" borderId="13" xfId="0" applyFill="1" applyBorder="1" applyAlignment="1">
      <alignment horizontal="center" vertical="center"/>
    </xf>
    <xf numFmtId="0" fontId="0" fillId="7" borderId="1" xfId="0" applyFill="1" applyBorder="1" applyAlignment="1">
      <alignment horizontal="center" vertical="center"/>
    </xf>
    <xf numFmtId="22" fontId="8" fillId="0" borderId="0" xfId="0" applyNumberFormat="1" applyFont="1" applyAlignment="1">
      <alignment horizontal="center" vertical="center"/>
    </xf>
    <xf numFmtId="0" fontId="0" fillId="0" borderId="0" xfId="0" applyAlignment="1">
      <alignment horizontal="center"/>
    </xf>
    <xf numFmtId="14" fontId="0" fillId="0" borderId="0" xfId="0" applyNumberFormat="1" applyAlignment="1">
      <alignment horizontal="center"/>
    </xf>
    <xf numFmtId="2" fontId="0" fillId="0" borderId="1" xfId="0" applyNumberFormat="1" applyBorder="1" applyAlignment="1">
      <alignment horizontal="center"/>
    </xf>
    <xf numFmtId="0" fontId="0" fillId="7" borderId="1" xfId="0" applyFill="1" applyBorder="1" applyAlignment="1">
      <alignment horizontal="center"/>
    </xf>
    <xf numFmtId="0" fontId="0" fillId="7" borderId="2" xfId="0" applyFill="1" applyBorder="1" applyAlignment="1">
      <alignment horizontal="center"/>
    </xf>
    <xf numFmtId="0" fontId="0" fillId="7" borderId="3" xfId="0" applyFill="1" applyBorder="1" applyAlignment="1">
      <alignment horizontal="center"/>
    </xf>
    <xf numFmtId="0" fontId="0" fillId="7" borderId="14" xfId="0" applyFill="1" applyBorder="1" applyAlignment="1">
      <alignment horizontal="center"/>
    </xf>
    <xf numFmtId="0" fontId="24" fillId="0" borderId="0" xfId="0" applyFont="1" applyAlignment="1">
      <alignment horizontal="center"/>
    </xf>
    <xf numFmtId="0" fontId="36" fillId="0" borderId="0" xfId="0" applyFont="1" applyAlignment="1">
      <alignment horizontal="center" vertical="center" wrapText="1" readingOrder="1"/>
    </xf>
    <xf numFmtId="0" fontId="25" fillId="0" borderId="0" xfId="0" applyFont="1" applyAlignment="1">
      <alignment horizontal="center" vertical="center" readingOrder="1"/>
    </xf>
    <xf numFmtId="0" fontId="28" fillId="0" borderId="0" xfId="0" applyFont="1" applyAlignment="1">
      <alignment horizontal="center" vertical="center" readingOrder="1"/>
    </xf>
    <xf numFmtId="0" fontId="31" fillId="2" borderId="1" xfId="0" applyFont="1" applyFill="1" applyBorder="1" applyAlignment="1">
      <alignment horizontal="center" vertical="center"/>
    </xf>
    <xf numFmtId="0" fontId="32" fillId="0" borderId="0" xfId="0" applyFont="1" applyAlignment="1">
      <alignment horizontal="center" vertical="center" readingOrder="1"/>
    </xf>
    <xf numFmtId="0" fontId="0" fillId="13" borderId="2" xfId="0" applyFill="1" applyBorder="1" applyAlignment="1">
      <alignment horizontal="center"/>
    </xf>
    <xf numFmtId="0" fontId="0" fillId="13" borderId="14" xfId="0" applyFill="1" applyBorder="1" applyAlignment="1">
      <alignment horizontal="center"/>
    </xf>
    <xf numFmtId="0" fontId="0" fillId="13" borderId="3" xfId="0" applyFill="1" applyBorder="1" applyAlignment="1">
      <alignment horizontal="center"/>
    </xf>
    <xf numFmtId="0" fontId="27" fillId="0" borderId="0" xfId="0" applyFont="1" applyAlignment="1">
      <alignment horizontal="center" vertical="center" readingOrder="1"/>
    </xf>
    <xf numFmtId="0" fontId="0" fillId="7" borderId="1" xfId="0" applyFill="1" applyBorder="1" applyAlignment="1">
      <alignment horizontal="center" vertical="center" textRotation="90" wrapText="1"/>
    </xf>
    <xf numFmtId="0" fontId="28" fillId="0" borderId="0" xfId="0" applyFont="1" applyAlignment="1">
      <alignment horizontal="left" vertical="center" readingOrder="1"/>
    </xf>
    <xf numFmtId="0" fontId="18" fillId="0" borderId="0" xfId="0" applyFont="1" applyAlignment="1">
      <alignment horizontal="center" vertical="center"/>
    </xf>
    <xf numFmtId="0" fontId="19" fillId="12" borderId="0" xfId="0" applyFont="1" applyFill="1" applyAlignment="1">
      <alignment horizontal="center" vertical="center"/>
    </xf>
    <xf numFmtId="0" fontId="20" fillId="0" borderId="0" xfId="0" applyFont="1" applyAlignment="1">
      <alignment horizontal="left" vertical="top" wrapText="1" readingOrder="1"/>
    </xf>
    <xf numFmtId="0" fontId="13" fillId="0" borderId="29" xfId="0" applyFont="1" applyBorder="1" applyAlignment="1">
      <alignment horizontal="center" vertical="center" wrapText="1"/>
    </xf>
    <xf numFmtId="0" fontId="13" fillId="0" borderId="30" xfId="0" applyFont="1" applyBorder="1" applyAlignment="1">
      <alignment horizontal="center" vertical="center" wrapText="1"/>
    </xf>
    <xf numFmtId="0" fontId="13" fillId="0" borderId="31" xfId="0" applyFont="1" applyBorder="1" applyAlignment="1">
      <alignment horizontal="center" vertical="center" wrapText="1"/>
    </xf>
    <xf numFmtId="0" fontId="13" fillId="0" borderId="0" xfId="0" applyFont="1" applyAlignment="1">
      <alignment horizontal="center" vertical="center" wrapText="1"/>
    </xf>
    <xf numFmtId="0" fontId="9" fillId="7" borderId="20" xfId="0" applyFont="1" applyFill="1" applyBorder="1" applyAlignment="1">
      <alignment horizontal="left" vertical="center"/>
    </xf>
    <xf numFmtId="0" fontId="9" fillId="7" borderId="26" xfId="0" applyFont="1" applyFill="1" applyBorder="1" applyAlignment="1">
      <alignment horizontal="left" vertical="center"/>
    </xf>
    <xf numFmtId="0" fontId="9" fillId="0" borderId="0" xfId="0" applyFont="1" applyAlignment="1">
      <alignment horizontal="center" vertical="center"/>
    </xf>
    <xf numFmtId="0" fontId="13" fillId="0" borderId="0" xfId="0" applyFont="1" applyAlignment="1">
      <alignment horizontal="left" vertical="center"/>
    </xf>
    <xf numFmtId="0" fontId="9" fillId="0" borderId="0" xfId="0" applyFont="1" applyAlignment="1">
      <alignment horizontal="left" vertical="center"/>
    </xf>
    <xf numFmtId="0" fontId="9" fillId="0" borderId="20" xfId="0" applyFont="1" applyBorder="1" applyAlignment="1">
      <alignment horizontal="center" vertical="center"/>
    </xf>
    <xf numFmtId="0" fontId="9" fillId="0" borderId="26"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left" vertical="center"/>
    </xf>
    <xf numFmtId="0" fontId="9" fillId="0" borderId="19" xfId="0" applyFont="1" applyBorder="1" applyAlignment="1">
      <alignment horizontal="center" vertical="center"/>
    </xf>
    <xf numFmtId="0" fontId="0" fillId="2" borderId="14" xfId="0" applyFill="1"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textRotation="90"/>
    </xf>
    <xf numFmtId="2" fontId="0" fillId="0" borderId="2" xfId="0" applyNumberFormat="1" applyBorder="1" applyAlignment="1">
      <alignment horizontal="center"/>
    </xf>
    <xf numFmtId="2" fontId="0" fillId="0" borderId="14" xfId="0" applyNumberFormat="1" applyBorder="1" applyAlignment="1">
      <alignment horizontal="center"/>
    </xf>
    <xf numFmtId="2" fontId="0" fillId="0" borderId="3" xfId="0" applyNumberFormat="1" applyBorder="1" applyAlignment="1">
      <alignment horizontal="center"/>
    </xf>
    <xf numFmtId="0" fontId="0" fillId="3" borderId="10" xfId="0" applyFill="1" applyBorder="1" applyAlignment="1">
      <alignment horizontal="center" vertical="center" textRotation="90"/>
    </xf>
    <xf numFmtId="0" fontId="0" fillId="3" borderId="0" xfId="0" applyFill="1" applyAlignment="1">
      <alignment horizontal="center" vertical="center" textRotation="90"/>
    </xf>
    <xf numFmtId="2" fontId="0" fillId="12" borderId="2" xfId="0" applyNumberFormat="1" applyFill="1" applyBorder="1" applyAlignment="1">
      <alignment horizontal="center" vertical="center"/>
    </xf>
    <xf numFmtId="0" fontId="0" fillId="12" borderId="14" xfId="0" applyFill="1" applyBorder="1" applyAlignment="1">
      <alignment horizontal="center" vertical="center"/>
    </xf>
    <xf numFmtId="0" fontId="0" fillId="12" borderId="3" xfId="0" applyFill="1" applyBorder="1" applyAlignment="1">
      <alignment horizontal="center" vertical="center"/>
    </xf>
    <xf numFmtId="0" fontId="18" fillId="0" borderId="0" xfId="0" applyFont="1" applyAlignment="1">
      <alignment horizontal="left" vertical="center" readingOrder="1"/>
    </xf>
    <xf numFmtId="0" fontId="17" fillId="0" borderId="0" xfId="0" applyFont="1" applyAlignment="1">
      <alignment horizontal="center" vertical="center" wrapText="1"/>
    </xf>
    <xf numFmtId="0" fontId="17" fillId="0" borderId="0" xfId="0" applyFont="1" applyAlignment="1">
      <alignment horizontal="center" vertical="center"/>
    </xf>
    <xf numFmtId="0" fontId="0" fillId="0" borderId="0" xfId="0" applyFont="1"/>
    <xf numFmtId="0" fontId="1" fillId="14" borderId="0" xfId="0" applyFont="1" applyFill="1"/>
    <xf numFmtId="0" fontId="0" fillId="10" borderId="1" xfId="0" applyFill="1" applyBorder="1" applyAlignment="1">
      <alignment horizontal="center" vertical="center"/>
    </xf>
    <xf numFmtId="0" fontId="0" fillId="0" borderId="0" xfId="0" applyBorder="1"/>
    <xf numFmtId="0" fontId="0" fillId="0" borderId="0" xfId="0" applyProtection="1">
      <protection locked="0"/>
    </xf>
    <xf numFmtId="0" fontId="0" fillId="15" borderId="1" xfId="0" applyFill="1" applyBorder="1" applyAlignment="1">
      <alignment horizontal="center" vertical="center"/>
    </xf>
    <xf numFmtId="0" fontId="0" fillId="14" borderId="0" xfId="0" applyFill="1" applyAlignment="1">
      <alignment horizontal="center" vertical="center"/>
    </xf>
    <xf numFmtId="1" fontId="0" fillId="15" borderId="1" xfId="0" applyNumberFormat="1" applyFill="1" applyBorder="1" applyAlignment="1">
      <alignment horizontal="center" vertical="center"/>
    </xf>
    <xf numFmtId="0" fontId="0" fillId="4" borderId="2" xfId="0" applyFill="1" applyBorder="1" applyAlignment="1" applyProtection="1">
      <alignment horizontal="center" vertical="center"/>
      <protection locked="0"/>
    </xf>
    <xf numFmtId="0" fontId="0" fillId="4" borderId="1" xfId="0" applyFill="1" applyBorder="1" applyProtection="1">
      <protection locked="0"/>
    </xf>
    <xf numFmtId="0" fontId="41" fillId="0" borderId="0" xfId="0" applyFont="1" applyAlignment="1">
      <alignment horizontal="left" vertical="center" readingOrder="1"/>
    </xf>
    <xf numFmtId="0" fontId="41" fillId="0" borderId="0" xfId="0" applyFont="1" applyAlignment="1">
      <alignment horizontal="left" vertical="center" wrapText="1" readingOrder="1"/>
    </xf>
    <xf numFmtId="0" fontId="20" fillId="0" borderId="0" xfId="0" applyFont="1" applyAlignment="1">
      <alignment vertical="top" wrapText="1" readingOrder="1"/>
    </xf>
    <xf numFmtId="0" fontId="42" fillId="0" borderId="0" xfId="0" applyFont="1" applyAlignment="1">
      <alignment horizontal="left" vertical="center" wrapText="1" readingOrder="1"/>
    </xf>
    <xf numFmtId="0" fontId="42" fillId="0" borderId="0" xfId="0" applyFont="1" applyAlignment="1">
      <alignment vertical="top" wrapText="1" readingOrder="1"/>
    </xf>
    <xf numFmtId="14" fontId="20" fillId="0" borderId="0" xfId="0" applyNumberFormat="1" applyFont="1" applyAlignment="1">
      <alignment horizontal="left" vertical="top" wrapText="1" readingOrder="1"/>
    </xf>
    <xf numFmtId="0" fontId="43" fillId="0" borderId="0" xfId="0" applyFont="1" applyAlignment="1">
      <alignment vertical="center"/>
    </xf>
    <xf numFmtId="0" fontId="23" fillId="3" borderId="0" xfId="0" applyFont="1" applyFill="1" applyAlignment="1">
      <alignment horizontal="center" vertical="center"/>
    </xf>
    <xf numFmtId="14" fontId="23" fillId="3" borderId="0" xfId="0" applyNumberFormat="1" applyFont="1" applyFill="1" applyAlignment="1">
      <alignment horizontal="center"/>
    </xf>
    <xf numFmtId="0" fontId="39" fillId="0" borderId="0" xfId="0" applyFont="1" applyAlignment="1">
      <alignment vertical="center"/>
    </xf>
    <xf numFmtId="0" fontId="0" fillId="0" borderId="40" xfId="0" applyBorder="1" applyAlignment="1">
      <alignment horizontal="center"/>
    </xf>
    <xf numFmtId="0" fontId="0" fillId="0" borderId="40" xfId="0" applyBorder="1" applyAlignment="1">
      <alignment horizontal="center" vertical="center"/>
    </xf>
    <xf numFmtId="2" fontId="0" fillId="12" borderId="14" xfId="0" applyNumberFormat="1" applyFill="1" applyBorder="1" applyAlignment="1">
      <alignment horizontal="center" vertical="center"/>
    </xf>
  </cellXfs>
  <cellStyles count="3">
    <cellStyle name="Neutre" xfId="2" builtinId="28"/>
    <cellStyle name="Normal" xfId="0" builtinId="0"/>
    <cellStyle name="Satisfaisant" xfId="1" builtinId="26"/>
  </cellStyles>
  <dxfs count="44">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339966"/>
        </patternFill>
      </fill>
    </dxf>
  </dxfs>
  <tableStyles count="0" defaultTableStyle="TableStyleMedium2" defaultPivotStyle="PivotStyleLight16"/>
  <colors>
    <mruColors>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3634-44AC-8C60-9DF8284C3080}"/>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3634-44AC-8C60-9DF8284C3080}"/>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3634-44AC-8C60-9DF8284C3080}"/>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3634-44AC-8C60-9DF8284C3080}"/>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3634-44AC-8C60-9DF8284C3080}"/>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3634-44AC-8C60-9DF8284C3080}"/>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3634-44AC-8C60-9DF8284C3080}"/>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3634-44AC-8C60-9DF8284C3080}"/>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3634-44AC-8C60-9DF8284C3080}"/>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3634-44AC-8C60-9DF8284C3080}"/>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3634-44AC-8C60-9DF8284C3080}"/>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3634-44AC-8C60-9DF8284C3080}"/>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d'enregistrement à -30°C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'Donnee_Congel_-30'!$B$1</c:f>
              <c:strCache>
                <c:ptCount val="1"/>
                <c:pt idx="0">
                  <c:v>Connecteur 1</c:v>
                </c:pt>
              </c:strCache>
            </c:strRef>
          </c:tx>
          <c:spPr>
            <a:ln w="19050" cap="rnd">
              <a:solidFill>
                <a:schemeClr val="accent1"/>
              </a:solidFill>
              <a:round/>
            </a:ln>
            <a:effectLst/>
          </c:spPr>
          <c:marker>
            <c:symbol val="none"/>
          </c:marker>
          <c:xVal>
            <c:numRef>
              <c:f>'Donnee_Congel_-30'!$A$2</c:f>
              <c:numCache>
                <c:formatCode>General</c:formatCode>
                <c:ptCount val="1"/>
              </c:numCache>
            </c:numRef>
          </c:xVal>
          <c:yVal>
            <c:numRef>
              <c:f>'Donnee_Congel_-30'!$B$2</c:f>
              <c:numCache>
                <c:formatCode>General</c:formatCode>
                <c:ptCount val="1"/>
              </c:numCache>
            </c:numRef>
          </c:yVal>
          <c:smooth val="0"/>
          <c:extLst>
            <c:ext xmlns:c16="http://schemas.microsoft.com/office/drawing/2014/chart" uri="{C3380CC4-5D6E-409C-BE32-E72D297353CC}">
              <c16:uniqueId val="{00000000-1F04-435F-B4AF-9938C46815DA}"/>
            </c:ext>
          </c:extLst>
        </c:ser>
        <c:ser>
          <c:idx val="1"/>
          <c:order val="1"/>
          <c:tx>
            <c:strRef>
              <c:f>'Donnee_Congel_-30'!$C$1</c:f>
              <c:strCache>
                <c:ptCount val="1"/>
                <c:pt idx="0">
                  <c:v>Connecteur 2</c:v>
                </c:pt>
              </c:strCache>
            </c:strRef>
          </c:tx>
          <c:spPr>
            <a:ln w="19050" cap="rnd">
              <a:solidFill>
                <a:schemeClr val="accent2"/>
              </a:solidFill>
              <a:round/>
            </a:ln>
            <a:effectLst/>
          </c:spPr>
          <c:marker>
            <c:symbol val="none"/>
          </c:marker>
          <c:xVal>
            <c:numRef>
              <c:f>'Donnee_Congel_-30'!$A$2</c:f>
              <c:numCache>
                <c:formatCode>General</c:formatCode>
                <c:ptCount val="1"/>
              </c:numCache>
            </c:numRef>
          </c:xVal>
          <c:yVal>
            <c:numRef>
              <c:f>'Donnee_Congel_-30'!$C$2</c:f>
              <c:numCache>
                <c:formatCode>General</c:formatCode>
                <c:ptCount val="1"/>
              </c:numCache>
            </c:numRef>
          </c:yVal>
          <c:smooth val="0"/>
          <c:extLst>
            <c:ext xmlns:c16="http://schemas.microsoft.com/office/drawing/2014/chart" uri="{C3380CC4-5D6E-409C-BE32-E72D297353CC}">
              <c16:uniqueId val="{00000001-1F04-435F-B4AF-9938C46815DA}"/>
            </c:ext>
          </c:extLst>
        </c:ser>
        <c:ser>
          <c:idx val="2"/>
          <c:order val="2"/>
          <c:tx>
            <c:strRef>
              <c:f>'Donnee_Congel_-30'!$D$1</c:f>
              <c:strCache>
                <c:ptCount val="1"/>
                <c:pt idx="0">
                  <c:v>Connecteur 3</c:v>
                </c:pt>
              </c:strCache>
            </c:strRef>
          </c:tx>
          <c:spPr>
            <a:ln w="19050" cap="rnd">
              <a:solidFill>
                <a:schemeClr val="accent3"/>
              </a:solidFill>
              <a:round/>
            </a:ln>
            <a:effectLst/>
          </c:spPr>
          <c:marker>
            <c:symbol val="none"/>
          </c:marker>
          <c:xVal>
            <c:numRef>
              <c:f>'Donnee_Congel_-30'!$A$2</c:f>
              <c:numCache>
                <c:formatCode>General</c:formatCode>
                <c:ptCount val="1"/>
              </c:numCache>
            </c:numRef>
          </c:xVal>
          <c:yVal>
            <c:numRef>
              <c:f>'Donnee_Congel_-30'!$D$2</c:f>
              <c:numCache>
                <c:formatCode>General</c:formatCode>
                <c:ptCount val="1"/>
              </c:numCache>
            </c:numRef>
          </c:yVal>
          <c:smooth val="0"/>
          <c:extLst>
            <c:ext xmlns:c16="http://schemas.microsoft.com/office/drawing/2014/chart" uri="{C3380CC4-5D6E-409C-BE32-E72D297353CC}">
              <c16:uniqueId val="{00000002-1F04-435F-B4AF-9938C46815DA}"/>
            </c:ext>
          </c:extLst>
        </c:ser>
        <c:ser>
          <c:idx val="3"/>
          <c:order val="3"/>
          <c:tx>
            <c:strRef>
              <c:f>'Donnee_Congel_-30'!$E$1</c:f>
              <c:strCache>
                <c:ptCount val="1"/>
                <c:pt idx="0">
                  <c:v>Connecteur 4</c:v>
                </c:pt>
              </c:strCache>
            </c:strRef>
          </c:tx>
          <c:spPr>
            <a:ln w="19050" cap="rnd">
              <a:solidFill>
                <a:schemeClr val="accent4"/>
              </a:solidFill>
              <a:round/>
            </a:ln>
            <a:effectLst/>
          </c:spPr>
          <c:marker>
            <c:symbol val="none"/>
          </c:marker>
          <c:xVal>
            <c:numRef>
              <c:f>'Donnee_Congel_-30'!$A$2</c:f>
              <c:numCache>
                <c:formatCode>General</c:formatCode>
                <c:ptCount val="1"/>
              </c:numCache>
            </c:numRef>
          </c:xVal>
          <c:yVal>
            <c:numRef>
              <c:f>'Donnee_Congel_-30'!$E$2</c:f>
              <c:numCache>
                <c:formatCode>General</c:formatCode>
                <c:ptCount val="1"/>
              </c:numCache>
            </c:numRef>
          </c:yVal>
          <c:smooth val="0"/>
          <c:extLst>
            <c:ext xmlns:c16="http://schemas.microsoft.com/office/drawing/2014/chart" uri="{C3380CC4-5D6E-409C-BE32-E72D297353CC}">
              <c16:uniqueId val="{00000003-1F04-435F-B4AF-9938C46815DA}"/>
            </c:ext>
          </c:extLst>
        </c:ser>
        <c:ser>
          <c:idx val="4"/>
          <c:order val="4"/>
          <c:tx>
            <c:strRef>
              <c:f>'Donnee_Congel_-30'!$F$1</c:f>
              <c:strCache>
                <c:ptCount val="1"/>
                <c:pt idx="0">
                  <c:v>Connecteur 5</c:v>
                </c:pt>
              </c:strCache>
            </c:strRef>
          </c:tx>
          <c:spPr>
            <a:ln w="19050" cap="rnd">
              <a:solidFill>
                <a:schemeClr val="accent5"/>
              </a:solidFill>
              <a:round/>
            </a:ln>
            <a:effectLst/>
          </c:spPr>
          <c:marker>
            <c:symbol val="none"/>
          </c:marker>
          <c:xVal>
            <c:numRef>
              <c:f>'Donnee_Congel_-30'!$A$2</c:f>
              <c:numCache>
                <c:formatCode>General</c:formatCode>
                <c:ptCount val="1"/>
              </c:numCache>
            </c:numRef>
          </c:xVal>
          <c:yVal>
            <c:numRef>
              <c:f>'Donnee_Congel_-30'!$F$2</c:f>
              <c:numCache>
                <c:formatCode>General</c:formatCode>
                <c:ptCount val="1"/>
              </c:numCache>
            </c:numRef>
          </c:yVal>
          <c:smooth val="0"/>
          <c:extLst>
            <c:ext xmlns:c16="http://schemas.microsoft.com/office/drawing/2014/chart" uri="{C3380CC4-5D6E-409C-BE32-E72D297353CC}">
              <c16:uniqueId val="{00000004-1F04-435F-B4AF-9938C46815DA}"/>
            </c:ext>
          </c:extLst>
        </c:ser>
        <c:ser>
          <c:idx val="5"/>
          <c:order val="5"/>
          <c:tx>
            <c:strRef>
              <c:f>'Donnee_Congel_-30'!$G$1</c:f>
              <c:strCache>
                <c:ptCount val="1"/>
                <c:pt idx="0">
                  <c:v>Connecteur 6</c:v>
                </c:pt>
              </c:strCache>
            </c:strRef>
          </c:tx>
          <c:spPr>
            <a:ln w="19050" cap="rnd">
              <a:solidFill>
                <a:schemeClr val="accent6"/>
              </a:solidFill>
              <a:round/>
            </a:ln>
            <a:effectLst/>
          </c:spPr>
          <c:marker>
            <c:symbol val="none"/>
          </c:marker>
          <c:xVal>
            <c:numRef>
              <c:f>'Donnee_Congel_-30'!$A$2</c:f>
              <c:numCache>
                <c:formatCode>General</c:formatCode>
                <c:ptCount val="1"/>
              </c:numCache>
            </c:numRef>
          </c:xVal>
          <c:yVal>
            <c:numRef>
              <c:f>'Donnee_Congel_-30'!$G$2</c:f>
              <c:numCache>
                <c:formatCode>General</c:formatCode>
                <c:ptCount val="1"/>
              </c:numCache>
            </c:numRef>
          </c:yVal>
          <c:smooth val="0"/>
          <c:extLst>
            <c:ext xmlns:c16="http://schemas.microsoft.com/office/drawing/2014/chart" uri="{C3380CC4-5D6E-409C-BE32-E72D297353CC}">
              <c16:uniqueId val="{00000005-1F04-435F-B4AF-9938C46815DA}"/>
            </c:ext>
          </c:extLst>
        </c:ser>
        <c:ser>
          <c:idx val="6"/>
          <c:order val="6"/>
          <c:tx>
            <c:strRef>
              <c:f>'Donnee_Congel_-30'!$H$1</c:f>
              <c:strCache>
                <c:ptCount val="1"/>
                <c:pt idx="0">
                  <c:v>Connecteur 7</c:v>
                </c:pt>
              </c:strCache>
            </c:strRef>
          </c:tx>
          <c:spPr>
            <a:ln w="19050" cap="rnd">
              <a:solidFill>
                <a:schemeClr val="accent1">
                  <a:lumMod val="60000"/>
                </a:schemeClr>
              </a:solidFill>
              <a:round/>
            </a:ln>
            <a:effectLst/>
          </c:spPr>
          <c:marker>
            <c:symbol val="none"/>
          </c:marker>
          <c:xVal>
            <c:numRef>
              <c:f>'Donnee_Congel_-30'!$A$2</c:f>
              <c:numCache>
                <c:formatCode>General</c:formatCode>
                <c:ptCount val="1"/>
              </c:numCache>
            </c:numRef>
          </c:xVal>
          <c:yVal>
            <c:numRef>
              <c:f>'Donnee_Congel_-30'!$H$2</c:f>
              <c:numCache>
                <c:formatCode>General</c:formatCode>
                <c:ptCount val="1"/>
              </c:numCache>
            </c:numRef>
          </c:yVal>
          <c:smooth val="0"/>
          <c:extLst>
            <c:ext xmlns:c16="http://schemas.microsoft.com/office/drawing/2014/chart" uri="{C3380CC4-5D6E-409C-BE32-E72D297353CC}">
              <c16:uniqueId val="{00000006-1F04-435F-B4AF-9938C46815DA}"/>
            </c:ext>
          </c:extLst>
        </c:ser>
        <c:ser>
          <c:idx val="7"/>
          <c:order val="7"/>
          <c:tx>
            <c:strRef>
              <c:f>'Donnee_Congel_-30'!$I$1</c:f>
              <c:strCache>
                <c:ptCount val="1"/>
                <c:pt idx="0">
                  <c:v>Connecteur 8</c:v>
                </c:pt>
              </c:strCache>
            </c:strRef>
          </c:tx>
          <c:spPr>
            <a:ln w="19050" cap="rnd">
              <a:solidFill>
                <a:schemeClr val="accent2">
                  <a:lumMod val="60000"/>
                </a:schemeClr>
              </a:solidFill>
              <a:round/>
            </a:ln>
            <a:effectLst/>
          </c:spPr>
          <c:marker>
            <c:symbol val="none"/>
          </c:marker>
          <c:xVal>
            <c:numRef>
              <c:f>'Donnee_Congel_-30'!$A$2</c:f>
              <c:numCache>
                <c:formatCode>General</c:formatCode>
                <c:ptCount val="1"/>
              </c:numCache>
            </c:numRef>
          </c:xVal>
          <c:yVal>
            <c:numRef>
              <c:f>'Donnee_Congel_-30'!$I$2</c:f>
              <c:numCache>
                <c:formatCode>General</c:formatCode>
                <c:ptCount val="1"/>
              </c:numCache>
            </c:numRef>
          </c:yVal>
          <c:smooth val="0"/>
          <c:extLst>
            <c:ext xmlns:c16="http://schemas.microsoft.com/office/drawing/2014/chart" uri="{C3380CC4-5D6E-409C-BE32-E72D297353CC}">
              <c16:uniqueId val="{00000007-1F04-435F-B4AF-9938C46815DA}"/>
            </c:ext>
          </c:extLst>
        </c:ser>
        <c:ser>
          <c:idx val="8"/>
          <c:order val="8"/>
          <c:tx>
            <c:strRef>
              <c:f>'Donnee_Congel_-30'!$J$1</c:f>
              <c:strCache>
                <c:ptCount val="1"/>
                <c:pt idx="0">
                  <c:v>Connecteur 9</c:v>
                </c:pt>
              </c:strCache>
            </c:strRef>
          </c:tx>
          <c:spPr>
            <a:ln w="19050" cap="rnd">
              <a:solidFill>
                <a:schemeClr val="accent3">
                  <a:lumMod val="60000"/>
                </a:schemeClr>
              </a:solidFill>
              <a:round/>
            </a:ln>
            <a:effectLst/>
          </c:spPr>
          <c:marker>
            <c:symbol val="none"/>
          </c:marker>
          <c:xVal>
            <c:numRef>
              <c:f>'Donnee_Congel_-30'!$A$2</c:f>
              <c:numCache>
                <c:formatCode>General</c:formatCode>
                <c:ptCount val="1"/>
              </c:numCache>
            </c:numRef>
          </c:xVal>
          <c:yVal>
            <c:numRef>
              <c:f>'Donnee_Congel_-30'!$J$2</c:f>
              <c:numCache>
                <c:formatCode>General</c:formatCode>
                <c:ptCount val="1"/>
              </c:numCache>
            </c:numRef>
          </c:yVal>
          <c:smooth val="0"/>
          <c:extLst>
            <c:ext xmlns:c16="http://schemas.microsoft.com/office/drawing/2014/chart" uri="{C3380CC4-5D6E-409C-BE32-E72D297353CC}">
              <c16:uniqueId val="{00000008-1F04-435F-B4AF-9938C46815DA}"/>
            </c:ext>
          </c:extLst>
        </c:ser>
        <c:ser>
          <c:idx val="9"/>
          <c:order val="9"/>
          <c:tx>
            <c:strRef>
              <c:f>'Donnee_Congel_-30'!$K$1</c:f>
              <c:strCache>
                <c:ptCount val="1"/>
                <c:pt idx="0">
                  <c:v>Connecteur 10</c:v>
                </c:pt>
              </c:strCache>
            </c:strRef>
          </c:tx>
          <c:spPr>
            <a:ln w="19050" cap="rnd">
              <a:solidFill>
                <a:schemeClr val="accent4">
                  <a:lumMod val="60000"/>
                </a:schemeClr>
              </a:solidFill>
              <a:round/>
            </a:ln>
            <a:effectLst/>
          </c:spPr>
          <c:marker>
            <c:symbol val="none"/>
          </c:marker>
          <c:xVal>
            <c:numRef>
              <c:f>'Donnee_Congel_-30'!$A$2</c:f>
              <c:numCache>
                <c:formatCode>General</c:formatCode>
                <c:ptCount val="1"/>
              </c:numCache>
            </c:numRef>
          </c:xVal>
          <c:yVal>
            <c:numRef>
              <c:f>'Donnee_Congel_-30'!$K$2</c:f>
              <c:numCache>
                <c:formatCode>General</c:formatCode>
                <c:ptCount val="1"/>
              </c:numCache>
            </c:numRef>
          </c:yVal>
          <c:smooth val="0"/>
          <c:extLst>
            <c:ext xmlns:c16="http://schemas.microsoft.com/office/drawing/2014/chart" uri="{C3380CC4-5D6E-409C-BE32-E72D297353CC}">
              <c16:uniqueId val="{00000009-1F04-435F-B4AF-9938C46815DA}"/>
            </c:ext>
          </c:extLst>
        </c:ser>
        <c:ser>
          <c:idx val="10"/>
          <c:order val="10"/>
          <c:tx>
            <c:strRef>
              <c:f>'Donnee_Congel_-30'!$L$1</c:f>
              <c:strCache>
                <c:ptCount val="1"/>
                <c:pt idx="0">
                  <c:v>Connecteur 11</c:v>
                </c:pt>
              </c:strCache>
            </c:strRef>
          </c:tx>
          <c:spPr>
            <a:ln w="19050" cap="rnd">
              <a:solidFill>
                <a:schemeClr val="accent5">
                  <a:lumMod val="60000"/>
                </a:schemeClr>
              </a:solidFill>
              <a:round/>
            </a:ln>
            <a:effectLst/>
          </c:spPr>
          <c:marker>
            <c:symbol val="none"/>
          </c:marker>
          <c:xVal>
            <c:numRef>
              <c:f>'Donnee_Congel_-30'!$A$2</c:f>
              <c:numCache>
                <c:formatCode>General</c:formatCode>
                <c:ptCount val="1"/>
              </c:numCache>
            </c:numRef>
          </c:xVal>
          <c:yVal>
            <c:numRef>
              <c:f>'Donnee_Congel_-30'!$L$2</c:f>
              <c:numCache>
                <c:formatCode>General</c:formatCode>
                <c:ptCount val="1"/>
              </c:numCache>
            </c:numRef>
          </c:yVal>
          <c:smooth val="0"/>
          <c:extLst>
            <c:ext xmlns:c16="http://schemas.microsoft.com/office/drawing/2014/chart" uri="{C3380CC4-5D6E-409C-BE32-E72D297353CC}">
              <c16:uniqueId val="{0000000A-1F04-435F-B4AF-9938C46815DA}"/>
            </c:ext>
          </c:extLst>
        </c:ser>
        <c:ser>
          <c:idx val="11"/>
          <c:order val="11"/>
          <c:tx>
            <c:strRef>
              <c:f>'Donnee_Congel_-30'!$M$1</c:f>
              <c:strCache>
                <c:ptCount val="1"/>
                <c:pt idx="0">
                  <c:v>Connecteur 12</c:v>
                </c:pt>
              </c:strCache>
            </c:strRef>
          </c:tx>
          <c:spPr>
            <a:ln w="19050" cap="rnd">
              <a:solidFill>
                <a:schemeClr val="accent6">
                  <a:lumMod val="60000"/>
                </a:schemeClr>
              </a:solidFill>
              <a:round/>
            </a:ln>
            <a:effectLst/>
          </c:spPr>
          <c:marker>
            <c:symbol val="none"/>
          </c:marker>
          <c:xVal>
            <c:numRef>
              <c:f>'Donnee_Congel_-30'!$A$2</c:f>
              <c:numCache>
                <c:formatCode>General</c:formatCode>
                <c:ptCount val="1"/>
              </c:numCache>
            </c:numRef>
          </c:xVal>
          <c:yVal>
            <c:numRef>
              <c:f>'Donnee_Congel_-30'!$M$2</c:f>
              <c:numCache>
                <c:formatCode>General</c:formatCode>
                <c:ptCount val="1"/>
              </c:numCache>
            </c:numRef>
          </c:yVal>
          <c:smooth val="0"/>
          <c:extLst>
            <c:ext xmlns:c16="http://schemas.microsoft.com/office/drawing/2014/chart" uri="{C3380CC4-5D6E-409C-BE32-E72D297353CC}">
              <c16:uniqueId val="{0000000B-1F04-435F-B4AF-9938C46815DA}"/>
            </c:ext>
          </c:extLst>
        </c:ser>
        <c:dLbls>
          <c:showLegendKey val="0"/>
          <c:showVal val="0"/>
          <c:showCatName val="0"/>
          <c:showSerName val="0"/>
          <c:showPercent val="0"/>
          <c:showBubbleSize val="0"/>
        </c:dLbls>
        <c:axId val="703189664"/>
        <c:axId val="703181384"/>
      </c:scatterChart>
      <c:valAx>
        <c:axId val="703189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1384"/>
        <c:crosses val="autoZero"/>
        <c:crossBetween val="midCat"/>
      </c:valAx>
      <c:valAx>
        <c:axId val="70318138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3189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à 60°C</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Donnee_Omia_60!$B$1</c:f>
              <c:strCache>
                <c:ptCount val="1"/>
                <c:pt idx="0">
                  <c:v>Connecteur 1</c:v>
                </c:pt>
              </c:strCache>
            </c:strRef>
          </c:tx>
          <c:spPr>
            <a:ln w="19050" cap="rnd">
              <a:solidFill>
                <a:schemeClr val="accent1"/>
              </a:solidFill>
              <a:round/>
            </a:ln>
            <a:effectLst/>
          </c:spPr>
          <c:marker>
            <c:symbol val="none"/>
          </c:marker>
          <c:xVal>
            <c:numRef>
              <c:f>Donnee_Omia_60!$A$2</c:f>
              <c:numCache>
                <c:formatCode>General</c:formatCode>
                <c:ptCount val="1"/>
              </c:numCache>
            </c:numRef>
          </c:xVal>
          <c:yVal>
            <c:numRef>
              <c:f>Donnee_Omia_60!$B$2</c:f>
              <c:numCache>
                <c:formatCode>General</c:formatCode>
                <c:ptCount val="1"/>
              </c:numCache>
            </c:numRef>
          </c:yVal>
          <c:smooth val="0"/>
          <c:extLst>
            <c:ext xmlns:c16="http://schemas.microsoft.com/office/drawing/2014/chart" uri="{C3380CC4-5D6E-409C-BE32-E72D297353CC}">
              <c16:uniqueId val="{00000000-3671-42EA-BF1A-CC62DFA7D48B}"/>
            </c:ext>
          </c:extLst>
        </c:ser>
        <c:ser>
          <c:idx val="1"/>
          <c:order val="1"/>
          <c:tx>
            <c:strRef>
              <c:f>Donnee_Omia_60!$C$1</c:f>
              <c:strCache>
                <c:ptCount val="1"/>
                <c:pt idx="0">
                  <c:v>Connecteur 2</c:v>
                </c:pt>
              </c:strCache>
            </c:strRef>
          </c:tx>
          <c:spPr>
            <a:ln w="19050" cap="rnd">
              <a:solidFill>
                <a:schemeClr val="accent2"/>
              </a:solidFill>
              <a:round/>
            </a:ln>
            <a:effectLst/>
          </c:spPr>
          <c:marker>
            <c:symbol val="none"/>
          </c:marker>
          <c:xVal>
            <c:numRef>
              <c:f>Donnee_Omia_60!$A$2</c:f>
              <c:numCache>
                <c:formatCode>General</c:formatCode>
                <c:ptCount val="1"/>
              </c:numCache>
            </c:numRef>
          </c:xVal>
          <c:yVal>
            <c:numRef>
              <c:f>Donnee_Omia_60!$C$2</c:f>
              <c:numCache>
                <c:formatCode>General</c:formatCode>
                <c:ptCount val="1"/>
              </c:numCache>
            </c:numRef>
          </c:yVal>
          <c:smooth val="0"/>
          <c:extLst>
            <c:ext xmlns:c16="http://schemas.microsoft.com/office/drawing/2014/chart" uri="{C3380CC4-5D6E-409C-BE32-E72D297353CC}">
              <c16:uniqueId val="{00000001-3671-42EA-BF1A-CC62DFA7D48B}"/>
            </c:ext>
          </c:extLst>
        </c:ser>
        <c:ser>
          <c:idx val="2"/>
          <c:order val="2"/>
          <c:tx>
            <c:strRef>
              <c:f>Donnee_Omia_60!$D$1</c:f>
              <c:strCache>
                <c:ptCount val="1"/>
                <c:pt idx="0">
                  <c:v>Connecteur 3</c:v>
                </c:pt>
              </c:strCache>
            </c:strRef>
          </c:tx>
          <c:spPr>
            <a:ln w="19050" cap="rnd">
              <a:solidFill>
                <a:schemeClr val="accent3"/>
              </a:solidFill>
              <a:round/>
            </a:ln>
            <a:effectLst/>
          </c:spPr>
          <c:marker>
            <c:symbol val="none"/>
          </c:marker>
          <c:xVal>
            <c:numRef>
              <c:f>Donnee_Omia_60!$A$2</c:f>
              <c:numCache>
                <c:formatCode>General</c:formatCode>
                <c:ptCount val="1"/>
              </c:numCache>
            </c:numRef>
          </c:xVal>
          <c:yVal>
            <c:numRef>
              <c:f>Donnee_Omia_60!$D$2</c:f>
              <c:numCache>
                <c:formatCode>General</c:formatCode>
                <c:ptCount val="1"/>
              </c:numCache>
            </c:numRef>
          </c:yVal>
          <c:smooth val="0"/>
          <c:extLst>
            <c:ext xmlns:c16="http://schemas.microsoft.com/office/drawing/2014/chart" uri="{C3380CC4-5D6E-409C-BE32-E72D297353CC}">
              <c16:uniqueId val="{00000002-3671-42EA-BF1A-CC62DFA7D48B}"/>
            </c:ext>
          </c:extLst>
        </c:ser>
        <c:ser>
          <c:idx val="3"/>
          <c:order val="3"/>
          <c:tx>
            <c:strRef>
              <c:f>Donnee_Omia_60!$E$1</c:f>
              <c:strCache>
                <c:ptCount val="1"/>
                <c:pt idx="0">
                  <c:v>Connecteur 4</c:v>
                </c:pt>
              </c:strCache>
            </c:strRef>
          </c:tx>
          <c:spPr>
            <a:ln w="19050" cap="rnd">
              <a:solidFill>
                <a:schemeClr val="accent4"/>
              </a:solidFill>
              <a:round/>
            </a:ln>
            <a:effectLst/>
          </c:spPr>
          <c:marker>
            <c:symbol val="none"/>
          </c:marker>
          <c:xVal>
            <c:numRef>
              <c:f>Donnee_Omia_60!$A$2</c:f>
              <c:numCache>
                <c:formatCode>General</c:formatCode>
                <c:ptCount val="1"/>
              </c:numCache>
            </c:numRef>
          </c:xVal>
          <c:yVal>
            <c:numRef>
              <c:f>Donnee_Omia_60!$E$2</c:f>
              <c:numCache>
                <c:formatCode>General</c:formatCode>
                <c:ptCount val="1"/>
              </c:numCache>
            </c:numRef>
          </c:yVal>
          <c:smooth val="0"/>
          <c:extLst>
            <c:ext xmlns:c16="http://schemas.microsoft.com/office/drawing/2014/chart" uri="{C3380CC4-5D6E-409C-BE32-E72D297353CC}">
              <c16:uniqueId val="{00000003-3671-42EA-BF1A-CC62DFA7D48B}"/>
            </c:ext>
          </c:extLst>
        </c:ser>
        <c:ser>
          <c:idx val="4"/>
          <c:order val="4"/>
          <c:tx>
            <c:strRef>
              <c:f>Donnee_Omia_60!$F$1</c:f>
              <c:strCache>
                <c:ptCount val="1"/>
                <c:pt idx="0">
                  <c:v>Connecteur 5</c:v>
                </c:pt>
              </c:strCache>
            </c:strRef>
          </c:tx>
          <c:spPr>
            <a:ln w="19050" cap="rnd">
              <a:solidFill>
                <a:schemeClr val="accent5"/>
              </a:solidFill>
              <a:round/>
            </a:ln>
            <a:effectLst/>
          </c:spPr>
          <c:marker>
            <c:symbol val="none"/>
          </c:marker>
          <c:xVal>
            <c:numRef>
              <c:f>Donnee_Omia_60!$A$2</c:f>
              <c:numCache>
                <c:formatCode>General</c:formatCode>
                <c:ptCount val="1"/>
              </c:numCache>
            </c:numRef>
          </c:xVal>
          <c:yVal>
            <c:numRef>
              <c:f>Donnee_Omia_60!$F$2</c:f>
              <c:numCache>
                <c:formatCode>General</c:formatCode>
                <c:ptCount val="1"/>
              </c:numCache>
            </c:numRef>
          </c:yVal>
          <c:smooth val="0"/>
          <c:extLst>
            <c:ext xmlns:c16="http://schemas.microsoft.com/office/drawing/2014/chart" uri="{C3380CC4-5D6E-409C-BE32-E72D297353CC}">
              <c16:uniqueId val="{00000004-3671-42EA-BF1A-CC62DFA7D48B}"/>
            </c:ext>
          </c:extLst>
        </c:ser>
        <c:ser>
          <c:idx val="5"/>
          <c:order val="5"/>
          <c:tx>
            <c:strRef>
              <c:f>Donnee_Omia_60!$G$1</c:f>
              <c:strCache>
                <c:ptCount val="1"/>
                <c:pt idx="0">
                  <c:v>Connecteur 6</c:v>
                </c:pt>
              </c:strCache>
            </c:strRef>
          </c:tx>
          <c:spPr>
            <a:ln w="19050" cap="rnd">
              <a:solidFill>
                <a:schemeClr val="accent6"/>
              </a:solidFill>
              <a:round/>
            </a:ln>
            <a:effectLst/>
          </c:spPr>
          <c:marker>
            <c:symbol val="none"/>
          </c:marker>
          <c:xVal>
            <c:numRef>
              <c:f>Donnee_Omia_60!$A$2</c:f>
              <c:numCache>
                <c:formatCode>General</c:formatCode>
                <c:ptCount val="1"/>
              </c:numCache>
            </c:numRef>
          </c:xVal>
          <c:yVal>
            <c:numRef>
              <c:f>Donnee_Omia_60!$G$2</c:f>
              <c:numCache>
                <c:formatCode>General</c:formatCode>
                <c:ptCount val="1"/>
              </c:numCache>
            </c:numRef>
          </c:yVal>
          <c:smooth val="0"/>
          <c:extLst>
            <c:ext xmlns:c16="http://schemas.microsoft.com/office/drawing/2014/chart" uri="{C3380CC4-5D6E-409C-BE32-E72D297353CC}">
              <c16:uniqueId val="{00000005-3671-42EA-BF1A-CC62DFA7D48B}"/>
            </c:ext>
          </c:extLst>
        </c:ser>
        <c:ser>
          <c:idx val="6"/>
          <c:order val="6"/>
          <c:tx>
            <c:strRef>
              <c:f>Donnee_Omia_60!$H$1</c:f>
              <c:strCache>
                <c:ptCount val="1"/>
                <c:pt idx="0">
                  <c:v>Connecteur 7</c:v>
                </c:pt>
              </c:strCache>
            </c:strRef>
          </c:tx>
          <c:spPr>
            <a:ln w="19050" cap="rnd">
              <a:solidFill>
                <a:schemeClr val="accent1">
                  <a:lumMod val="60000"/>
                </a:schemeClr>
              </a:solidFill>
              <a:round/>
            </a:ln>
            <a:effectLst/>
          </c:spPr>
          <c:marker>
            <c:symbol val="none"/>
          </c:marker>
          <c:xVal>
            <c:numRef>
              <c:f>Donnee_Omia_60!$A$2</c:f>
              <c:numCache>
                <c:formatCode>General</c:formatCode>
                <c:ptCount val="1"/>
              </c:numCache>
            </c:numRef>
          </c:xVal>
          <c:yVal>
            <c:numRef>
              <c:f>Donnee_Omia_60!$H$2</c:f>
              <c:numCache>
                <c:formatCode>General</c:formatCode>
                <c:ptCount val="1"/>
              </c:numCache>
            </c:numRef>
          </c:yVal>
          <c:smooth val="0"/>
          <c:extLst>
            <c:ext xmlns:c16="http://schemas.microsoft.com/office/drawing/2014/chart" uri="{C3380CC4-5D6E-409C-BE32-E72D297353CC}">
              <c16:uniqueId val="{00000006-3671-42EA-BF1A-CC62DFA7D48B}"/>
            </c:ext>
          </c:extLst>
        </c:ser>
        <c:ser>
          <c:idx val="7"/>
          <c:order val="7"/>
          <c:tx>
            <c:strRef>
              <c:f>Donnee_Omia_60!$I$1</c:f>
              <c:strCache>
                <c:ptCount val="1"/>
                <c:pt idx="0">
                  <c:v>Connecteur 8</c:v>
                </c:pt>
              </c:strCache>
            </c:strRef>
          </c:tx>
          <c:spPr>
            <a:ln w="19050" cap="rnd">
              <a:solidFill>
                <a:schemeClr val="accent2">
                  <a:lumMod val="60000"/>
                </a:schemeClr>
              </a:solidFill>
              <a:round/>
            </a:ln>
            <a:effectLst/>
          </c:spPr>
          <c:marker>
            <c:symbol val="none"/>
          </c:marker>
          <c:xVal>
            <c:numRef>
              <c:f>Donnee_Omia_60!$A$2</c:f>
              <c:numCache>
                <c:formatCode>General</c:formatCode>
                <c:ptCount val="1"/>
              </c:numCache>
            </c:numRef>
          </c:xVal>
          <c:yVal>
            <c:numRef>
              <c:f>Donnee_Omia_60!$I$2</c:f>
              <c:numCache>
                <c:formatCode>General</c:formatCode>
                <c:ptCount val="1"/>
              </c:numCache>
            </c:numRef>
          </c:yVal>
          <c:smooth val="0"/>
          <c:extLst>
            <c:ext xmlns:c16="http://schemas.microsoft.com/office/drawing/2014/chart" uri="{C3380CC4-5D6E-409C-BE32-E72D297353CC}">
              <c16:uniqueId val="{00000007-3671-42EA-BF1A-CC62DFA7D48B}"/>
            </c:ext>
          </c:extLst>
        </c:ser>
        <c:ser>
          <c:idx val="8"/>
          <c:order val="8"/>
          <c:tx>
            <c:strRef>
              <c:f>Donnee_Omia_60!$J$1</c:f>
              <c:strCache>
                <c:ptCount val="1"/>
                <c:pt idx="0">
                  <c:v>Connecteur 9</c:v>
                </c:pt>
              </c:strCache>
            </c:strRef>
          </c:tx>
          <c:spPr>
            <a:ln w="19050" cap="rnd">
              <a:solidFill>
                <a:schemeClr val="accent3">
                  <a:lumMod val="60000"/>
                </a:schemeClr>
              </a:solidFill>
              <a:round/>
            </a:ln>
            <a:effectLst/>
          </c:spPr>
          <c:marker>
            <c:symbol val="none"/>
          </c:marker>
          <c:xVal>
            <c:numRef>
              <c:f>Donnee_Omia_60!$A$2</c:f>
              <c:numCache>
                <c:formatCode>General</c:formatCode>
                <c:ptCount val="1"/>
              </c:numCache>
            </c:numRef>
          </c:xVal>
          <c:yVal>
            <c:numRef>
              <c:f>Donnee_Omia_60!$J$2</c:f>
              <c:numCache>
                <c:formatCode>General</c:formatCode>
                <c:ptCount val="1"/>
              </c:numCache>
            </c:numRef>
          </c:yVal>
          <c:smooth val="0"/>
          <c:extLst>
            <c:ext xmlns:c16="http://schemas.microsoft.com/office/drawing/2014/chart" uri="{C3380CC4-5D6E-409C-BE32-E72D297353CC}">
              <c16:uniqueId val="{00000008-3671-42EA-BF1A-CC62DFA7D48B}"/>
            </c:ext>
          </c:extLst>
        </c:ser>
        <c:ser>
          <c:idx val="9"/>
          <c:order val="9"/>
          <c:tx>
            <c:strRef>
              <c:f>Donnee_Omia_60!$K$1</c:f>
              <c:strCache>
                <c:ptCount val="1"/>
                <c:pt idx="0">
                  <c:v>Connecteur 10</c:v>
                </c:pt>
              </c:strCache>
            </c:strRef>
          </c:tx>
          <c:spPr>
            <a:ln w="19050" cap="rnd">
              <a:solidFill>
                <a:schemeClr val="accent4">
                  <a:lumMod val="60000"/>
                </a:schemeClr>
              </a:solidFill>
              <a:round/>
            </a:ln>
            <a:effectLst/>
          </c:spPr>
          <c:marker>
            <c:symbol val="none"/>
          </c:marker>
          <c:xVal>
            <c:numRef>
              <c:f>Donnee_Omia_60!$A$2</c:f>
              <c:numCache>
                <c:formatCode>General</c:formatCode>
                <c:ptCount val="1"/>
              </c:numCache>
            </c:numRef>
          </c:xVal>
          <c:yVal>
            <c:numRef>
              <c:f>Donnee_Omia_60!$K$2</c:f>
              <c:numCache>
                <c:formatCode>General</c:formatCode>
                <c:ptCount val="1"/>
              </c:numCache>
            </c:numRef>
          </c:yVal>
          <c:smooth val="0"/>
          <c:extLst>
            <c:ext xmlns:c16="http://schemas.microsoft.com/office/drawing/2014/chart" uri="{C3380CC4-5D6E-409C-BE32-E72D297353CC}">
              <c16:uniqueId val="{00000009-3671-42EA-BF1A-CC62DFA7D48B}"/>
            </c:ext>
          </c:extLst>
        </c:ser>
        <c:ser>
          <c:idx val="10"/>
          <c:order val="10"/>
          <c:tx>
            <c:strRef>
              <c:f>Donnee_Omia_60!$L$1</c:f>
              <c:strCache>
                <c:ptCount val="1"/>
                <c:pt idx="0">
                  <c:v>Connecteur 11</c:v>
                </c:pt>
              </c:strCache>
            </c:strRef>
          </c:tx>
          <c:spPr>
            <a:ln w="19050" cap="rnd">
              <a:solidFill>
                <a:schemeClr val="accent5">
                  <a:lumMod val="60000"/>
                </a:schemeClr>
              </a:solidFill>
              <a:round/>
            </a:ln>
            <a:effectLst/>
          </c:spPr>
          <c:marker>
            <c:symbol val="none"/>
          </c:marker>
          <c:xVal>
            <c:numRef>
              <c:f>Donnee_Omia_60!$A$2</c:f>
              <c:numCache>
                <c:formatCode>General</c:formatCode>
                <c:ptCount val="1"/>
              </c:numCache>
            </c:numRef>
          </c:xVal>
          <c:yVal>
            <c:numRef>
              <c:f>Donnee_Omia_60!$L$2</c:f>
              <c:numCache>
                <c:formatCode>General</c:formatCode>
                <c:ptCount val="1"/>
              </c:numCache>
            </c:numRef>
          </c:yVal>
          <c:smooth val="0"/>
          <c:extLst>
            <c:ext xmlns:c16="http://schemas.microsoft.com/office/drawing/2014/chart" uri="{C3380CC4-5D6E-409C-BE32-E72D297353CC}">
              <c16:uniqueId val="{0000000A-3671-42EA-BF1A-CC62DFA7D48B}"/>
            </c:ext>
          </c:extLst>
        </c:ser>
        <c:ser>
          <c:idx val="11"/>
          <c:order val="11"/>
          <c:tx>
            <c:strRef>
              <c:f>Donnee_Omia_60!$M$1</c:f>
              <c:strCache>
                <c:ptCount val="1"/>
                <c:pt idx="0">
                  <c:v>Connecteur 12</c:v>
                </c:pt>
              </c:strCache>
            </c:strRef>
          </c:tx>
          <c:spPr>
            <a:ln w="19050" cap="rnd">
              <a:solidFill>
                <a:schemeClr val="accent6">
                  <a:lumMod val="60000"/>
                </a:schemeClr>
              </a:solidFill>
              <a:round/>
            </a:ln>
            <a:effectLst/>
          </c:spPr>
          <c:marker>
            <c:symbol val="none"/>
          </c:marker>
          <c:xVal>
            <c:numRef>
              <c:f>Donnee_Omia_60!$A$2</c:f>
              <c:numCache>
                <c:formatCode>General</c:formatCode>
                <c:ptCount val="1"/>
              </c:numCache>
            </c:numRef>
          </c:xVal>
          <c:yVal>
            <c:numRef>
              <c:f>Donnee_Omia_60!$M$2</c:f>
              <c:numCache>
                <c:formatCode>General</c:formatCode>
                <c:ptCount val="1"/>
              </c:numCache>
            </c:numRef>
          </c:yVal>
          <c:smooth val="0"/>
          <c:extLst>
            <c:ext xmlns:c16="http://schemas.microsoft.com/office/drawing/2014/chart" uri="{C3380CC4-5D6E-409C-BE32-E72D297353CC}">
              <c16:uniqueId val="{0000000B-3671-42EA-BF1A-CC62DFA7D48B}"/>
            </c:ext>
          </c:extLst>
        </c:ser>
        <c:ser>
          <c:idx val="12"/>
          <c:order val="12"/>
          <c:tx>
            <c:strRef>
              <c:f>Donnee_Omia_60!$N$1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Donnee_Omia_60!$A$2</c:f>
              <c:numCache>
                <c:formatCode>General</c:formatCode>
                <c:ptCount val="1"/>
              </c:numCache>
            </c:numRef>
          </c:xVal>
          <c:yVal>
            <c:numRef>
              <c:f>Donnee_Omia_60!$N$2</c:f>
              <c:numCache>
                <c:formatCode>General</c:formatCode>
                <c:ptCount val="1"/>
              </c:numCache>
            </c:numRef>
          </c:yVal>
          <c:smooth val="0"/>
          <c:extLst>
            <c:ext xmlns:c16="http://schemas.microsoft.com/office/drawing/2014/chart" uri="{C3380CC4-5D6E-409C-BE32-E72D297353CC}">
              <c16:uniqueId val="{0000000C-3671-42EA-BF1A-CC62DFA7D48B}"/>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150°C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Donnee_Omia_150!$B$1</c:f>
              <c:strCache>
                <c:ptCount val="1"/>
                <c:pt idx="0">
                  <c:v>Connecteur 1</c:v>
                </c:pt>
              </c:strCache>
            </c:strRef>
          </c:tx>
          <c:spPr>
            <a:ln w="19050" cap="rnd">
              <a:solidFill>
                <a:schemeClr val="accent1"/>
              </a:solidFill>
              <a:round/>
            </a:ln>
            <a:effectLst/>
          </c:spPr>
          <c:marker>
            <c:symbol val="none"/>
          </c:marker>
          <c:xVal>
            <c:numRef>
              <c:f>Donnee_Omia_150!$A$2</c:f>
              <c:numCache>
                <c:formatCode>General</c:formatCode>
                <c:ptCount val="1"/>
              </c:numCache>
            </c:numRef>
          </c:xVal>
          <c:yVal>
            <c:numRef>
              <c:f>Donnee_Omia_150!$B$2</c:f>
              <c:numCache>
                <c:formatCode>General</c:formatCode>
                <c:ptCount val="1"/>
              </c:numCache>
            </c:numRef>
          </c:yVal>
          <c:smooth val="0"/>
          <c:extLst>
            <c:ext xmlns:c16="http://schemas.microsoft.com/office/drawing/2014/chart" uri="{C3380CC4-5D6E-409C-BE32-E72D297353CC}">
              <c16:uniqueId val="{00000000-22DD-42F6-A10E-D8177D803F09}"/>
            </c:ext>
          </c:extLst>
        </c:ser>
        <c:ser>
          <c:idx val="1"/>
          <c:order val="1"/>
          <c:tx>
            <c:strRef>
              <c:f>Donnee_Omia_150!$C$1</c:f>
              <c:strCache>
                <c:ptCount val="1"/>
                <c:pt idx="0">
                  <c:v>Connecteur 2</c:v>
                </c:pt>
              </c:strCache>
            </c:strRef>
          </c:tx>
          <c:spPr>
            <a:ln w="19050" cap="rnd">
              <a:solidFill>
                <a:schemeClr val="accent2"/>
              </a:solidFill>
              <a:round/>
            </a:ln>
            <a:effectLst/>
          </c:spPr>
          <c:marker>
            <c:symbol val="none"/>
          </c:marker>
          <c:xVal>
            <c:numRef>
              <c:f>Donnee_Omia_150!$A$2</c:f>
              <c:numCache>
                <c:formatCode>General</c:formatCode>
                <c:ptCount val="1"/>
              </c:numCache>
            </c:numRef>
          </c:xVal>
          <c:yVal>
            <c:numRef>
              <c:f>Donnee_Omia_150!$C$2</c:f>
              <c:numCache>
                <c:formatCode>General</c:formatCode>
                <c:ptCount val="1"/>
              </c:numCache>
            </c:numRef>
          </c:yVal>
          <c:smooth val="0"/>
          <c:extLst>
            <c:ext xmlns:c16="http://schemas.microsoft.com/office/drawing/2014/chart" uri="{C3380CC4-5D6E-409C-BE32-E72D297353CC}">
              <c16:uniqueId val="{00000001-22DD-42F6-A10E-D8177D803F09}"/>
            </c:ext>
          </c:extLst>
        </c:ser>
        <c:ser>
          <c:idx val="2"/>
          <c:order val="2"/>
          <c:tx>
            <c:strRef>
              <c:f>Donnee_Omia_150!$D$1</c:f>
              <c:strCache>
                <c:ptCount val="1"/>
                <c:pt idx="0">
                  <c:v>Connecteur 3</c:v>
                </c:pt>
              </c:strCache>
            </c:strRef>
          </c:tx>
          <c:spPr>
            <a:ln w="19050" cap="rnd">
              <a:solidFill>
                <a:schemeClr val="accent3"/>
              </a:solidFill>
              <a:round/>
            </a:ln>
            <a:effectLst/>
          </c:spPr>
          <c:marker>
            <c:symbol val="none"/>
          </c:marker>
          <c:xVal>
            <c:numRef>
              <c:f>Donnee_Omia_150!$A$2</c:f>
              <c:numCache>
                <c:formatCode>General</c:formatCode>
                <c:ptCount val="1"/>
              </c:numCache>
            </c:numRef>
          </c:xVal>
          <c:yVal>
            <c:numRef>
              <c:f>Donnee_Omia_150!$D$2</c:f>
              <c:numCache>
                <c:formatCode>General</c:formatCode>
                <c:ptCount val="1"/>
              </c:numCache>
            </c:numRef>
          </c:yVal>
          <c:smooth val="0"/>
          <c:extLst>
            <c:ext xmlns:c16="http://schemas.microsoft.com/office/drawing/2014/chart" uri="{C3380CC4-5D6E-409C-BE32-E72D297353CC}">
              <c16:uniqueId val="{00000002-22DD-42F6-A10E-D8177D803F09}"/>
            </c:ext>
          </c:extLst>
        </c:ser>
        <c:ser>
          <c:idx val="3"/>
          <c:order val="3"/>
          <c:tx>
            <c:strRef>
              <c:f>Donnee_Omia_150!$E$1</c:f>
              <c:strCache>
                <c:ptCount val="1"/>
                <c:pt idx="0">
                  <c:v>Connecteur 4</c:v>
                </c:pt>
              </c:strCache>
            </c:strRef>
          </c:tx>
          <c:spPr>
            <a:ln w="19050" cap="rnd">
              <a:solidFill>
                <a:schemeClr val="accent4"/>
              </a:solidFill>
              <a:round/>
            </a:ln>
            <a:effectLst/>
          </c:spPr>
          <c:marker>
            <c:symbol val="none"/>
          </c:marker>
          <c:xVal>
            <c:numRef>
              <c:f>Donnee_Omia_150!$A$2</c:f>
              <c:numCache>
                <c:formatCode>General</c:formatCode>
                <c:ptCount val="1"/>
              </c:numCache>
            </c:numRef>
          </c:xVal>
          <c:yVal>
            <c:numRef>
              <c:f>Donnee_Omia_150!$E$2</c:f>
              <c:numCache>
                <c:formatCode>General</c:formatCode>
                <c:ptCount val="1"/>
              </c:numCache>
            </c:numRef>
          </c:yVal>
          <c:smooth val="0"/>
          <c:extLst>
            <c:ext xmlns:c16="http://schemas.microsoft.com/office/drawing/2014/chart" uri="{C3380CC4-5D6E-409C-BE32-E72D297353CC}">
              <c16:uniqueId val="{00000003-22DD-42F6-A10E-D8177D803F09}"/>
            </c:ext>
          </c:extLst>
        </c:ser>
        <c:ser>
          <c:idx val="4"/>
          <c:order val="4"/>
          <c:tx>
            <c:strRef>
              <c:f>Donnee_Omia_150!$F$1</c:f>
              <c:strCache>
                <c:ptCount val="1"/>
                <c:pt idx="0">
                  <c:v>Connecteur 5</c:v>
                </c:pt>
              </c:strCache>
            </c:strRef>
          </c:tx>
          <c:spPr>
            <a:ln w="19050" cap="rnd">
              <a:solidFill>
                <a:schemeClr val="accent5"/>
              </a:solidFill>
              <a:round/>
            </a:ln>
            <a:effectLst/>
          </c:spPr>
          <c:marker>
            <c:symbol val="none"/>
          </c:marker>
          <c:xVal>
            <c:numRef>
              <c:f>Donnee_Omia_150!$A$2</c:f>
              <c:numCache>
                <c:formatCode>General</c:formatCode>
                <c:ptCount val="1"/>
              </c:numCache>
            </c:numRef>
          </c:xVal>
          <c:yVal>
            <c:numRef>
              <c:f>Donnee_Omia_150!$F$2</c:f>
              <c:numCache>
                <c:formatCode>General</c:formatCode>
                <c:ptCount val="1"/>
              </c:numCache>
            </c:numRef>
          </c:yVal>
          <c:smooth val="0"/>
          <c:extLst>
            <c:ext xmlns:c16="http://schemas.microsoft.com/office/drawing/2014/chart" uri="{C3380CC4-5D6E-409C-BE32-E72D297353CC}">
              <c16:uniqueId val="{00000004-22DD-42F6-A10E-D8177D803F09}"/>
            </c:ext>
          </c:extLst>
        </c:ser>
        <c:ser>
          <c:idx val="5"/>
          <c:order val="5"/>
          <c:tx>
            <c:strRef>
              <c:f>Donnee_Omia_150!$G$1</c:f>
              <c:strCache>
                <c:ptCount val="1"/>
                <c:pt idx="0">
                  <c:v>Connecteur 6</c:v>
                </c:pt>
              </c:strCache>
            </c:strRef>
          </c:tx>
          <c:spPr>
            <a:ln w="19050" cap="rnd">
              <a:solidFill>
                <a:schemeClr val="accent6"/>
              </a:solidFill>
              <a:round/>
            </a:ln>
            <a:effectLst/>
          </c:spPr>
          <c:marker>
            <c:symbol val="none"/>
          </c:marker>
          <c:xVal>
            <c:numRef>
              <c:f>Donnee_Omia_150!$A$2</c:f>
              <c:numCache>
                <c:formatCode>General</c:formatCode>
                <c:ptCount val="1"/>
              </c:numCache>
            </c:numRef>
          </c:xVal>
          <c:yVal>
            <c:numRef>
              <c:f>Donnee_Omia_150!$G$2</c:f>
              <c:numCache>
                <c:formatCode>General</c:formatCode>
                <c:ptCount val="1"/>
              </c:numCache>
            </c:numRef>
          </c:yVal>
          <c:smooth val="0"/>
          <c:extLst>
            <c:ext xmlns:c16="http://schemas.microsoft.com/office/drawing/2014/chart" uri="{C3380CC4-5D6E-409C-BE32-E72D297353CC}">
              <c16:uniqueId val="{00000005-22DD-42F6-A10E-D8177D803F09}"/>
            </c:ext>
          </c:extLst>
        </c:ser>
        <c:ser>
          <c:idx val="6"/>
          <c:order val="6"/>
          <c:tx>
            <c:strRef>
              <c:f>Donnee_Omia_150!$H$1</c:f>
              <c:strCache>
                <c:ptCount val="1"/>
                <c:pt idx="0">
                  <c:v>Connecteur 7</c:v>
                </c:pt>
              </c:strCache>
            </c:strRef>
          </c:tx>
          <c:spPr>
            <a:ln w="19050" cap="rnd">
              <a:solidFill>
                <a:schemeClr val="accent1">
                  <a:lumMod val="60000"/>
                </a:schemeClr>
              </a:solidFill>
              <a:round/>
            </a:ln>
            <a:effectLst/>
          </c:spPr>
          <c:marker>
            <c:symbol val="none"/>
          </c:marker>
          <c:xVal>
            <c:numRef>
              <c:f>Donnee_Omia_150!$A$2</c:f>
              <c:numCache>
                <c:formatCode>General</c:formatCode>
                <c:ptCount val="1"/>
              </c:numCache>
            </c:numRef>
          </c:xVal>
          <c:yVal>
            <c:numRef>
              <c:f>Donnee_Omia_150!$H$2</c:f>
              <c:numCache>
                <c:formatCode>General</c:formatCode>
                <c:ptCount val="1"/>
              </c:numCache>
            </c:numRef>
          </c:yVal>
          <c:smooth val="0"/>
          <c:extLst>
            <c:ext xmlns:c16="http://schemas.microsoft.com/office/drawing/2014/chart" uri="{C3380CC4-5D6E-409C-BE32-E72D297353CC}">
              <c16:uniqueId val="{00000006-22DD-42F6-A10E-D8177D803F09}"/>
            </c:ext>
          </c:extLst>
        </c:ser>
        <c:ser>
          <c:idx val="7"/>
          <c:order val="7"/>
          <c:tx>
            <c:strRef>
              <c:f>Donnee_Omia_150!$I$1</c:f>
              <c:strCache>
                <c:ptCount val="1"/>
                <c:pt idx="0">
                  <c:v>Connecteur 8</c:v>
                </c:pt>
              </c:strCache>
            </c:strRef>
          </c:tx>
          <c:spPr>
            <a:ln w="19050" cap="rnd">
              <a:solidFill>
                <a:schemeClr val="accent2">
                  <a:lumMod val="60000"/>
                </a:schemeClr>
              </a:solidFill>
              <a:round/>
            </a:ln>
            <a:effectLst/>
          </c:spPr>
          <c:marker>
            <c:symbol val="none"/>
          </c:marker>
          <c:xVal>
            <c:numRef>
              <c:f>Donnee_Omia_150!$A$2</c:f>
              <c:numCache>
                <c:formatCode>General</c:formatCode>
                <c:ptCount val="1"/>
              </c:numCache>
            </c:numRef>
          </c:xVal>
          <c:yVal>
            <c:numRef>
              <c:f>Donnee_Omia_150!$I$2</c:f>
              <c:numCache>
                <c:formatCode>General</c:formatCode>
                <c:ptCount val="1"/>
              </c:numCache>
            </c:numRef>
          </c:yVal>
          <c:smooth val="0"/>
          <c:extLst>
            <c:ext xmlns:c16="http://schemas.microsoft.com/office/drawing/2014/chart" uri="{C3380CC4-5D6E-409C-BE32-E72D297353CC}">
              <c16:uniqueId val="{00000007-22DD-42F6-A10E-D8177D803F09}"/>
            </c:ext>
          </c:extLst>
        </c:ser>
        <c:ser>
          <c:idx val="8"/>
          <c:order val="8"/>
          <c:tx>
            <c:strRef>
              <c:f>Donnee_Omia_150!$J$1</c:f>
              <c:strCache>
                <c:ptCount val="1"/>
                <c:pt idx="0">
                  <c:v>Connecteur 9</c:v>
                </c:pt>
              </c:strCache>
            </c:strRef>
          </c:tx>
          <c:spPr>
            <a:ln w="19050" cap="rnd">
              <a:solidFill>
                <a:schemeClr val="accent3">
                  <a:lumMod val="60000"/>
                </a:schemeClr>
              </a:solidFill>
              <a:round/>
            </a:ln>
            <a:effectLst/>
          </c:spPr>
          <c:marker>
            <c:symbol val="none"/>
          </c:marker>
          <c:xVal>
            <c:numRef>
              <c:f>Donnee_Omia_150!$A$2</c:f>
              <c:numCache>
                <c:formatCode>General</c:formatCode>
                <c:ptCount val="1"/>
              </c:numCache>
            </c:numRef>
          </c:xVal>
          <c:yVal>
            <c:numRef>
              <c:f>Donnee_Omia_150!$J$2</c:f>
              <c:numCache>
                <c:formatCode>General</c:formatCode>
                <c:ptCount val="1"/>
              </c:numCache>
            </c:numRef>
          </c:yVal>
          <c:smooth val="0"/>
          <c:extLst>
            <c:ext xmlns:c16="http://schemas.microsoft.com/office/drawing/2014/chart" uri="{C3380CC4-5D6E-409C-BE32-E72D297353CC}">
              <c16:uniqueId val="{00000008-22DD-42F6-A10E-D8177D803F09}"/>
            </c:ext>
          </c:extLst>
        </c:ser>
        <c:ser>
          <c:idx val="9"/>
          <c:order val="9"/>
          <c:tx>
            <c:strRef>
              <c:f>Donnee_Omia_150!$K$1</c:f>
              <c:strCache>
                <c:ptCount val="1"/>
                <c:pt idx="0">
                  <c:v>Connecteur 10</c:v>
                </c:pt>
              </c:strCache>
            </c:strRef>
          </c:tx>
          <c:spPr>
            <a:ln w="19050" cap="rnd">
              <a:solidFill>
                <a:schemeClr val="accent4">
                  <a:lumMod val="60000"/>
                </a:schemeClr>
              </a:solidFill>
              <a:round/>
            </a:ln>
            <a:effectLst/>
          </c:spPr>
          <c:marker>
            <c:symbol val="none"/>
          </c:marker>
          <c:xVal>
            <c:numRef>
              <c:f>Donnee_Omia_150!$A$2</c:f>
              <c:numCache>
                <c:formatCode>General</c:formatCode>
                <c:ptCount val="1"/>
              </c:numCache>
            </c:numRef>
          </c:xVal>
          <c:yVal>
            <c:numRef>
              <c:f>Donnee_Omia_150!$K$2</c:f>
              <c:numCache>
                <c:formatCode>General</c:formatCode>
                <c:ptCount val="1"/>
              </c:numCache>
            </c:numRef>
          </c:yVal>
          <c:smooth val="0"/>
          <c:extLst>
            <c:ext xmlns:c16="http://schemas.microsoft.com/office/drawing/2014/chart" uri="{C3380CC4-5D6E-409C-BE32-E72D297353CC}">
              <c16:uniqueId val="{00000009-22DD-42F6-A10E-D8177D803F09}"/>
            </c:ext>
          </c:extLst>
        </c:ser>
        <c:ser>
          <c:idx val="10"/>
          <c:order val="10"/>
          <c:tx>
            <c:strRef>
              <c:f>Donnee_Omia_150!$L$1</c:f>
              <c:strCache>
                <c:ptCount val="1"/>
                <c:pt idx="0">
                  <c:v>Connecteur 11</c:v>
                </c:pt>
              </c:strCache>
            </c:strRef>
          </c:tx>
          <c:spPr>
            <a:ln w="19050" cap="rnd">
              <a:solidFill>
                <a:schemeClr val="accent5">
                  <a:lumMod val="60000"/>
                </a:schemeClr>
              </a:solidFill>
              <a:round/>
            </a:ln>
            <a:effectLst/>
          </c:spPr>
          <c:marker>
            <c:symbol val="none"/>
          </c:marker>
          <c:xVal>
            <c:numRef>
              <c:f>Donnee_Omia_150!$A$2</c:f>
              <c:numCache>
                <c:formatCode>General</c:formatCode>
                <c:ptCount val="1"/>
              </c:numCache>
            </c:numRef>
          </c:xVal>
          <c:yVal>
            <c:numRef>
              <c:f>Donnee_Omia_150!$L$2</c:f>
              <c:numCache>
                <c:formatCode>General</c:formatCode>
                <c:ptCount val="1"/>
              </c:numCache>
            </c:numRef>
          </c:yVal>
          <c:smooth val="0"/>
          <c:extLst>
            <c:ext xmlns:c16="http://schemas.microsoft.com/office/drawing/2014/chart" uri="{C3380CC4-5D6E-409C-BE32-E72D297353CC}">
              <c16:uniqueId val="{0000000A-22DD-42F6-A10E-D8177D803F09}"/>
            </c:ext>
          </c:extLst>
        </c:ser>
        <c:ser>
          <c:idx val="11"/>
          <c:order val="11"/>
          <c:tx>
            <c:strRef>
              <c:f>Donnee_Omia_150!$M$1</c:f>
              <c:strCache>
                <c:ptCount val="1"/>
                <c:pt idx="0">
                  <c:v>Connecteur 12</c:v>
                </c:pt>
              </c:strCache>
            </c:strRef>
          </c:tx>
          <c:spPr>
            <a:ln w="19050" cap="rnd">
              <a:solidFill>
                <a:schemeClr val="accent6">
                  <a:lumMod val="60000"/>
                </a:schemeClr>
              </a:solidFill>
              <a:round/>
            </a:ln>
            <a:effectLst/>
          </c:spPr>
          <c:marker>
            <c:symbol val="none"/>
          </c:marker>
          <c:xVal>
            <c:numRef>
              <c:f>Donnee_Omia_150!$A$2</c:f>
              <c:numCache>
                <c:formatCode>General</c:formatCode>
                <c:ptCount val="1"/>
              </c:numCache>
            </c:numRef>
          </c:xVal>
          <c:yVal>
            <c:numRef>
              <c:f>Donnee_Omia_150!$M$2</c:f>
              <c:numCache>
                <c:formatCode>General</c:formatCode>
                <c:ptCount val="1"/>
              </c:numCache>
            </c:numRef>
          </c:yVal>
          <c:smooth val="0"/>
          <c:extLst>
            <c:ext xmlns:c16="http://schemas.microsoft.com/office/drawing/2014/chart" uri="{C3380CC4-5D6E-409C-BE32-E72D297353CC}">
              <c16:uniqueId val="{0000000B-22DD-42F6-A10E-D8177D803F09}"/>
            </c:ext>
          </c:extLst>
        </c:ser>
        <c:ser>
          <c:idx val="12"/>
          <c:order val="12"/>
          <c:tx>
            <c:strRef>
              <c:f>Donnee_Omia_150!$N$1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Donnee_Omia_150!$A$2</c:f>
              <c:numCache>
                <c:formatCode>General</c:formatCode>
                <c:ptCount val="1"/>
              </c:numCache>
            </c:numRef>
          </c:xVal>
          <c:yVal>
            <c:numRef>
              <c:f>Donnee_Omia_150!$N$2</c:f>
              <c:numCache>
                <c:formatCode>General</c:formatCode>
                <c:ptCount val="1"/>
              </c:numCache>
            </c:numRef>
          </c:yVal>
          <c:smooth val="0"/>
          <c:extLst>
            <c:ext xmlns:c16="http://schemas.microsoft.com/office/drawing/2014/chart" uri="{C3380CC4-5D6E-409C-BE32-E72D297353CC}">
              <c16:uniqueId val="{0000000C-22DD-42F6-A10E-D8177D803F09}"/>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à 190°C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Donnee_Omia_190!$B$1</c:f>
              <c:strCache>
                <c:ptCount val="1"/>
                <c:pt idx="0">
                  <c:v>Connecteur 1</c:v>
                </c:pt>
              </c:strCache>
            </c:strRef>
          </c:tx>
          <c:spPr>
            <a:ln w="19050" cap="rnd">
              <a:solidFill>
                <a:schemeClr val="accent1"/>
              </a:solidFill>
              <a:round/>
            </a:ln>
            <a:effectLst/>
          </c:spPr>
          <c:marker>
            <c:symbol val="none"/>
          </c:marker>
          <c:xVal>
            <c:numRef>
              <c:f>Donnee_Omia_190!$A$2</c:f>
              <c:numCache>
                <c:formatCode>General</c:formatCode>
                <c:ptCount val="1"/>
              </c:numCache>
            </c:numRef>
          </c:xVal>
          <c:yVal>
            <c:numRef>
              <c:f>Donnee_Omia_190!$B$2</c:f>
              <c:numCache>
                <c:formatCode>General</c:formatCode>
                <c:ptCount val="1"/>
              </c:numCache>
            </c:numRef>
          </c:yVal>
          <c:smooth val="0"/>
          <c:extLst>
            <c:ext xmlns:c16="http://schemas.microsoft.com/office/drawing/2014/chart" uri="{C3380CC4-5D6E-409C-BE32-E72D297353CC}">
              <c16:uniqueId val="{00000000-EF0C-4DA7-B215-E2BC0082447E}"/>
            </c:ext>
          </c:extLst>
        </c:ser>
        <c:ser>
          <c:idx val="1"/>
          <c:order val="1"/>
          <c:tx>
            <c:strRef>
              <c:f>Donnee_Omia_190!$C$1</c:f>
              <c:strCache>
                <c:ptCount val="1"/>
                <c:pt idx="0">
                  <c:v>Connecteur 2</c:v>
                </c:pt>
              </c:strCache>
            </c:strRef>
          </c:tx>
          <c:spPr>
            <a:ln w="19050" cap="rnd">
              <a:solidFill>
                <a:schemeClr val="accent2"/>
              </a:solidFill>
              <a:round/>
            </a:ln>
            <a:effectLst/>
          </c:spPr>
          <c:marker>
            <c:symbol val="none"/>
          </c:marker>
          <c:xVal>
            <c:numRef>
              <c:f>Donnee_Omia_190!$A$2</c:f>
              <c:numCache>
                <c:formatCode>General</c:formatCode>
                <c:ptCount val="1"/>
              </c:numCache>
            </c:numRef>
          </c:xVal>
          <c:yVal>
            <c:numRef>
              <c:f>Donnee_Omia_190!$C$2</c:f>
              <c:numCache>
                <c:formatCode>General</c:formatCode>
                <c:ptCount val="1"/>
              </c:numCache>
            </c:numRef>
          </c:yVal>
          <c:smooth val="0"/>
          <c:extLst>
            <c:ext xmlns:c16="http://schemas.microsoft.com/office/drawing/2014/chart" uri="{C3380CC4-5D6E-409C-BE32-E72D297353CC}">
              <c16:uniqueId val="{00000001-EF0C-4DA7-B215-E2BC0082447E}"/>
            </c:ext>
          </c:extLst>
        </c:ser>
        <c:ser>
          <c:idx val="2"/>
          <c:order val="2"/>
          <c:tx>
            <c:strRef>
              <c:f>Donnee_Omia_190!$D$1</c:f>
              <c:strCache>
                <c:ptCount val="1"/>
                <c:pt idx="0">
                  <c:v>Connecteur 3</c:v>
                </c:pt>
              </c:strCache>
            </c:strRef>
          </c:tx>
          <c:spPr>
            <a:ln w="19050" cap="rnd">
              <a:solidFill>
                <a:schemeClr val="accent3"/>
              </a:solidFill>
              <a:round/>
            </a:ln>
            <a:effectLst/>
          </c:spPr>
          <c:marker>
            <c:symbol val="none"/>
          </c:marker>
          <c:xVal>
            <c:numRef>
              <c:f>Donnee_Omia_190!$A$2</c:f>
              <c:numCache>
                <c:formatCode>General</c:formatCode>
                <c:ptCount val="1"/>
              </c:numCache>
            </c:numRef>
          </c:xVal>
          <c:yVal>
            <c:numRef>
              <c:f>Donnee_Omia_190!$D$2</c:f>
              <c:numCache>
                <c:formatCode>General</c:formatCode>
                <c:ptCount val="1"/>
              </c:numCache>
            </c:numRef>
          </c:yVal>
          <c:smooth val="0"/>
          <c:extLst>
            <c:ext xmlns:c16="http://schemas.microsoft.com/office/drawing/2014/chart" uri="{C3380CC4-5D6E-409C-BE32-E72D297353CC}">
              <c16:uniqueId val="{00000002-EF0C-4DA7-B215-E2BC0082447E}"/>
            </c:ext>
          </c:extLst>
        </c:ser>
        <c:ser>
          <c:idx val="3"/>
          <c:order val="3"/>
          <c:tx>
            <c:strRef>
              <c:f>Donnee_Omia_190!$E$1</c:f>
              <c:strCache>
                <c:ptCount val="1"/>
                <c:pt idx="0">
                  <c:v>Connecteur 4</c:v>
                </c:pt>
              </c:strCache>
            </c:strRef>
          </c:tx>
          <c:spPr>
            <a:ln w="19050" cap="rnd">
              <a:solidFill>
                <a:schemeClr val="accent4"/>
              </a:solidFill>
              <a:round/>
            </a:ln>
            <a:effectLst/>
          </c:spPr>
          <c:marker>
            <c:symbol val="none"/>
          </c:marker>
          <c:xVal>
            <c:numRef>
              <c:f>Donnee_Omia_190!$A$2</c:f>
              <c:numCache>
                <c:formatCode>General</c:formatCode>
                <c:ptCount val="1"/>
              </c:numCache>
            </c:numRef>
          </c:xVal>
          <c:yVal>
            <c:numRef>
              <c:f>Donnee_Omia_190!$E$2</c:f>
              <c:numCache>
                <c:formatCode>General</c:formatCode>
                <c:ptCount val="1"/>
              </c:numCache>
            </c:numRef>
          </c:yVal>
          <c:smooth val="0"/>
          <c:extLst>
            <c:ext xmlns:c16="http://schemas.microsoft.com/office/drawing/2014/chart" uri="{C3380CC4-5D6E-409C-BE32-E72D297353CC}">
              <c16:uniqueId val="{00000003-EF0C-4DA7-B215-E2BC0082447E}"/>
            </c:ext>
          </c:extLst>
        </c:ser>
        <c:ser>
          <c:idx val="4"/>
          <c:order val="4"/>
          <c:tx>
            <c:strRef>
              <c:f>Donnee_Omia_190!$F$1</c:f>
              <c:strCache>
                <c:ptCount val="1"/>
                <c:pt idx="0">
                  <c:v>Connecteur 5</c:v>
                </c:pt>
              </c:strCache>
            </c:strRef>
          </c:tx>
          <c:spPr>
            <a:ln w="19050" cap="rnd">
              <a:solidFill>
                <a:schemeClr val="accent5"/>
              </a:solidFill>
              <a:round/>
            </a:ln>
            <a:effectLst/>
          </c:spPr>
          <c:marker>
            <c:symbol val="none"/>
          </c:marker>
          <c:xVal>
            <c:numRef>
              <c:f>Donnee_Omia_190!$A$2</c:f>
              <c:numCache>
                <c:formatCode>General</c:formatCode>
                <c:ptCount val="1"/>
              </c:numCache>
            </c:numRef>
          </c:xVal>
          <c:yVal>
            <c:numRef>
              <c:f>Donnee_Omia_190!$F$2</c:f>
              <c:numCache>
                <c:formatCode>General</c:formatCode>
                <c:ptCount val="1"/>
              </c:numCache>
            </c:numRef>
          </c:yVal>
          <c:smooth val="0"/>
          <c:extLst>
            <c:ext xmlns:c16="http://schemas.microsoft.com/office/drawing/2014/chart" uri="{C3380CC4-5D6E-409C-BE32-E72D297353CC}">
              <c16:uniqueId val="{00000004-EF0C-4DA7-B215-E2BC0082447E}"/>
            </c:ext>
          </c:extLst>
        </c:ser>
        <c:ser>
          <c:idx val="5"/>
          <c:order val="5"/>
          <c:tx>
            <c:strRef>
              <c:f>Donnee_Omia_190!$G$1</c:f>
              <c:strCache>
                <c:ptCount val="1"/>
                <c:pt idx="0">
                  <c:v>Connecteur 6</c:v>
                </c:pt>
              </c:strCache>
            </c:strRef>
          </c:tx>
          <c:spPr>
            <a:ln w="19050" cap="rnd">
              <a:solidFill>
                <a:schemeClr val="accent6"/>
              </a:solidFill>
              <a:round/>
            </a:ln>
            <a:effectLst/>
          </c:spPr>
          <c:marker>
            <c:symbol val="none"/>
          </c:marker>
          <c:xVal>
            <c:numRef>
              <c:f>Donnee_Omia_190!$A$2</c:f>
              <c:numCache>
                <c:formatCode>General</c:formatCode>
                <c:ptCount val="1"/>
              </c:numCache>
            </c:numRef>
          </c:xVal>
          <c:yVal>
            <c:numRef>
              <c:f>Donnee_Omia_190!$G$2</c:f>
              <c:numCache>
                <c:formatCode>General</c:formatCode>
                <c:ptCount val="1"/>
              </c:numCache>
            </c:numRef>
          </c:yVal>
          <c:smooth val="0"/>
          <c:extLst>
            <c:ext xmlns:c16="http://schemas.microsoft.com/office/drawing/2014/chart" uri="{C3380CC4-5D6E-409C-BE32-E72D297353CC}">
              <c16:uniqueId val="{00000005-EF0C-4DA7-B215-E2BC0082447E}"/>
            </c:ext>
          </c:extLst>
        </c:ser>
        <c:ser>
          <c:idx val="6"/>
          <c:order val="6"/>
          <c:tx>
            <c:strRef>
              <c:f>Donnee_Omia_190!$H$1</c:f>
              <c:strCache>
                <c:ptCount val="1"/>
                <c:pt idx="0">
                  <c:v>Connecteur 7</c:v>
                </c:pt>
              </c:strCache>
            </c:strRef>
          </c:tx>
          <c:spPr>
            <a:ln w="19050" cap="rnd">
              <a:solidFill>
                <a:schemeClr val="accent1">
                  <a:lumMod val="60000"/>
                </a:schemeClr>
              </a:solidFill>
              <a:round/>
            </a:ln>
            <a:effectLst/>
          </c:spPr>
          <c:marker>
            <c:symbol val="none"/>
          </c:marker>
          <c:xVal>
            <c:numRef>
              <c:f>Donnee_Omia_190!$A$2</c:f>
              <c:numCache>
                <c:formatCode>General</c:formatCode>
                <c:ptCount val="1"/>
              </c:numCache>
            </c:numRef>
          </c:xVal>
          <c:yVal>
            <c:numRef>
              <c:f>Donnee_Omia_190!$H$2</c:f>
              <c:numCache>
                <c:formatCode>General</c:formatCode>
                <c:ptCount val="1"/>
              </c:numCache>
            </c:numRef>
          </c:yVal>
          <c:smooth val="0"/>
          <c:extLst>
            <c:ext xmlns:c16="http://schemas.microsoft.com/office/drawing/2014/chart" uri="{C3380CC4-5D6E-409C-BE32-E72D297353CC}">
              <c16:uniqueId val="{00000006-EF0C-4DA7-B215-E2BC0082447E}"/>
            </c:ext>
          </c:extLst>
        </c:ser>
        <c:ser>
          <c:idx val="7"/>
          <c:order val="7"/>
          <c:tx>
            <c:strRef>
              <c:f>Donnee_Omia_190!$I$1</c:f>
              <c:strCache>
                <c:ptCount val="1"/>
                <c:pt idx="0">
                  <c:v>Connecteur 8</c:v>
                </c:pt>
              </c:strCache>
            </c:strRef>
          </c:tx>
          <c:spPr>
            <a:ln w="19050" cap="rnd">
              <a:solidFill>
                <a:schemeClr val="accent2">
                  <a:lumMod val="60000"/>
                </a:schemeClr>
              </a:solidFill>
              <a:round/>
            </a:ln>
            <a:effectLst/>
          </c:spPr>
          <c:marker>
            <c:symbol val="none"/>
          </c:marker>
          <c:xVal>
            <c:numRef>
              <c:f>Donnee_Omia_190!$A$2</c:f>
              <c:numCache>
                <c:formatCode>General</c:formatCode>
                <c:ptCount val="1"/>
              </c:numCache>
            </c:numRef>
          </c:xVal>
          <c:yVal>
            <c:numRef>
              <c:f>Donnee_Omia_190!$I$2</c:f>
              <c:numCache>
                <c:formatCode>General</c:formatCode>
                <c:ptCount val="1"/>
              </c:numCache>
            </c:numRef>
          </c:yVal>
          <c:smooth val="0"/>
          <c:extLst>
            <c:ext xmlns:c16="http://schemas.microsoft.com/office/drawing/2014/chart" uri="{C3380CC4-5D6E-409C-BE32-E72D297353CC}">
              <c16:uniqueId val="{00000007-EF0C-4DA7-B215-E2BC0082447E}"/>
            </c:ext>
          </c:extLst>
        </c:ser>
        <c:ser>
          <c:idx val="8"/>
          <c:order val="8"/>
          <c:tx>
            <c:strRef>
              <c:f>Donnee_Omia_190!$J$1</c:f>
              <c:strCache>
                <c:ptCount val="1"/>
                <c:pt idx="0">
                  <c:v>Connecteur 9</c:v>
                </c:pt>
              </c:strCache>
            </c:strRef>
          </c:tx>
          <c:spPr>
            <a:ln w="19050" cap="rnd">
              <a:solidFill>
                <a:schemeClr val="accent3">
                  <a:lumMod val="60000"/>
                </a:schemeClr>
              </a:solidFill>
              <a:round/>
            </a:ln>
            <a:effectLst/>
          </c:spPr>
          <c:marker>
            <c:symbol val="none"/>
          </c:marker>
          <c:xVal>
            <c:numRef>
              <c:f>Donnee_Omia_190!$A$2</c:f>
              <c:numCache>
                <c:formatCode>General</c:formatCode>
                <c:ptCount val="1"/>
              </c:numCache>
            </c:numRef>
          </c:xVal>
          <c:yVal>
            <c:numRef>
              <c:f>Donnee_Omia_190!$J$2</c:f>
              <c:numCache>
                <c:formatCode>General</c:formatCode>
                <c:ptCount val="1"/>
              </c:numCache>
            </c:numRef>
          </c:yVal>
          <c:smooth val="0"/>
          <c:extLst>
            <c:ext xmlns:c16="http://schemas.microsoft.com/office/drawing/2014/chart" uri="{C3380CC4-5D6E-409C-BE32-E72D297353CC}">
              <c16:uniqueId val="{00000008-EF0C-4DA7-B215-E2BC0082447E}"/>
            </c:ext>
          </c:extLst>
        </c:ser>
        <c:ser>
          <c:idx val="9"/>
          <c:order val="9"/>
          <c:tx>
            <c:strRef>
              <c:f>Donnee_Omia_190!$K$1</c:f>
              <c:strCache>
                <c:ptCount val="1"/>
                <c:pt idx="0">
                  <c:v>Connecteur 10</c:v>
                </c:pt>
              </c:strCache>
            </c:strRef>
          </c:tx>
          <c:spPr>
            <a:ln w="19050" cap="rnd">
              <a:solidFill>
                <a:schemeClr val="accent4">
                  <a:lumMod val="60000"/>
                </a:schemeClr>
              </a:solidFill>
              <a:round/>
            </a:ln>
            <a:effectLst/>
          </c:spPr>
          <c:marker>
            <c:symbol val="none"/>
          </c:marker>
          <c:xVal>
            <c:numRef>
              <c:f>Donnee_Omia_190!$A$2</c:f>
              <c:numCache>
                <c:formatCode>General</c:formatCode>
                <c:ptCount val="1"/>
              </c:numCache>
            </c:numRef>
          </c:xVal>
          <c:yVal>
            <c:numRef>
              <c:f>Donnee_Omia_190!$K$2</c:f>
              <c:numCache>
                <c:formatCode>General</c:formatCode>
                <c:ptCount val="1"/>
              </c:numCache>
            </c:numRef>
          </c:yVal>
          <c:smooth val="0"/>
          <c:extLst>
            <c:ext xmlns:c16="http://schemas.microsoft.com/office/drawing/2014/chart" uri="{C3380CC4-5D6E-409C-BE32-E72D297353CC}">
              <c16:uniqueId val="{00000009-EF0C-4DA7-B215-E2BC0082447E}"/>
            </c:ext>
          </c:extLst>
        </c:ser>
        <c:ser>
          <c:idx val="10"/>
          <c:order val="10"/>
          <c:tx>
            <c:strRef>
              <c:f>Donnee_Omia_190!$L$1</c:f>
              <c:strCache>
                <c:ptCount val="1"/>
                <c:pt idx="0">
                  <c:v>Connecteur 11</c:v>
                </c:pt>
              </c:strCache>
            </c:strRef>
          </c:tx>
          <c:spPr>
            <a:ln w="19050" cap="rnd">
              <a:solidFill>
                <a:schemeClr val="accent5">
                  <a:lumMod val="60000"/>
                </a:schemeClr>
              </a:solidFill>
              <a:round/>
            </a:ln>
            <a:effectLst/>
          </c:spPr>
          <c:marker>
            <c:symbol val="none"/>
          </c:marker>
          <c:xVal>
            <c:numRef>
              <c:f>Donnee_Omia_190!$A$2</c:f>
              <c:numCache>
                <c:formatCode>General</c:formatCode>
                <c:ptCount val="1"/>
              </c:numCache>
            </c:numRef>
          </c:xVal>
          <c:yVal>
            <c:numRef>
              <c:f>Donnee_Omia_190!$L$2</c:f>
              <c:numCache>
                <c:formatCode>General</c:formatCode>
                <c:ptCount val="1"/>
              </c:numCache>
            </c:numRef>
          </c:yVal>
          <c:smooth val="0"/>
          <c:extLst>
            <c:ext xmlns:c16="http://schemas.microsoft.com/office/drawing/2014/chart" uri="{C3380CC4-5D6E-409C-BE32-E72D297353CC}">
              <c16:uniqueId val="{0000000A-EF0C-4DA7-B215-E2BC0082447E}"/>
            </c:ext>
          </c:extLst>
        </c:ser>
        <c:ser>
          <c:idx val="11"/>
          <c:order val="11"/>
          <c:tx>
            <c:strRef>
              <c:f>Donnee_Omia_190!$M$1</c:f>
              <c:strCache>
                <c:ptCount val="1"/>
                <c:pt idx="0">
                  <c:v>Connecteur 12</c:v>
                </c:pt>
              </c:strCache>
            </c:strRef>
          </c:tx>
          <c:spPr>
            <a:ln w="19050" cap="rnd">
              <a:solidFill>
                <a:schemeClr val="accent6">
                  <a:lumMod val="60000"/>
                </a:schemeClr>
              </a:solidFill>
              <a:round/>
            </a:ln>
            <a:effectLst/>
          </c:spPr>
          <c:marker>
            <c:symbol val="none"/>
          </c:marker>
          <c:xVal>
            <c:numRef>
              <c:f>Donnee_Omia_190!$A$2</c:f>
              <c:numCache>
                <c:formatCode>General</c:formatCode>
                <c:ptCount val="1"/>
              </c:numCache>
            </c:numRef>
          </c:xVal>
          <c:yVal>
            <c:numRef>
              <c:f>Donnee_Omia_190!$M$2</c:f>
              <c:numCache>
                <c:formatCode>General</c:formatCode>
                <c:ptCount val="1"/>
              </c:numCache>
            </c:numRef>
          </c:yVal>
          <c:smooth val="0"/>
          <c:extLst>
            <c:ext xmlns:c16="http://schemas.microsoft.com/office/drawing/2014/chart" uri="{C3380CC4-5D6E-409C-BE32-E72D297353CC}">
              <c16:uniqueId val="{0000000B-EF0C-4DA7-B215-E2BC0082447E}"/>
            </c:ext>
          </c:extLst>
        </c:ser>
        <c:ser>
          <c:idx val="12"/>
          <c:order val="12"/>
          <c:tx>
            <c:strRef>
              <c:f>Donnee_Omia_190!$N$1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Donnee_Omia_190!$A$2</c:f>
              <c:numCache>
                <c:formatCode>General</c:formatCode>
                <c:ptCount val="1"/>
              </c:numCache>
            </c:numRef>
          </c:xVal>
          <c:yVal>
            <c:numRef>
              <c:f>Donnee_Omia_190!$N$2</c:f>
              <c:numCache>
                <c:formatCode>General</c:formatCode>
                <c:ptCount val="1"/>
              </c:numCache>
            </c:numRef>
          </c:yVal>
          <c:smooth val="0"/>
          <c:extLst>
            <c:ext xmlns:c16="http://schemas.microsoft.com/office/drawing/2014/chart" uri="{C3380CC4-5D6E-409C-BE32-E72D297353CC}">
              <c16:uniqueId val="{0000000C-EF0C-4DA7-B215-E2BC0082447E}"/>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 l'enregistrement</a:t>
            </a:r>
            <a:r>
              <a:rPr lang="fr-FR" baseline="0"/>
              <a:t> à 60°C</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Donnee_Omia_60!$B$1</c:f>
              <c:strCache>
                <c:ptCount val="1"/>
                <c:pt idx="0">
                  <c:v>Connecteur 1</c:v>
                </c:pt>
              </c:strCache>
            </c:strRef>
          </c:tx>
          <c:spPr>
            <a:ln w="19050" cap="rnd">
              <a:solidFill>
                <a:schemeClr val="accent1"/>
              </a:solidFill>
              <a:round/>
            </a:ln>
            <a:effectLst/>
          </c:spPr>
          <c:marker>
            <c:symbol val="none"/>
          </c:marker>
          <c:xVal>
            <c:numRef>
              <c:f>Donnee_Omia_60!$A$2</c:f>
              <c:numCache>
                <c:formatCode>General</c:formatCode>
                <c:ptCount val="1"/>
              </c:numCache>
            </c:numRef>
          </c:xVal>
          <c:yVal>
            <c:numRef>
              <c:f>Donnee_Omia_60!$B$2</c:f>
              <c:numCache>
                <c:formatCode>General</c:formatCode>
                <c:ptCount val="1"/>
              </c:numCache>
            </c:numRef>
          </c:yVal>
          <c:smooth val="0"/>
          <c:extLst>
            <c:ext xmlns:c16="http://schemas.microsoft.com/office/drawing/2014/chart" uri="{C3380CC4-5D6E-409C-BE32-E72D297353CC}">
              <c16:uniqueId val="{00000000-B0B1-4087-B444-217C140CB1B7}"/>
            </c:ext>
          </c:extLst>
        </c:ser>
        <c:ser>
          <c:idx val="1"/>
          <c:order val="1"/>
          <c:tx>
            <c:strRef>
              <c:f>Donnee_Omia_60!$C$1</c:f>
              <c:strCache>
                <c:ptCount val="1"/>
                <c:pt idx="0">
                  <c:v>Connecteur 2</c:v>
                </c:pt>
              </c:strCache>
            </c:strRef>
          </c:tx>
          <c:spPr>
            <a:ln w="19050" cap="rnd">
              <a:solidFill>
                <a:schemeClr val="accent2"/>
              </a:solidFill>
              <a:round/>
            </a:ln>
            <a:effectLst/>
          </c:spPr>
          <c:marker>
            <c:symbol val="none"/>
          </c:marker>
          <c:xVal>
            <c:numRef>
              <c:f>Donnee_Omia_60!$A$2</c:f>
              <c:numCache>
                <c:formatCode>General</c:formatCode>
                <c:ptCount val="1"/>
              </c:numCache>
            </c:numRef>
          </c:xVal>
          <c:yVal>
            <c:numRef>
              <c:f>Donnee_Omia_60!$C$2</c:f>
              <c:numCache>
                <c:formatCode>General</c:formatCode>
                <c:ptCount val="1"/>
              </c:numCache>
            </c:numRef>
          </c:yVal>
          <c:smooth val="0"/>
          <c:extLst>
            <c:ext xmlns:c16="http://schemas.microsoft.com/office/drawing/2014/chart" uri="{C3380CC4-5D6E-409C-BE32-E72D297353CC}">
              <c16:uniqueId val="{00000001-B0B1-4087-B444-217C140CB1B7}"/>
            </c:ext>
          </c:extLst>
        </c:ser>
        <c:ser>
          <c:idx val="2"/>
          <c:order val="2"/>
          <c:tx>
            <c:strRef>
              <c:f>Donnee_Omia_60!$D$1</c:f>
              <c:strCache>
                <c:ptCount val="1"/>
                <c:pt idx="0">
                  <c:v>Connecteur 3</c:v>
                </c:pt>
              </c:strCache>
            </c:strRef>
          </c:tx>
          <c:spPr>
            <a:ln w="19050" cap="rnd">
              <a:solidFill>
                <a:schemeClr val="accent3"/>
              </a:solidFill>
              <a:round/>
            </a:ln>
            <a:effectLst/>
          </c:spPr>
          <c:marker>
            <c:symbol val="none"/>
          </c:marker>
          <c:xVal>
            <c:numRef>
              <c:f>Donnee_Omia_60!$A$2</c:f>
              <c:numCache>
                <c:formatCode>General</c:formatCode>
                <c:ptCount val="1"/>
              </c:numCache>
            </c:numRef>
          </c:xVal>
          <c:yVal>
            <c:numRef>
              <c:f>Donnee_Omia_60!$D$2</c:f>
              <c:numCache>
                <c:formatCode>General</c:formatCode>
                <c:ptCount val="1"/>
              </c:numCache>
            </c:numRef>
          </c:yVal>
          <c:smooth val="0"/>
          <c:extLst>
            <c:ext xmlns:c16="http://schemas.microsoft.com/office/drawing/2014/chart" uri="{C3380CC4-5D6E-409C-BE32-E72D297353CC}">
              <c16:uniqueId val="{00000002-B0B1-4087-B444-217C140CB1B7}"/>
            </c:ext>
          </c:extLst>
        </c:ser>
        <c:ser>
          <c:idx val="3"/>
          <c:order val="3"/>
          <c:tx>
            <c:strRef>
              <c:f>Donnee_Omia_60!$E$1</c:f>
              <c:strCache>
                <c:ptCount val="1"/>
                <c:pt idx="0">
                  <c:v>Connecteur 4</c:v>
                </c:pt>
              </c:strCache>
            </c:strRef>
          </c:tx>
          <c:spPr>
            <a:ln w="19050" cap="rnd">
              <a:solidFill>
                <a:schemeClr val="accent4"/>
              </a:solidFill>
              <a:round/>
            </a:ln>
            <a:effectLst/>
          </c:spPr>
          <c:marker>
            <c:symbol val="none"/>
          </c:marker>
          <c:xVal>
            <c:numRef>
              <c:f>Donnee_Omia_60!$A$2</c:f>
              <c:numCache>
                <c:formatCode>General</c:formatCode>
                <c:ptCount val="1"/>
              </c:numCache>
            </c:numRef>
          </c:xVal>
          <c:yVal>
            <c:numRef>
              <c:f>Donnee_Omia_60!$E$2</c:f>
              <c:numCache>
                <c:formatCode>General</c:formatCode>
                <c:ptCount val="1"/>
              </c:numCache>
            </c:numRef>
          </c:yVal>
          <c:smooth val="0"/>
          <c:extLst>
            <c:ext xmlns:c16="http://schemas.microsoft.com/office/drawing/2014/chart" uri="{C3380CC4-5D6E-409C-BE32-E72D297353CC}">
              <c16:uniqueId val="{00000003-B0B1-4087-B444-217C140CB1B7}"/>
            </c:ext>
          </c:extLst>
        </c:ser>
        <c:ser>
          <c:idx val="4"/>
          <c:order val="4"/>
          <c:tx>
            <c:strRef>
              <c:f>Donnee_Omia_60!$F$1</c:f>
              <c:strCache>
                <c:ptCount val="1"/>
                <c:pt idx="0">
                  <c:v>Connecteur 5</c:v>
                </c:pt>
              </c:strCache>
            </c:strRef>
          </c:tx>
          <c:spPr>
            <a:ln w="19050" cap="rnd">
              <a:solidFill>
                <a:schemeClr val="accent5"/>
              </a:solidFill>
              <a:round/>
            </a:ln>
            <a:effectLst/>
          </c:spPr>
          <c:marker>
            <c:symbol val="none"/>
          </c:marker>
          <c:xVal>
            <c:numRef>
              <c:f>Donnee_Omia_60!$A$2</c:f>
              <c:numCache>
                <c:formatCode>General</c:formatCode>
                <c:ptCount val="1"/>
              </c:numCache>
            </c:numRef>
          </c:xVal>
          <c:yVal>
            <c:numRef>
              <c:f>Donnee_Omia_60!$F$2</c:f>
              <c:numCache>
                <c:formatCode>General</c:formatCode>
                <c:ptCount val="1"/>
              </c:numCache>
            </c:numRef>
          </c:yVal>
          <c:smooth val="0"/>
          <c:extLst>
            <c:ext xmlns:c16="http://schemas.microsoft.com/office/drawing/2014/chart" uri="{C3380CC4-5D6E-409C-BE32-E72D297353CC}">
              <c16:uniqueId val="{00000004-B0B1-4087-B444-217C140CB1B7}"/>
            </c:ext>
          </c:extLst>
        </c:ser>
        <c:ser>
          <c:idx val="5"/>
          <c:order val="5"/>
          <c:tx>
            <c:strRef>
              <c:f>Donnee_Omia_60!$G$1</c:f>
              <c:strCache>
                <c:ptCount val="1"/>
                <c:pt idx="0">
                  <c:v>Connecteur 6</c:v>
                </c:pt>
              </c:strCache>
            </c:strRef>
          </c:tx>
          <c:spPr>
            <a:ln w="19050" cap="rnd">
              <a:solidFill>
                <a:schemeClr val="accent6"/>
              </a:solidFill>
              <a:round/>
            </a:ln>
            <a:effectLst/>
          </c:spPr>
          <c:marker>
            <c:symbol val="none"/>
          </c:marker>
          <c:xVal>
            <c:numRef>
              <c:f>Donnee_Omia_60!$A$2</c:f>
              <c:numCache>
                <c:formatCode>General</c:formatCode>
                <c:ptCount val="1"/>
              </c:numCache>
            </c:numRef>
          </c:xVal>
          <c:yVal>
            <c:numRef>
              <c:f>Donnee_Omia_60!$G$2</c:f>
              <c:numCache>
                <c:formatCode>General</c:formatCode>
                <c:ptCount val="1"/>
              </c:numCache>
            </c:numRef>
          </c:yVal>
          <c:smooth val="0"/>
          <c:extLst>
            <c:ext xmlns:c16="http://schemas.microsoft.com/office/drawing/2014/chart" uri="{C3380CC4-5D6E-409C-BE32-E72D297353CC}">
              <c16:uniqueId val="{00000005-B0B1-4087-B444-217C140CB1B7}"/>
            </c:ext>
          </c:extLst>
        </c:ser>
        <c:ser>
          <c:idx val="6"/>
          <c:order val="6"/>
          <c:tx>
            <c:strRef>
              <c:f>Donnee_Omia_60!$H$1</c:f>
              <c:strCache>
                <c:ptCount val="1"/>
                <c:pt idx="0">
                  <c:v>Connecteur 7</c:v>
                </c:pt>
              </c:strCache>
            </c:strRef>
          </c:tx>
          <c:spPr>
            <a:ln w="19050" cap="rnd">
              <a:solidFill>
                <a:schemeClr val="accent1">
                  <a:lumMod val="60000"/>
                </a:schemeClr>
              </a:solidFill>
              <a:round/>
            </a:ln>
            <a:effectLst/>
          </c:spPr>
          <c:marker>
            <c:symbol val="none"/>
          </c:marker>
          <c:xVal>
            <c:numRef>
              <c:f>Donnee_Omia_60!$A$2</c:f>
              <c:numCache>
                <c:formatCode>General</c:formatCode>
                <c:ptCount val="1"/>
              </c:numCache>
            </c:numRef>
          </c:xVal>
          <c:yVal>
            <c:numRef>
              <c:f>Donnee_Omia_60!$H$2</c:f>
              <c:numCache>
                <c:formatCode>General</c:formatCode>
                <c:ptCount val="1"/>
              </c:numCache>
            </c:numRef>
          </c:yVal>
          <c:smooth val="0"/>
          <c:extLst>
            <c:ext xmlns:c16="http://schemas.microsoft.com/office/drawing/2014/chart" uri="{C3380CC4-5D6E-409C-BE32-E72D297353CC}">
              <c16:uniqueId val="{00000006-B0B1-4087-B444-217C140CB1B7}"/>
            </c:ext>
          </c:extLst>
        </c:ser>
        <c:ser>
          <c:idx val="7"/>
          <c:order val="7"/>
          <c:tx>
            <c:strRef>
              <c:f>Donnee_Omia_60!$I$1</c:f>
              <c:strCache>
                <c:ptCount val="1"/>
                <c:pt idx="0">
                  <c:v>Connecteur 8</c:v>
                </c:pt>
              </c:strCache>
            </c:strRef>
          </c:tx>
          <c:spPr>
            <a:ln w="19050" cap="rnd">
              <a:solidFill>
                <a:schemeClr val="accent2">
                  <a:lumMod val="60000"/>
                </a:schemeClr>
              </a:solidFill>
              <a:round/>
            </a:ln>
            <a:effectLst/>
          </c:spPr>
          <c:marker>
            <c:symbol val="none"/>
          </c:marker>
          <c:xVal>
            <c:numRef>
              <c:f>Donnee_Omia_60!$A$2</c:f>
              <c:numCache>
                <c:formatCode>General</c:formatCode>
                <c:ptCount val="1"/>
              </c:numCache>
            </c:numRef>
          </c:xVal>
          <c:yVal>
            <c:numRef>
              <c:f>Donnee_Omia_60!$I$2</c:f>
              <c:numCache>
                <c:formatCode>General</c:formatCode>
                <c:ptCount val="1"/>
              </c:numCache>
            </c:numRef>
          </c:yVal>
          <c:smooth val="0"/>
          <c:extLst>
            <c:ext xmlns:c16="http://schemas.microsoft.com/office/drawing/2014/chart" uri="{C3380CC4-5D6E-409C-BE32-E72D297353CC}">
              <c16:uniqueId val="{00000007-B0B1-4087-B444-217C140CB1B7}"/>
            </c:ext>
          </c:extLst>
        </c:ser>
        <c:ser>
          <c:idx val="8"/>
          <c:order val="8"/>
          <c:tx>
            <c:strRef>
              <c:f>Donnee_Omia_60!$J$1</c:f>
              <c:strCache>
                <c:ptCount val="1"/>
                <c:pt idx="0">
                  <c:v>Connecteur 9</c:v>
                </c:pt>
              </c:strCache>
            </c:strRef>
          </c:tx>
          <c:spPr>
            <a:ln w="19050" cap="rnd">
              <a:solidFill>
                <a:schemeClr val="accent3">
                  <a:lumMod val="60000"/>
                </a:schemeClr>
              </a:solidFill>
              <a:round/>
            </a:ln>
            <a:effectLst/>
          </c:spPr>
          <c:marker>
            <c:symbol val="none"/>
          </c:marker>
          <c:xVal>
            <c:numRef>
              <c:f>Donnee_Omia_60!$A$2</c:f>
              <c:numCache>
                <c:formatCode>General</c:formatCode>
                <c:ptCount val="1"/>
              </c:numCache>
            </c:numRef>
          </c:xVal>
          <c:yVal>
            <c:numRef>
              <c:f>Donnee_Omia_60!$J$2</c:f>
              <c:numCache>
                <c:formatCode>General</c:formatCode>
                <c:ptCount val="1"/>
              </c:numCache>
            </c:numRef>
          </c:yVal>
          <c:smooth val="0"/>
          <c:extLst>
            <c:ext xmlns:c16="http://schemas.microsoft.com/office/drawing/2014/chart" uri="{C3380CC4-5D6E-409C-BE32-E72D297353CC}">
              <c16:uniqueId val="{00000008-B0B1-4087-B444-217C140CB1B7}"/>
            </c:ext>
          </c:extLst>
        </c:ser>
        <c:ser>
          <c:idx val="9"/>
          <c:order val="9"/>
          <c:tx>
            <c:strRef>
              <c:f>Donnee_Omia_60!$K$1</c:f>
              <c:strCache>
                <c:ptCount val="1"/>
                <c:pt idx="0">
                  <c:v>Connecteur 10</c:v>
                </c:pt>
              </c:strCache>
            </c:strRef>
          </c:tx>
          <c:spPr>
            <a:ln w="19050" cap="rnd">
              <a:solidFill>
                <a:schemeClr val="accent4">
                  <a:lumMod val="60000"/>
                </a:schemeClr>
              </a:solidFill>
              <a:round/>
            </a:ln>
            <a:effectLst/>
          </c:spPr>
          <c:marker>
            <c:symbol val="none"/>
          </c:marker>
          <c:xVal>
            <c:numRef>
              <c:f>Donnee_Omia_60!$A$2</c:f>
              <c:numCache>
                <c:formatCode>General</c:formatCode>
                <c:ptCount val="1"/>
              </c:numCache>
            </c:numRef>
          </c:xVal>
          <c:yVal>
            <c:numRef>
              <c:f>Donnee_Omia_60!$K$2</c:f>
              <c:numCache>
                <c:formatCode>General</c:formatCode>
                <c:ptCount val="1"/>
              </c:numCache>
            </c:numRef>
          </c:yVal>
          <c:smooth val="0"/>
          <c:extLst>
            <c:ext xmlns:c16="http://schemas.microsoft.com/office/drawing/2014/chart" uri="{C3380CC4-5D6E-409C-BE32-E72D297353CC}">
              <c16:uniqueId val="{00000009-B0B1-4087-B444-217C140CB1B7}"/>
            </c:ext>
          </c:extLst>
        </c:ser>
        <c:ser>
          <c:idx val="10"/>
          <c:order val="10"/>
          <c:tx>
            <c:strRef>
              <c:f>Donnee_Omia_60!$L$1</c:f>
              <c:strCache>
                <c:ptCount val="1"/>
                <c:pt idx="0">
                  <c:v>Connecteur 11</c:v>
                </c:pt>
              </c:strCache>
            </c:strRef>
          </c:tx>
          <c:spPr>
            <a:ln w="19050" cap="rnd">
              <a:solidFill>
                <a:schemeClr val="accent5">
                  <a:lumMod val="60000"/>
                </a:schemeClr>
              </a:solidFill>
              <a:round/>
            </a:ln>
            <a:effectLst/>
          </c:spPr>
          <c:marker>
            <c:symbol val="none"/>
          </c:marker>
          <c:xVal>
            <c:numRef>
              <c:f>Donnee_Omia_60!$A$2</c:f>
              <c:numCache>
                <c:formatCode>General</c:formatCode>
                <c:ptCount val="1"/>
              </c:numCache>
            </c:numRef>
          </c:xVal>
          <c:yVal>
            <c:numRef>
              <c:f>Donnee_Omia_60!$L$2</c:f>
              <c:numCache>
                <c:formatCode>General</c:formatCode>
                <c:ptCount val="1"/>
              </c:numCache>
            </c:numRef>
          </c:yVal>
          <c:smooth val="0"/>
          <c:extLst>
            <c:ext xmlns:c16="http://schemas.microsoft.com/office/drawing/2014/chart" uri="{C3380CC4-5D6E-409C-BE32-E72D297353CC}">
              <c16:uniqueId val="{0000000A-B0B1-4087-B444-217C140CB1B7}"/>
            </c:ext>
          </c:extLst>
        </c:ser>
        <c:ser>
          <c:idx val="11"/>
          <c:order val="11"/>
          <c:tx>
            <c:strRef>
              <c:f>Donnee_Omia_60!$M$1</c:f>
              <c:strCache>
                <c:ptCount val="1"/>
                <c:pt idx="0">
                  <c:v>Connecteur 12</c:v>
                </c:pt>
              </c:strCache>
            </c:strRef>
          </c:tx>
          <c:spPr>
            <a:ln w="19050" cap="rnd">
              <a:solidFill>
                <a:schemeClr val="accent6">
                  <a:lumMod val="60000"/>
                </a:schemeClr>
              </a:solidFill>
              <a:round/>
            </a:ln>
            <a:effectLst/>
          </c:spPr>
          <c:marker>
            <c:symbol val="none"/>
          </c:marker>
          <c:xVal>
            <c:numRef>
              <c:f>Donnee_Omia_60!$A$2</c:f>
              <c:numCache>
                <c:formatCode>General</c:formatCode>
                <c:ptCount val="1"/>
              </c:numCache>
            </c:numRef>
          </c:xVal>
          <c:yVal>
            <c:numRef>
              <c:f>Donnee_Omia_60!$M$2</c:f>
              <c:numCache>
                <c:formatCode>General</c:formatCode>
                <c:ptCount val="1"/>
              </c:numCache>
            </c:numRef>
          </c:yVal>
          <c:smooth val="0"/>
          <c:extLst>
            <c:ext xmlns:c16="http://schemas.microsoft.com/office/drawing/2014/chart" uri="{C3380CC4-5D6E-409C-BE32-E72D297353CC}">
              <c16:uniqueId val="{0000000B-B0B1-4087-B444-217C140CB1B7}"/>
            </c:ext>
          </c:extLst>
        </c:ser>
        <c:ser>
          <c:idx val="12"/>
          <c:order val="12"/>
          <c:tx>
            <c:strRef>
              <c:f>Donnee_Omia_60!$N$1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Donnee_Omia_60!$A$2</c:f>
              <c:numCache>
                <c:formatCode>General</c:formatCode>
                <c:ptCount val="1"/>
              </c:numCache>
            </c:numRef>
          </c:xVal>
          <c:yVal>
            <c:numRef>
              <c:f>Donnee_Omia_60!$N$2</c:f>
              <c:numCache>
                <c:formatCode>General</c:formatCode>
                <c:ptCount val="1"/>
              </c:numCache>
            </c:numRef>
          </c:yVal>
          <c:smooth val="0"/>
          <c:extLst>
            <c:ext xmlns:c16="http://schemas.microsoft.com/office/drawing/2014/chart" uri="{C3380CC4-5D6E-409C-BE32-E72D297353CC}">
              <c16:uniqueId val="{0000000C-B0B1-4087-B444-217C140CB1B7}"/>
            </c:ext>
          </c:extLst>
        </c:ser>
        <c:dLbls>
          <c:showLegendKey val="0"/>
          <c:showVal val="0"/>
          <c:showCatName val="0"/>
          <c:showSerName val="0"/>
          <c:showPercent val="0"/>
          <c:showBubbleSize val="0"/>
        </c:dLbls>
        <c:axId val="602315096"/>
        <c:axId val="602315816"/>
      </c:scatterChart>
      <c:valAx>
        <c:axId val="6023150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816"/>
        <c:crosses val="autoZero"/>
        <c:crossBetween val="midCat"/>
      </c:valAx>
      <c:valAx>
        <c:axId val="602315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023150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à 150°C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Donnee_Omia_150!$B$1</c:f>
              <c:strCache>
                <c:ptCount val="1"/>
                <c:pt idx="0">
                  <c:v>Connecteur 1</c:v>
                </c:pt>
              </c:strCache>
            </c:strRef>
          </c:tx>
          <c:spPr>
            <a:ln w="19050" cap="rnd">
              <a:solidFill>
                <a:schemeClr val="accent1"/>
              </a:solidFill>
              <a:round/>
            </a:ln>
            <a:effectLst/>
          </c:spPr>
          <c:marker>
            <c:symbol val="none"/>
          </c:marker>
          <c:xVal>
            <c:numRef>
              <c:f>Donnee_Omia_150!$A$2</c:f>
              <c:numCache>
                <c:formatCode>General</c:formatCode>
                <c:ptCount val="1"/>
              </c:numCache>
            </c:numRef>
          </c:xVal>
          <c:yVal>
            <c:numRef>
              <c:f>Donnee_Omia_150!$B$2</c:f>
              <c:numCache>
                <c:formatCode>General</c:formatCode>
                <c:ptCount val="1"/>
              </c:numCache>
            </c:numRef>
          </c:yVal>
          <c:smooth val="0"/>
          <c:extLst>
            <c:ext xmlns:c16="http://schemas.microsoft.com/office/drawing/2014/chart" uri="{C3380CC4-5D6E-409C-BE32-E72D297353CC}">
              <c16:uniqueId val="{00000000-7DB5-4C93-B690-B9EF441DA424}"/>
            </c:ext>
          </c:extLst>
        </c:ser>
        <c:ser>
          <c:idx val="1"/>
          <c:order val="1"/>
          <c:tx>
            <c:strRef>
              <c:f>Donnee_Omia_150!$C$1</c:f>
              <c:strCache>
                <c:ptCount val="1"/>
                <c:pt idx="0">
                  <c:v>Connecteur 2</c:v>
                </c:pt>
              </c:strCache>
            </c:strRef>
          </c:tx>
          <c:spPr>
            <a:ln w="19050" cap="rnd">
              <a:solidFill>
                <a:schemeClr val="accent2"/>
              </a:solidFill>
              <a:round/>
            </a:ln>
            <a:effectLst/>
          </c:spPr>
          <c:marker>
            <c:symbol val="none"/>
          </c:marker>
          <c:xVal>
            <c:numRef>
              <c:f>Donnee_Omia_150!$A$2</c:f>
              <c:numCache>
                <c:formatCode>General</c:formatCode>
                <c:ptCount val="1"/>
              </c:numCache>
            </c:numRef>
          </c:xVal>
          <c:yVal>
            <c:numRef>
              <c:f>Donnee_Omia_150!$C$2</c:f>
              <c:numCache>
                <c:formatCode>General</c:formatCode>
                <c:ptCount val="1"/>
              </c:numCache>
            </c:numRef>
          </c:yVal>
          <c:smooth val="0"/>
          <c:extLst>
            <c:ext xmlns:c16="http://schemas.microsoft.com/office/drawing/2014/chart" uri="{C3380CC4-5D6E-409C-BE32-E72D297353CC}">
              <c16:uniqueId val="{00000001-7DB5-4C93-B690-B9EF441DA424}"/>
            </c:ext>
          </c:extLst>
        </c:ser>
        <c:ser>
          <c:idx val="2"/>
          <c:order val="2"/>
          <c:tx>
            <c:strRef>
              <c:f>Donnee_Omia_150!$D$1</c:f>
              <c:strCache>
                <c:ptCount val="1"/>
                <c:pt idx="0">
                  <c:v>Connecteur 3</c:v>
                </c:pt>
              </c:strCache>
            </c:strRef>
          </c:tx>
          <c:spPr>
            <a:ln w="19050" cap="rnd">
              <a:solidFill>
                <a:schemeClr val="accent3"/>
              </a:solidFill>
              <a:round/>
            </a:ln>
            <a:effectLst/>
          </c:spPr>
          <c:marker>
            <c:symbol val="none"/>
          </c:marker>
          <c:xVal>
            <c:numRef>
              <c:f>Donnee_Omia_150!$A$2</c:f>
              <c:numCache>
                <c:formatCode>General</c:formatCode>
                <c:ptCount val="1"/>
              </c:numCache>
            </c:numRef>
          </c:xVal>
          <c:yVal>
            <c:numRef>
              <c:f>Donnee_Omia_150!$D$2</c:f>
              <c:numCache>
                <c:formatCode>General</c:formatCode>
                <c:ptCount val="1"/>
              </c:numCache>
            </c:numRef>
          </c:yVal>
          <c:smooth val="0"/>
          <c:extLst>
            <c:ext xmlns:c16="http://schemas.microsoft.com/office/drawing/2014/chart" uri="{C3380CC4-5D6E-409C-BE32-E72D297353CC}">
              <c16:uniqueId val="{00000002-7DB5-4C93-B690-B9EF441DA424}"/>
            </c:ext>
          </c:extLst>
        </c:ser>
        <c:ser>
          <c:idx val="3"/>
          <c:order val="3"/>
          <c:tx>
            <c:strRef>
              <c:f>Donnee_Omia_150!$E$1</c:f>
              <c:strCache>
                <c:ptCount val="1"/>
                <c:pt idx="0">
                  <c:v>Connecteur 4</c:v>
                </c:pt>
              </c:strCache>
            </c:strRef>
          </c:tx>
          <c:spPr>
            <a:ln w="19050" cap="rnd">
              <a:solidFill>
                <a:schemeClr val="accent4"/>
              </a:solidFill>
              <a:round/>
            </a:ln>
            <a:effectLst/>
          </c:spPr>
          <c:marker>
            <c:symbol val="none"/>
          </c:marker>
          <c:xVal>
            <c:numRef>
              <c:f>Donnee_Omia_150!$A$2</c:f>
              <c:numCache>
                <c:formatCode>General</c:formatCode>
                <c:ptCount val="1"/>
              </c:numCache>
            </c:numRef>
          </c:xVal>
          <c:yVal>
            <c:numRef>
              <c:f>Donnee_Omia_150!$E$2</c:f>
              <c:numCache>
                <c:formatCode>General</c:formatCode>
                <c:ptCount val="1"/>
              </c:numCache>
            </c:numRef>
          </c:yVal>
          <c:smooth val="0"/>
          <c:extLst>
            <c:ext xmlns:c16="http://schemas.microsoft.com/office/drawing/2014/chart" uri="{C3380CC4-5D6E-409C-BE32-E72D297353CC}">
              <c16:uniqueId val="{00000003-7DB5-4C93-B690-B9EF441DA424}"/>
            </c:ext>
          </c:extLst>
        </c:ser>
        <c:ser>
          <c:idx val="4"/>
          <c:order val="4"/>
          <c:tx>
            <c:strRef>
              <c:f>Donnee_Omia_150!$F$1</c:f>
              <c:strCache>
                <c:ptCount val="1"/>
                <c:pt idx="0">
                  <c:v>Connecteur 5</c:v>
                </c:pt>
              </c:strCache>
            </c:strRef>
          </c:tx>
          <c:spPr>
            <a:ln w="19050" cap="rnd">
              <a:solidFill>
                <a:schemeClr val="accent5"/>
              </a:solidFill>
              <a:round/>
            </a:ln>
            <a:effectLst/>
          </c:spPr>
          <c:marker>
            <c:symbol val="none"/>
          </c:marker>
          <c:xVal>
            <c:numRef>
              <c:f>Donnee_Omia_150!$A$2</c:f>
              <c:numCache>
                <c:formatCode>General</c:formatCode>
                <c:ptCount val="1"/>
              </c:numCache>
            </c:numRef>
          </c:xVal>
          <c:yVal>
            <c:numRef>
              <c:f>Donnee_Omia_150!$F$2</c:f>
              <c:numCache>
                <c:formatCode>General</c:formatCode>
                <c:ptCount val="1"/>
              </c:numCache>
            </c:numRef>
          </c:yVal>
          <c:smooth val="0"/>
          <c:extLst>
            <c:ext xmlns:c16="http://schemas.microsoft.com/office/drawing/2014/chart" uri="{C3380CC4-5D6E-409C-BE32-E72D297353CC}">
              <c16:uniqueId val="{00000004-7DB5-4C93-B690-B9EF441DA424}"/>
            </c:ext>
          </c:extLst>
        </c:ser>
        <c:ser>
          <c:idx val="5"/>
          <c:order val="5"/>
          <c:tx>
            <c:strRef>
              <c:f>Donnee_Omia_150!$G$1</c:f>
              <c:strCache>
                <c:ptCount val="1"/>
                <c:pt idx="0">
                  <c:v>Connecteur 6</c:v>
                </c:pt>
              </c:strCache>
            </c:strRef>
          </c:tx>
          <c:spPr>
            <a:ln w="19050" cap="rnd">
              <a:solidFill>
                <a:schemeClr val="accent6"/>
              </a:solidFill>
              <a:round/>
            </a:ln>
            <a:effectLst/>
          </c:spPr>
          <c:marker>
            <c:symbol val="none"/>
          </c:marker>
          <c:xVal>
            <c:numRef>
              <c:f>Donnee_Omia_150!$A$2</c:f>
              <c:numCache>
                <c:formatCode>General</c:formatCode>
                <c:ptCount val="1"/>
              </c:numCache>
            </c:numRef>
          </c:xVal>
          <c:yVal>
            <c:numRef>
              <c:f>Donnee_Omia_150!$G$2</c:f>
              <c:numCache>
                <c:formatCode>General</c:formatCode>
                <c:ptCount val="1"/>
              </c:numCache>
            </c:numRef>
          </c:yVal>
          <c:smooth val="0"/>
          <c:extLst>
            <c:ext xmlns:c16="http://schemas.microsoft.com/office/drawing/2014/chart" uri="{C3380CC4-5D6E-409C-BE32-E72D297353CC}">
              <c16:uniqueId val="{00000005-7DB5-4C93-B690-B9EF441DA424}"/>
            </c:ext>
          </c:extLst>
        </c:ser>
        <c:ser>
          <c:idx val="6"/>
          <c:order val="6"/>
          <c:tx>
            <c:strRef>
              <c:f>Donnee_Omia_150!$H$1</c:f>
              <c:strCache>
                <c:ptCount val="1"/>
                <c:pt idx="0">
                  <c:v>Connecteur 7</c:v>
                </c:pt>
              </c:strCache>
            </c:strRef>
          </c:tx>
          <c:spPr>
            <a:ln w="19050" cap="rnd">
              <a:solidFill>
                <a:schemeClr val="accent1">
                  <a:lumMod val="60000"/>
                </a:schemeClr>
              </a:solidFill>
              <a:round/>
            </a:ln>
            <a:effectLst/>
          </c:spPr>
          <c:marker>
            <c:symbol val="none"/>
          </c:marker>
          <c:xVal>
            <c:numRef>
              <c:f>Donnee_Omia_150!$A$2</c:f>
              <c:numCache>
                <c:formatCode>General</c:formatCode>
                <c:ptCount val="1"/>
              </c:numCache>
            </c:numRef>
          </c:xVal>
          <c:yVal>
            <c:numRef>
              <c:f>Donnee_Omia_150!$H$2</c:f>
              <c:numCache>
                <c:formatCode>General</c:formatCode>
                <c:ptCount val="1"/>
              </c:numCache>
            </c:numRef>
          </c:yVal>
          <c:smooth val="0"/>
          <c:extLst>
            <c:ext xmlns:c16="http://schemas.microsoft.com/office/drawing/2014/chart" uri="{C3380CC4-5D6E-409C-BE32-E72D297353CC}">
              <c16:uniqueId val="{00000006-7DB5-4C93-B690-B9EF441DA424}"/>
            </c:ext>
          </c:extLst>
        </c:ser>
        <c:ser>
          <c:idx val="7"/>
          <c:order val="7"/>
          <c:tx>
            <c:strRef>
              <c:f>Donnee_Omia_150!$I$1</c:f>
              <c:strCache>
                <c:ptCount val="1"/>
                <c:pt idx="0">
                  <c:v>Connecteur 8</c:v>
                </c:pt>
              </c:strCache>
            </c:strRef>
          </c:tx>
          <c:spPr>
            <a:ln w="19050" cap="rnd">
              <a:solidFill>
                <a:schemeClr val="accent2">
                  <a:lumMod val="60000"/>
                </a:schemeClr>
              </a:solidFill>
              <a:round/>
            </a:ln>
            <a:effectLst/>
          </c:spPr>
          <c:marker>
            <c:symbol val="none"/>
          </c:marker>
          <c:xVal>
            <c:numRef>
              <c:f>Donnee_Omia_150!$A$2</c:f>
              <c:numCache>
                <c:formatCode>General</c:formatCode>
                <c:ptCount val="1"/>
              </c:numCache>
            </c:numRef>
          </c:xVal>
          <c:yVal>
            <c:numRef>
              <c:f>Donnee_Omia_150!$I$2</c:f>
              <c:numCache>
                <c:formatCode>General</c:formatCode>
                <c:ptCount val="1"/>
              </c:numCache>
            </c:numRef>
          </c:yVal>
          <c:smooth val="0"/>
          <c:extLst>
            <c:ext xmlns:c16="http://schemas.microsoft.com/office/drawing/2014/chart" uri="{C3380CC4-5D6E-409C-BE32-E72D297353CC}">
              <c16:uniqueId val="{00000007-7DB5-4C93-B690-B9EF441DA424}"/>
            </c:ext>
          </c:extLst>
        </c:ser>
        <c:ser>
          <c:idx val="8"/>
          <c:order val="8"/>
          <c:tx>
            <c:strRef>
              <c:f>Donnee_Omia_150!$J$1</c:f>
              <c:strCache>
                <c:ptCount val="1"/>
                <c:pt idx="0">
                  <c:v>Connecteur 9</c:v>
                </c:pt>
              </c:strCache>
            </c:strRef>
          </c:tx>
          <c:spPr>
            <a:ln w="19050" cap="rnd">
              <a:solidFill>
                <a:schemeClr val="accent3">
                  <a:lumMod val="60000"/>
                </a:schemeClr>
              </a:solidFill>
              <a:round/>
            </a:ln>
            <a:effectLst/>
          </c:spPr>
          <c:marker>
            <c:symbol val="none"/>
          </c:marker>
          <c:xVal>
            <c:numRef>
              <c:f>Donnee_Omia_150!$A$2</c:f>
              <c:numCache>
                <c:formatCode>General</c:formatCode>
                <c:ptCount val="1"/>
              </c:numCache>
            </c:numRef>
          </c:xVal>
          <c:yVal>
            <c:numRef>
              <c:f>Donnee_Omia_150!$J$2</c:f>
              <c:numCache>
                <c:formatCode>General</c:formatCode>
                <c:ptCount val="1"/>
              </c:numCache>
            </c:numRef>
          </c:yVal>
          <c:smooth val="0"/>
          <c:extLst>
            <c:ext xmlns:c16="http://schemas.microsoft.com/office/drawing/2014/chart" uri="{C3380CC4-5D6E-409C-BE32-E72D297353CC}">
              <c16:uniqueId val="{00000008-7DB5-4C93-B690-B9EF441DA424}"/>
            </c:ext>
          </c:extLst>
        </c:ser>
        <c:ser>
          <c:idx val="9"/>
          <c:order val="9"/>
          <c:tx>
            <c:strRef>
              <c:f>Donnee_Omia_150!$K$1</c:f>
              <c:strCache>
                <c:ptCount val="1"/>
                <c:pt idx="0">
                  <c:v>Connecteur 10</c:v>
                </c:pt>
              </c:strCache>
            </c:strRef>
          </c:tx>
          <c:spPr>
            <a:ln w="19050" cap="rnd">
              <a:solidFill>
                <a:schemeClr val="accent4">
                  <a:lumMod val="60000"/>
                </a:schemeClr>
              </a:solidFill>
              <a:round/>
            </a:ln>
            <a:effectLst/>
          </c:spPr>
          <c:marker>
            <c:symbol val="none"/>
          </c:marker>
          <c:xVal>
            <c:numRef>
              <c:f>Donnee_Omia_150!$A$2</c:f>
              <c:numCache>
                <c:formatCode>General</c:formatCode>
                <c:ptCount val="1"/>
              </c:numCache>
            </c:numRef>
          </c:xVal>
          <c:yVal>
            <c:numRef>
              <c:f>Donnee_Omia_150!$K$2</c:f>
              <c:numCache>
                <c:formatCode>General</c:formatCode>
                <c:ptCount val="1"/>
              </c:numCache>
            </c:numRef>
          </c:yVal>
          <c:smooth val="0"/>
          <c:extLst>
            <c:ext xmlns:c16="http://schemas.microsoft.com/office/drawing/2014/chart" uri="{C3380CC4-5D6E-409C-BE32-E72D297353CC}">
              <c16:uniqueId val="{00000009-7DB5-4C93-B690-B9EF441DA424}"/>
            </c:ext>
          </c:extLst>
        </c:ser>
        <c:ser>
          <c:idx val="10"/>
          <c:order val="10"/>
          <c:tx>
            <c:strRef>
              <c:f>Donnee_Omia_150!$L$1</c:f>
              <c:strCache>
                <c:ptCount val="1"/>
                <c:pt idx="0">
                  <c:v>Connecteur 11</c:v>
                </c:pt>
              </c:strCache>
            </c:strRef>
          </c:tx>
          <c:spPr>
            <a:ln w="19050" cap="rnd">
              <a:solidFill>
                <a:schemeClr val="accent5">
                  <a:lumMod val="60000"/>
                </a:schemeClr>
              </a:solidFill>
              <a:round/>
            </a:ln>
            <a:effectLst/>
          </c:spPr>
          <c:marker>
            <c:symbol val="none"/>
          </c:marker>
          <c:xVal>
            <c:numRef>
              <c:f>Donnee_Omia_150!$A$2</c:f>
              <c:numCache>
                <c:formatCode>General</c:formatCode>
                <c:ptCount val="1"/>
              </c:numCache>
            </c:numRef>
          </c:xVal>
          <c:yVal>
            <c:numRef>
              <c:f>Donnee_Omia_150!$L$2</c:f>
              <c:numCache>
                <c:formatCode>General</c:formatCode>
                <c:ptCount val="1"/>
              </c:numCache>
            </c:numRef>
          </c:yVal>
          <c:smooth val="0"/>
          <c:extLst>
            <c:ext xmlns:c16="http://schemas.microsoft.com/office/drawing/2014/chart" uri="{C3380CC4-5D6E-409C-BE32-E72D297353CC}">
              <c16:uniqueId val="{0000000A-7DB5-4C93-B690-B9EF441DA424}"/>
            </c:ext>
          </c:extLst>
        </c:ser>
        <c:ser>
          <c:idx val="11"/>
          <c:order val="11"/>
          <c:tx>
            <c:strRef>
              <c:f>Donnee_Omia_150!$M$1</c:f>
              <c:strCache>
                <c:ptCount val="1"/>
                <c:pt idx="0">
                  <c:v>Connecteur 12</c:v>
                </c:pt>
              </c:strCache>
            </c:strRef>
          </c:tx>
          <c:spPr>
            <a:ln w="19050" cap="rnd">
              <a:solidFill>
                <a:schemeClr val="accent6">
                  <a:lumMod val="60000"/>
                </a:schemeClr>
              </a:solidFill>
              <a:round/>
            </a:ln>
            <a:effectLst/>
          </c:spPr>
          <c:marker>
            <c:symbol val="none"/>
          </c:marker>
          <c:xVal>
            <c:numRef>
              <c:f>Donnee_Omia_150!$A$2</c:f>
              <c:numCache>
                <c:formatCode>General</c:formatCode>
                <c:ptCount val="1"/>
              </c:numCache>
            </c:numRef>
          </c:xVal>
          <c:yVal>
            <c:numRef>
              <c:f>Donnee_Omia_150!$M$2</c:f>
              <c:numCache>
                <c:formatCode>General</c:formatCode>
                <c:ptCount val="1"/>
              </c:numCache>
            </c:numRef>
          </c:yVal>
          <c:smooth val="0"/>
          <c:extLst>
            <c:ext xmlns:c16="http://schemas.microsoft.com/office/drawing/2014/chart" uri="{C3380CC4-5D6E-409C-BE32-E72D297353CC}">
              <c16:uniqueId val="{0000000B-7DB5-4C93-B690-B9EF441DA424}"/>
            </c:ext>
          </c:extLst>
        </c:ser>
        <c:ser>
          <c:idx val="12"/>
          <c:order val="12"/>
          <c:tx>
            <c:strRef>
              <c:f>Donnee_Omia_150!$N$1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Donnee_Omia_150!$A$2</c:f>
              <c:numCache>
                <c:formatCode>General</c:formatCode>
                <c:ptCount val="1"/>
              </c:numCache>
            </c:numRef>
          </c:xVal>
          <c:yVal>
            <c:numRef>
              <c:f>Donnee_Omia_150!$N$2</c:f>
              <c:numCache>
                <c:formatCode>General</c:formatCode>
                <c:ptCount val="1"/>
              </c:numCache>
            </c:numRef>
          </c:yVal>
          <c:smooth val="0"/>
          <c:extLst>
            <c:ext xmlns:c16="http://schemas.microsoft.com/office/drawing/2014/chart" uri="{C3380CC4-5D6E-409C-BE32-E72D297353CC}">
              <c16:uniqueId val="{0000000C-7DB5-4C93-B690-B9EF441DA424}"/>
            </c:ext>
          </c:extLst>
        </c:ser>
        <c:dLbls>
          <c:showLegendKey val="0"/>
          <c:showVal val="0"/>
          <c:showCatName val="0"/>
          <c:showSerName val="0"/>
          <c:showPercent val="0"/>
          <c:showBubbleSize val="0"/>
        </c:dLbls>
        <c:axId val="709759528"/>
        <c:axId val="709757008"/>
      </c:scatterChart>
      <c:valAx>
        <c:axId val="709759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7008"/>
        <c:crosses val="autoZero"/>
        <c:crossBetween val="midCat"/>
      </c:valAx>
      <c:valAx>
        <c:axId val="709757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09759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à 190°C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Donnee_Omia_190!$B$1</c:f>
              <c:strCache>
                <c:ptCount val="1"/>
                <c:pt idx="0">
                  <c:v>Connecteur 1</c:v>
                </c:pt>
              </c:strCache>
            </c:strRef>
          </c:tx>
          <c:spPr>
            <a:ln w="19050" cap="rnd">
              <a:solidFill>
                <a:schemeClr val="accent1"/>
              </a:solidFill>
              <a:round/>
            </a:ln>
            <a:effectLst/>
          </c:spPr>
          <c:marker>
            <c:symbol val="none"/>
          </c:marker>
          <c:xVal>
            <c:numRef>
              <c:f>Donnee_Omia_190!$A$2</c:f>
              <c:numCache>
                <c:formatCode>General</c:formatCode>
                <c:ptCount val="1"/>
              </c:numCache>
            </c:numRef>
          </c:xVal>
          <c:yVal>
            <c:numRef>
              <c:f>Donnee_Omia_190!$B$2</c:f>
              <c:numCache>
                <c:formatCode>General</c:formatCode>
                <c:ptCount val="1"/>
              </c:numCache>
            </c:numRef>
          </c:yVal>
          <c:smooth val="0"/>
          <c:extLst>
            <c:ext xmlns:c16="http://schemas.microsoft.com/office/drawing/2014/chart" uri="{C3380CC4-5D6E-409C-BE32-E72D297353CC}">
              <c16:uniqueId val="{00000000-5257-46DB-A56A-CF87843208A3}"/>
            </c:ext>
          </c:extLst>
        </c:ser>
        <c:ser>
          <c:idx val="1"/>
          <c:order val="1"/>
          <c:tx>
            <c:strRef>
              <c:f>Donnee_Omia_190!$C$1</c:f>
              <c:strCache>
                <c:ptCount val="1"/>
                <c:pt idx="0">
                  <c:v>Connecteur 2</c:v>
                </c:pt>
              </c:strCache>
            </c:strRef>
          </c:tx>
          <c:spPr>
            <a:ln w="19050" cap="rnd">
              <a:solidFill>
                <a:schemeClr val="accent2"/>
              </a:solidFill>
              <a:round/>
            </a:ln>
            <a:effectLst/>
          </c:spPr>
          <c:marker>
            <c:symbol val="none"/>
          </c:marker>
          <c:xVal>
            <c:numRef>
              <c:f>Donnee_Omia_190!$A$2</c:f>
              <c:numCache>
                <c:formatCode>General</c:formatCode>
                <c:ptCount val="1"/>
              </c:numCache>
            </c:numRef>
          </c:xVal>
          <c:yVal>
            <c:numRef>
              <c:f>Donnee_Omia_190!$C$2</c:f>
              <c:numCache>
                <c:formatCode>General</c:formatCode>
                <c:ptCount val="1"/>
              </c:numCache>
            </c:numRef>
          </c:yVal>
          <c:smooth val="0"/>
          <c:extLst>
            <c:ext xmlns:c16="http://schemas.microsoft.com/office/drawing/2014/chart" uri="{C3380CC4-5D6E-409C-BE32-E72D297353CC}">
              <c16:uniqueId val="{00000001-5257-46DB-A56A-CF87843208A3}"/>
            </c:ext>
          </c:extLst>
        </c:ser>
        <c:ser>
          <c:idx val="2"/>
          <c:order val="2"/>
          <c:tx>
            <c:strRef>
              <c:f>Donnee_Omia_190!$D$1</c:f>
              <c:strCache>
                <c:ptCount val="1"/>
                <c:pt idx="0">
                  <c:v>Connecteur 3</c:v>
                </c:pt>
              </c:strCache>
            </c:strRef>
          </c:tx>
          <c:spPr>
            <a:ln w="19050" cap="rnd">
              <a:solidFill>
                <a:schemeClr val="accent3"/>
              </a:solidFill>
              <a:round/>
            </a:ln>
            <a:effectLst/>
          </c:spPr>
          <c:marker>
            <c:symbol val="none"/>
          </c:marker>
          <c:xVal>
            <c:numRef>
              <c:f>Donnee_Omia_190!$A$2</c:f>
              <c:numCache>
                <c:formatCode>General</c:formatCode>
                <c:ptCount val="1"/>
              </c:numCache>
            </c:numRef>
          </c:xVal>
          <c:yVal>
            <c:numRef>
              <c:f>Donnee_Omia_190!$D$2</c:f>
              <c:numCache>
                <c:formatCode>General</c:formatCode>
                <c:ptCount val="1"/>
              </c:numCache>
            </c:numRef>
          </c:yVal>
          <c:smooth val="0"/>
          <c:extLst>
            <c:ext xmlns:c16="http://schemas.microsoft.com/office/drawing/2014/chart" uri="{C3380CC4-5D6E-409C-BE32-E72D297353CC}">
              <c16:uniqueId val="{00000002-5257-46DB-A56A-CF87843208A3}"/>
            </c:ext>
          </c:extLst>
        </c:ser>
        <c:ser>
          <c:idx val="3"/>
          <c:order val="3"/>
          <c:tx>
            <c:strRef>
              <c:f>Donnee_Omia_190!$E$1</c:f>
              <c:strCache>
                <c:ptCount val="1"/>
                <c:pt idx="0">
                  <c:v>Connecteur 4</c:v>
                </c:pt>
              </c:strCache>
            </c:strRef>
          </c:tx>
          <c:spPr>
            <a:ln w="19050" cap="rnd">
              <a:solidFill>
                <a:schemeClr val="accent4"/>
              </a:solidFill>
              <a:round/>
            </a:ln>
            <a:effectLst/>
          </c:spPr>
          <c:marker>
            <c:symbol val="none"/>
          </c:marker>
          <c:xVal>
            <c:numRef>
              <c:f>Donnee_Omia_190!$A$2</c:f>
              <c:numCache>
                <c:formatCode>General</c:formatCode>
                <c:ptCount val="1"/>
              </c:numCache>
            </c:numRef>
          </c:xVal>
          <c:yVal>
            <c:numRef>
              <c:f>Donnee_Omia_190!$E$2</c:f>
              <c:numCache>
                <c:formatCode>General</c:formatCode>
                <c:ptCount val="1"/>
              </c:numCache>
            </c:numRef>
          </c:yVal>
          <c:smooth val="0"/>
          <c:extLst>
            <c:ext xmlns:c16="http://schemas.microsoft.com/office/drawing/2014/chart" uri="{C3380CC4-5D6E-409C-BE32-E72D297353CC}">
              <c16:uniqueId val="{00000003-5257-46DB-A56A-CF87843208A3}"/>
            </c:ext>
          </c:extLst>
        </c:ser>
        <c:ser>
          <c:idx val="4"/>
          <c:order val="4"/>
          <c:tx>
            <c:strRef>
              <c:f>Donnee_Omia_190!$F$1</c:f>
              <c:strCache>
                <c:ptCount val="1"/>
                <c:pt idx="0">
                  <c:v>Connecteur 5</c:v>
                </c:pt>
              </c:strCache>
            </c:strRef>
          </c:tx>
          <c:spPr>
            <a:ln w="19050" cap="rnd">
              <a:solidFill>
                <a:schemeClr val="accent5"/>
              </a:solidFill>
              <a:round/>
            </a:ln>
            <a:effectLst/>
          </c:spPr>
          <c:marker>
            <c:symbol val="none"/>
          </c:marker>
          <c:xVal>
            <c:numRef>
              <c:f>Donnee_Omia_190!$A$2</c:f>
              <c:numCache>
                <c:formatCode>General</c:formatCode>
                <c:ptCount val="1"/>
              </c:numCache>
            </c:numRef>
          </c:xVal>
          <c:yVal>
            <c:numRef>
              <c:f>Donnee_Omia_190!$F$2</c:f>
              <c:numCache>
                <c:formatCode>General</c:formatCode>
                <c:ptCount val="1"/>
              </c:numCache>
            </c:numRef>
          </c:yVal>
          <c:smooth val="0"/>
          <c:extLst>
            <c:ext xmlns:c16="http://schemas.microsoft.com/office/drawing/2014/chart" uri="{C3380CC4-5D6E-409C-BE32-E72D297353CC}">
              <c16:uniqueId val="{00000004-5257-46DB-A56A-CF87843208A3}"/>
            </c:ext>
          </c:extLst>
        </c:ser>
        <c:ser>
          <c:idx val="5"/>
          <c:order val="5"/>
          <c:tx>
            <c:strRef>
              <c:f>Donnee_Omia_190!$G$1</c:f>
              <c:strCache>
                <c:ptCount val="1"/>
                <c:pt idx="0">
                  <c:v>Connecteur 6</c:v>
                </c:pt>
              </c:strCache>
            </c:strRef>
          </c:tx>
          <c:spPr>
            <a:ln w="19050" cap="rnd">
              <a:solidFill>
                <a:schemeClr val="accent6"/>
              </a:solidFill>
              <a:round/>
            </a:ln>
            <a:effectLst/>
          </c:spPr>
          <c:marker>
            <c:symbol val="none"/>
          </c:marker>
          <c:xVal>
            <c:numRef>
              <c:f>Donnee_Omia_190!$A$2</c:f>
              <c:numCache>
                <c:formatCode>General</c:formatCode>
                <c:ptCount val="1"/>
              </c:numCache>
            </c:numRef>
          </c:xVal>
          <c:yVal>
            <c:numRef>
              <c:f>Donnee_Omia_190!$G$2</c:f>
              <c:numCache>
                <c:formatCode>General</c:formatCode>
                <c:ptCount val="1"/>
              </c:numCache>
            </c:numRef>
          </c:yVal>
          <c:smooth val="0"/>
          <c:extLst>
            <c:ext xmlns:c16="http://schemas.microsoft.com/office/drawing/2014/chart" uri="{C3380CC4-5D6E-409C-BE32-E72D297353CC}">
              <c16:uniqueId val="{00000005-5257-46DB-A56A-CF87843208A3}"/>
            </c:ext>
          </c:extLst>
        </c:ser>
        <c:ser>
          <c:idx val="6"/>
          <c:order val="6"/>
          <c:tx>
            <c:strRef>
              <c:f>Donnee_Omia_190!$H$1</c:f>
              <c:strCache>
                <c:ptCount val="1"/>
                <c:pt idx="0">
                  <c:v>Connecteur 7</c:v>
                </c:pt>
              </c:strCache>
            </c:strRef>
          </c:tx>
          <c:spPr>
            <a:ln w="19050" cap="rnd">
              <a:solidFill>
                <a:schemeClr val="accent1">
                  <a:lumMod val="60000"/>
                </a:schemeClr>
              </a:solidFill>
              <a:round/>
            </a:ln>
            <a:effectLst/>
          </c:spPr>
          <c:marker>
            <c:symbol val="none"/>
          </c:marker>
          <c:xVal>
            <c:numRef>
              <c:f>Donnee_Omia_190!$A$2</c:f>
              <c:numCache>
                <c:formatCode>General</c:formatCode>
                <c:ptCount val="1"/>
              </c:numCache>
            </c:numRef>
          </c:xVal>
          <c:yVal>
            <c:numRef>
              <c:f>Donnee_Omia_190!$H$2</c:f>
              <c:numCache>
                <c:formatCode>General</c:formatCode>
                <c:ptCount val="1"/>
              </c:numCache>
            </c:numRef>
          </c:yVal>
          <c:smooth val="0"/>
          <c:extLst>
            <c:ext xmlns:c16="http://schemas.microsoft.com/office/drawing/2014/chart" uri="{C3380CC4-5D6E-409C-BE32-E72D297353CC}">
              <c16:uniqueId val="{00000006-5257-46DB-A56A-CF87843208A3}"/>
            </c:ext>
          </c:extLst>
        </c:ser>
        <c:ser>
          <c:idx val="7"/>
          <c:order val="7"/>
          <c:tx>
            <c:strRef>
              <c:f>Donnee_Omia_190!$I$1</c:f>
              <c:strCache>
                <c:ptCount val="1"/>
                <c:pt idx="0">
                  <c:v>Connecteur 8</c:v>
                </c:pt>
              </c:strCache>
            </c:strRef>
          </c:tx>
          <c:spPr>
            <a:ln w="19050" cap="rnd">
              <a:solidFill>
                <a:schemeClr val="accent2">
                  <a:lumMod val="60000"/>
                </a:schemeClr>
              </a:solidFill>
              <a:round/>
            </a:ln>
            <a:effectLst/>
          </c:spPr>
          <c:marker>
            <c:symbol val="none"/>
          </c:marker>
          <c:xVal>
            <c:numRef>
              <c:f>Donnee_Omia_190!$A$2</c:f>
              <c:numCache>
                <c:formatCode>General</c:formatCode>
                <c:ptCount val="1"/>
              </c:numCache>
            </c:numRef>
          </c:xVal>
          <c:yVal>
            <c:numRef>
              <c:f>Donnee_Omia_190!$I$2</c:f>
              <c:numCache>
                <c:formatCode>General</c:formatCode>
                <c:ptCount val="1"/>
              </c:numCache>
            </c:numRef>
          </c:yVal>
          <c:smooth val="0"/>
          <c:extLst>
            <c:ext xmlns:c16="http://schemas.microsoft.com/office/drawing/2014/chart" uri="{C3380CC4-5D6E-409C-BE32-E72D297353CC}">
              <c16:uniqueId val="{00000007-5257-46DB-A56A-CF87843208A3}"/>
            </c:ext>
          </c:extLst>
        </c:ser>
        <c:ser>
          <c:idx val="8"/>
          <c:order val="8"/>
          <c:tx>
            <c:strRef>
              <c:f>Donnee_Omia_190!$J$1</c:f>
              <c:strCache>
                <c:ptCount val="1"/>
                <c:pt idx="0">
                  <c:v>Connecteur 9</c:v>
                </c:pt>
              </c:strCache>
            </c:strRef>
          </c:tx>
          <c:spPr>
            <a:ln w="19050" cap="rnd">
              <a:solidFill>
                <a:schemeClr val="accent3">
                  <a:lumMod val="60000"/>
                </a:schemeClr>
              </a:solidFill>
              <a:round/>
            </a:ln>
            <a:effectLst/>
          </c:spPr>
          <c:marker>
            <c:symbol val="none"/>
          </c:marker>
          <c:xVal>
            <c:numRef>
              <c:f>Donnee_Omia_190!$A$2</c:f>
              <c:numCache>
                <c:formatCode>General</c:formatCode>
                <c:ptCount val="1"/>
              </c:numCache>
            </c:numRef>
          </c:xVal>
          <c:yVal>
            <c:numRef>
              <c:f>Donnee_Omia_190!$J$2</c:f>
              <c:numCache>
                <c:formatCode>General</c:formatCode>
                <c:ptCount val="1"/>
              </c:numCache>
            </c:numRef>
          </c:yVal>
          <c:smooth val="0"/>
          <c:extLst>
            <c:ext xmlns:c16="http://schemas.microsoft.com/office/drawing/2014/chart" uri="{C3380CC4-5D6E-409C-BE32-E72D297353CC}">
              <c16:uniqueId val="{00000008-5257-46DB-A56A-CF87843208A3}"/>
            </c:ext>
          </c:extLst>
        </c:ser>
        <c:ser>
          <c:idx val="9"/>
          <c:order val="9"/>
          <c:tx>
            <c:strRef>
              <c:f>Donnee_Omia_190!$K$1</c:f>
              <c:strCache>
                <c:ptCount val="1"/>
                <c:pt idx="0">
                  <c:v>Connecteur 10</c:v>
                </c:pt>
              </c:strCache>
            </c:strRef>
          </c:tx>
          <c:spPr>
            <a:ln w="19050" cap="rnd">
              <a:solidFill>
                <a:schemeClr val="accent4">
                  <a:lumMod val="60000"/>
                </a:schemeClr>
              </a:solidFill>
              <a:round/>
            </a:ln>
            <a:effectLst/>
          </c:spPr>
          <c:marker>
            <c:symbol val="none"/>
          </c:marker>
          <c:xVal>
            <c:numRef>
              <c:f>Donnee_Omia_190!$A$2</c:f>
              <c:numCache>
                <c:formatCode>General</c:formatCode>
                <c:ptCount val="1"/>
              </c:numCache>
            </c:numRef>
          </c:xVal>
          <c:yVal>
            <c:numRef>
              <c:f>Donnee_Omia_190!$K$2</c:f>
              <c:numCache>
                <c:formatCode>General</c:formatCode>
                <c:ptCount val="1"/>
              </c:numCache>
            </c:numRef>
          </c:yVal>
          <c:smooth val="0"/>
          <c:extLst>
            <c:ext xmlns:c16="http://schemas.microsoft.com/office/drawing/2014/chart" uri="{C3380CC4-5D6E-409C-BE32-E72D297353CC}">
              <c16:uniqueId val="{00000009-5257-46DB-A56A-CF87843208A3}"/>
            </c:ext>
          </c:extLst>
        </c:ser>
        <c:ser>
          <c:idx val="10"/>
          <c:order val="10"/>
          <c:tx>
            <c:strRef>
              <c:f>Donnee_Omia_190!$L$1</c:f>
              <c:strCache>
                <c:ptCount val="1"/>
                <c:pt idx="0">
                  <c:v>Connecteur 11</c:v>
                </c:pt>
              </c:strCache>
            </c:strRef>
          </c:tx>
          <c:spPr>
            <a:ln w="19050" cap="rnd">
              <a:solidFill>
                <a:schemeClr val="accent5">
                  <a:lumMod val="60000"/>
                </a:schemeClr>
              </a:solidFill>
              <a:round/>
            </a:ln>
            <a:effectLst/>
          </c:spPr>
          <c:marker>
            <c:symbol val="none"/>
          </c:marker>
          <c:xVal>
            <c:numRef>
              <c:f>Donnee_Omia_190!$A$2</c:f>
              <c:numCache>
                <c:formatCode>General</c:formatCode>
                <c:ptCount val="1"/>
              </c:numCache>
            </c:numRef>
          </c:xVal>
          <c:yVal>
            <c:numRef>
              <c:f>Donnee_Omia_190!$L$2</c:f>
              <c:numCache>
                <c:formatCode>General</c:formatCode>
                <c:ptCount val="1"/>
              </c:numCache>
            </c:numRef>
          </c:yVal>
          <c:smooth val="0"/>
          <c:extLst>
            <c:ext xmlns:c16="http://schemas.microsoft.com/office/drawing/2014/chart" uri="{C3380CC4-5D6E-409C-BE32-E72D297353CC}">
              <c16:uniqueId val="{0000000A-5257-46DB-A56A-CF87843208A3}"/>
            </c:ext>
          </c:extLst>
        </c:ser>
        <c:ser>
          <c:idx val="11"/>
          <c:order val="11"/>
          <c:tx>
            <c:strRef>
              <c:f>Donnee_Omia_190!$M$1</c:f>
              <c:strCache>
                <c:ptCount val="1"/>
                <c:pt idx="0">
                  <c:v>Connecteur 12</c:v>
                </c:pt>
              </c:strCache>
            </c:strRef>
          </c:tx>
          <c:spPr>
            <a:ln w="19050" cap="rnd">
              <a:solidFill>
                <a:schemeClr val="accent6">
                  <a:lumMod val="60000"/>
                </a:schemeClr>
              </a:solidFill>
              <a:round/>
            </a:ln>
            <a:effectLst/>
          </c:spPr>
          <c:marker>
            <c:symbol val="none"/>
          </c:marker>
          <c:xVal>
            <c:numRef>
              <c:f>Donnee_Omia_190!$A$2</c:f>
              <c:numCache>
                <c:formatCode>General</c:formatCode>
                <c:ptCount val="1"/>
              </c:numCache>
            </c:numRef>
          </c:xVal>
          <c:yVal>
            <c:numRef>
              <c:f>Donnee_Omia_190!$M$2</c:f>
              <c:numCache>
                <c:formatCode>General</c:formatCode>
                <c:ptCount val="1"/>
              </c:numCache>
            </c:numRef>
          </c:yVal>
          <c:smooth val="0"/>
          <c:extLst>
            <c:ext xmlns:c16="http://schemas.microsoft.com/office/drawing/2014/chart" uri="{C3380CC4-5D6E-409C-BE32-E72D297353CC}">
              <c16:uniqueId val="{0000000B-5257-46DB-A56A-CF87843208A3}"/>
            </c:ext>
          </c:extLst>
        </c:ser>
        <c:ser>
          <c:idx val="12"/>
          <c:order val="12"/>
          <c:tx>
            <c:strRef>
              <c:f>Donnee_Omia_190!$N$1</c:f>
              <c:strCache>
                <c:ptCount val="1"/>
                <c:pt idx="0">
                  <c:v>Connecteur 13</c:v>
                </c:pt>
              </c:strCache>
            </c:strRef>
          </c:tx>
          <c:spPr>
            <a:ln w="19050" cap="rnd">
              <a:solidFill>
                <a:schemeClr val="accent1">
                  <a:lumMod val="80000"/>
                  <a:lumOff val="20000"/>
                </a:schemeClr>
              </a:solidFill>
              <a:round/>
            </a:ln>
            <a:effectLst/>
          </c:spPr>
          <c:marker>
            <c:symbol val="none"/>
          </c:marker>
          <c:xVal>
            <c:numRef>
              <c:f>Donnee_Omia_190!$A$2</c:f>
              <c:numCache>
                <c:formatCode>General</c:formatCode>
                <c:ptCount val="1"/>
              </c:numCache>
            </c:numRef>
          </c:xVal>
          <c:yVal>
            <c:numRef>
              <c:f>Donnee_Omia_190!$N$2</c:f>
              <c:numCache>
                <c:formatCode>General</c:formatCode>
                <c:ptCount val="1"/>
              </c:numCache>
            </c:numRef>
          </c:yVal>
          <c:smooth val="0"/>
          <c:extLst>
            <c:ext xmlns:c16="http://schemas.microsoft.com/office/drawing/2014/chart" uri="{C3380CC4-5D6E-409C-BE32-E72D297353CC}">
              <c16:uniqueId val="{0000000C-5257-46DB-A56A-CF87843208A3}"/>
            </c:ext>
          </c:extLst>
        </c:ser>
        <c:dLbls>
          <c:showLegendKey val="0"/>
          <c:showVal val="0"/>
          <c:showCatName val="0"/>
          <c:showSerName val="0"/>
          <c:showPercent val="0"/>
          <c:showBubbleSize val="0"/>
        </c:dLbls>
        <c:axId val="572641896"/>
        <c:axId val="572642256"/>
      </c:scatterChart>
      <c:valAx>
        <c:axId val="572641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2256"/>
        <c:crosses val="autoZero"/>
        <c:crossBetween val="midCat"/>
      </c:valAx>
      <c:valAx>
        <c:axId val="572642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72641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a:t>
            </a:r>
            <a:r>
              <a:rPr lang="fr-FR" baseline="0"/>
              <a:t> l'enregistrement sous 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Donnee_Dover_50!$B$1</c:f>
              <c:strCache>
                <c:ptCount val="1"/>
                <c:pt idx="0">
                  <c:v>Connecteur 1</c:v>
                </c:pt>
              </c:strCache>
            </c:strRef>
          </c:tx>
          <c:spPr>
            <a:ln w="19050" cap="rnd">
              <a:solidFill>
                <a:schemeClr val="accent1"/>
              </a:solidFill>
              <a:round/>
            </a:ln>
            <a:effectLst/>
          </c:spPr>
          <c:marker>
            <c:symbol val="none"/>
          </c:marker>
          <c:xVal>
            <c:numRef>
              <c:f>Donnee_Dover_50!$A$2</c:f>
              <c:numCache>
                <c:formatCode>General</c:formatCode>
                <c:ptCount val="1"/>
              </c:numCache>
            </c:numRef>
          </c:xVal>
          <c:yVal>
            <c:numRef>
              <c:f>Donnee_Dover_50!$B$2</c:f>
              <c:numCache>
                <c:formatCode>General</c:formatCode>
                <c:ptCount val="1"/>
              </c:numCache>
            </c:numRef>
          </c:yVal>
          <c:smooth val="0"/>
          <c:extLst>
            <c:ext xmlns:c16="http://schemas.microsoft.com/office/drawing/2014/chart" uri="{C3380CC4-5D6E-409C-BE32-E72D297353CC}">
              <c16:uniqueId val="{00000000-28C7-4F6F-A250-DF2ECC116AEE}"/>
            </c:ext>
          </c:extLst>
        </c:ser>
        <c:ser>
          <c:idx val="1"/>
          <c:order val="1"/>
          <c:tx>
            <c:strRef>
              <c:f>Donnee_Dover_50!$C$1</c:f>
              <c:strCache>
                <c:ptCount val="1"/>
                <c:pt idx="0">
                  <c:v>Connecteur 2</c:v>
                </c:pt>
              </c:strCache>
            </c:strRef>
          </c:tx>
          <c:spPr>
            <a:ln w="19050" cap="rnd">
              <a:solidFill>
                <a:schemeClr val="accent2"/>
              </a:solidFill>
              <a:round/>
            </a:ln>
            <a:effectLst/>
          </c:spPr>
          <c:marker>
            <c:symbol val="none"/>
          </c:marker>
          <c:xVal>
            <c:numRef>
              <c:f>Donnee_Dover_50!$A$2</c:f>
              <c:numCache>
                <c:formatCode>General</c:formatCode>
                <c:ptCount val="1"/>
              </c:numCache>
            </c:numRef>
          </c:xVal>
          <c:yVal>
            <c:numRef>
              <c:f>Donnee_Dover_50!$C$2</c:f>
              <c:numCache>
                <c:formatCode>General</c:formatCode>
                <c:ptCount val="1"/>
              </c:numCache>
            </c:numRef>
          </c:yVal>
          <c:smooth val="0"/>
          <c:extLst>
            <c:ext xmlns:c16="http://schemas.microsoft.com/office/drawing/2014/chart" uri="{C3380CC4-5D6E-409C-BE32-E72D297353CC}">
              <c16:uniqueId val="{00000001-28C7-4F6F-A250-DF2ECC116AEE}"/>
            </c:ext>
          </c:extLst>
        </c:ser>
        <c:ser>
          <c:idx val="2"/>
          <c:order val="2"/>
          <c:tx>
            <c:strRef>
              <c:f>Donnee_Dover_50!$D$1</c:f>
              <c:strCache>
                <c:ptCount val="1"/>
                <c:pt idx="0">
                  <c:v>Connecteur 3</c:v>
                </c:pt>
              </c:strCache>
            </c:strRef>
          </c:tx>
          <c:spPr>
            <a:ln w="19050" cap="rnd">
              <a:solidFill>
                <a:schemeClr val="accent3"/>
              </a:solidFill>
              <a:round/>
            </a:ln>
            <a:effectLst/>
          </c:spPr>
          <c:marker>
            <c:symbol val="none"/>
          </c:marker>
          <c:xVal>
            <c:numRef>
              <c:f>Donnee_Dover_50!$A$2</c:f>
              <c:numCache>
                <c:formatCode>General</c:formatCode>
                <c:ptCount val="1"/>
              </c:numCache>
            </c:numRef>
          </c:xVal>
          <c:yVal>
            <c:numRef>
              <c:f>Donnee_Dover_50!$D$2</c:f>
              <c:numCache>
                <c:formatCode>General</c:formatCode>
                <c:ptCount val="1"/>
              </c:numCache>
            </c:numRef>
          </c:yVal>
          <c:smooth val="0"/>
          <c:extLst>
            <c:ext xmlns:c16="http://schemas.microsoft.com/office/drawing/2014/chart" uri="{C3380CC4-5D6E-409C-BE32-E72D297353CC}">
              <c16:uniqueId val="{00000002-28C7-4F6F-A250-DF2ECC116AEE}"/>
            </c:ext>
          </c:extLst>
        </c:ser>
        <c:ser>
          <c:idx val="3"/>
          <c:order val="3"/>
          <c:tx>
            <c:strRef>
              <c:f>Donnee_Dover_50!$E$1</c:f>
              <c:strCache>
                <c:ptCount val="1"/>
                <c:pt idx="0">
                  <c:v>Connecteur 4</c:v>
                </c:pt>
              </c:strCache>
            </c:strRef>
          </c:tx>
          <c:spPr>
            <a:ln w="19050" cap="rnd">
              <a:solidFill>
                <a:schemeClr val="accent4"/>
              </a:solidFill>
              <a:round/>
            </a:ln>
            <a:effectLst/>
          </c:spPr>
          <c:marker>
            <c:symbol val="none"/>
          </c:marker>
          <c:xVal>
            <c:numRef>
              <c:f>Donnee_Dover_50!$A$2</c:f>
              <c:numCache>
                <c:formatCode>General</c:formatCode>
                <c:ptCount val="1"/>
              </c:numCache>
            </c:numRef>
          </c:xVal>
          <c:yVal>
            <c:numRef>
              <c:f>Donnee_Dover_50!$E$2</c:f>
              <c:numCache>
                <c:formatCode>General</c:formatCode>
                <c:ptCount val="1"/>
              </c:numCache>
            </c:numRef>
          </c:yVal>
          <c:smooth val="0"/>
          <c:extLst>
            <c:ext xmlns:c16="http://schemas.microsoft.com/office/drawing/2014/chart" uri="{C3380CC4-5D6E-409C-BE32-E72D297353CC}">
              <c16:uniqueId val="{00000003-28C7-4F6F-A250-DF2ECC116AEE}"/>
            </c:ext>
          </c:extLst>
        </c:ser>
        <c:ser>
          <c:idx val="4"/>
          <c:order val="4"/>
          <c:tx>
            <c:strRef>
              <c:f>Donnee_Dover_50!$F$1</c:f>
              <c:strCache>
                <c:ptCount val="1"/>
                <c:pt idx="0">
                  <c:v>Connecteur 5</c:v>
                </c:pt>
              </c:strCache>
            </c:strRef>
          </c:tx>
          <c:spPr>
            <a:ln w="19050" cap="rnd">
              <a:solidFill>
                <a:schemeClr val="accent5"/>
              </a:solidFill>
              <a:round/>
            </a:ln>
            <a:effectLst/>
          </c:spPr>
          <c:marker>
            <c:symbol val="none"/>
          </c:marker>
          <c:xVal>
            <c:numRef>
              <c:f>Donnee_Dover_50!$A$2</c:f>
              <c:numCache>
                <c:formatCode>General</c:formatCode>
                <c:ptCount val="1"/>
              </c:numCache>
            </c:numRef>
          </c:xVal>
          <c:yVal>
            <c:numRef>
              <c:f>Donnee_Dover_50!$F$2</c:f>
              <c:numCache>
                <c:formatCode>General</c:formatCode>
                <c:ptCount val="1"/>
              </c:numCache>
            </c:numRef>
          </c:yVal>
          <c:smooth val="0"/>
          <c:extLst>
            <c:ext xmlns:c16="http://schemas.microsoft.com/office/drawing/2014/chart" uri="{C3380CC4-5D6E-409C-BE32-E72D297353CC}">
              <c16:uniqueId val="{00000004-28C7-4F6F-A250-DF2ECC116AEE}"/>
            </c:ext>
          </c:extLst>
        </c:ser>
        <c:ser>
          <c:idx val="5"/>
          <c:order val="5"/>
          <c:tx>
            <c:strRef>
              <c:f>Donnee_Dover_50!$G$1</c:f>
              <c:strCache>
                <c:ptCount val="1"/>
                <c:pt idx="0">
                  <c:v>Connecteur 6</c:v>
                </c:pt>
              </c:strCache>
            </c:strRef>
          </c:tx>
          <c:spPr>
            <a:ln w="19050" cap="rnd">
              <a:solidFill>
                <a:schemeClr val="accent6"/>
              </a:solidFill>
              <a:round/>
            </a:ln>
            <a:effectLst/>
          </c:spPr>
          <c:marker>
            <c:symbol val="none"/>
          </c:marker>
          <c:xVal>
            <c:numRef>
              <c:f>Donnee_Dover_50!$A$2</c:f>
              <c:numCache>
                <c:formatCode>General</c:formatCode>
                <c:ptCount val="1"/>
              </c:numCache>
            </c:numRef>
          </c:xVal>
          <c:yVal>
            <c:numRef>
              <c:f>Donnee_Dover_50!$G$2</c:f>
              <c:numCache>
                <c:formatCode>General</c:formatCode>
                <c:ptCount val="1"/>
              </c:numCache>
            </c:numRef>
          </c:yVal>
          <c:smooth val="0"/>
          <c:extLst>
            <c:ext xmlns:c16="http://schemas.microsoft.com/office/drawing/2014/chart" uri="{C3380CC4-5D6E-409C-BE32-E72D297353CC}">
              <c16:uniqueId val="{00000005-28C7-4F6F-A250-DF2ECC116AEE}"/>
            </c:ext>
          </c:extLst>
        </c:ser>
        <c:ser>
          <c:idx val="6"/>
          <c:order val="6"/>
          <c:tx>
            <c:strRef>
              <c:f>Donnee_Dover_50!$H$1</c:f>
              <c:strCache>
                <c:ptCount val="1"/>
                <c:pt idx="0">
                  <c:v>Connecteur 7</c:v>
                </c:pt>
              </c:strCache>
            </c:strRef>
          </c:tx>
          <c:spPr>
            <a:ln w="19050" cap="rnd">
              <a:solidFill>
                <a:schemeClr val="accent1">
                  <a:lumMod val="60000"/>
                </a:schemeClr>
              </a:solidFill>
              <a:round/>
            </a:ln>
            <a:effectLst/>
          </c:spPr>
          <c:marker>
            <c:symbol val="none"/>
          </c:marker>
          <c:xVal>
            <c:numRef>
              <c:f>Donnee_Dover_50!$A$2</c:f>
              <c:numCache>
                <c:formatCode>General</c:formatCode>
                <c:ptCount val="1"/>
              </c:numCache>
            </c:numRef>
          </c:xVal>
          <c:yVal>
            <c:numRef>
              <c:f>Donnee_Dover_50!$H$2</c:f>
              <c:numCache>
                <c:formatCode>General</c:formatCode>
                <c:ptCount val="1"/>
              </c:numCache>
            </c:numRef>
          </c:yVal>
          <c:smooth val="0"/>
          <c:extLst>
            <c:ext xmlns:c16="http://schemas.microsoft.com/office/drawing/2014/chart" uri="{C3380CC4-5D6E-409C-BE32-E72D297353CC}">
              <c16:uniqueId val="{00000006-28C7-4F6F-A250-DF2ECC116AEE}"/>
            </c:ext>
          </c:extLst>
        </c:ser>
        <c:ser>
          <c:idx val="7"/>
          <c:order val="7"/>
          <c:tx>
            <c:strRef>
              <c:f>Donnee_Dover_50!$I$1</c:f>
              <c:strCache>
                <c:ptCount val="1"/>
                <c:pt idx="0">
                  <c:v>Connecteur 8</c:v>
                </c:pt>
              </c:strCache>
            </c:strRef>
          </c:tx>
          <c:spPr>
            <a:ln w="19050" cap="rnd">
              <a:solidFill>
                <a:schemeClr val="accent2">
                  <a:lumMod val="60000"/>
                </a:schemeClr>
              </a:solidFill>
              <a:round/>
            </a:ln>
            <a:effectLst/>
          </c:spPr>
          <c:marker>
            <c:symbol val="none"/>
          </c:marker>
          <c:xVal>
            <c:numRef>
              <c:f>Donnee_Dover_50!$A$2</c:f>
              <c:numCache>
                <c:formatCode>General</c:formatCode>
                <c:ptCount val="1"/>
              </c:numCache>
            </c:numRef>
          </c:xVal>
          <c:yVal>
            <c:numRef>
              <c:f>Donnee_Dover_50!$I$2</c:f>
              <c:numCache>
                <c:formatCode>General</c:formatCode>
                <c:ptCount val="1"/>
              </c:numCache>
            </c:numRef>
          </c:yVal>
          <c:smooth val="0"/>
          <c:extLst>
            <c:ext xmlns:c16="http://schemas.microsoft.com/office/drawing/2014/chart" uri="{C3380CC4-5D6E-409C-BE32-E72D297353CC}">
              <c16:uniqueId val="{00000007-28C7-4F6F-A250-DF2ECC116AEE}"/>
            </c:ext>
          </c:extLst>
        </c:ser>
        <c:ser>
          <c:idx val="8"/>
          <c:order val="8"/>
          <c:tx>
            <c:strRef>
              <c:f>Donnee_Dover_50!$J$1</c:f>
              <c:strCache>
                <c:ptCount val="1"/>
                <c:pt idx="0">
                  <c:v>Connecteur 9</c:v>
                </c:pt>
              </c:strCache>
            </c:strRef>
          </c:tx>
          <c:spPr>
            <a:ln w="19050" cap="rnd">
              <a:solidFill>
                <a:schemeClr val="accent3">
                  <a:lumMod val="60000"/>
                </a:schemeClr>
              </a:solidFill>
              <a:round/>
            </a:ln>
            <a:effectLst/>
          </c:spPr>
          <c:marker>
            <c:symbol val="none"/>
          </c:marker>
          <c:xVal>
            <c:numRef>
              <c:f>Donnee_Dover_50!$A$2</c:f>
              <c:numCache>
                <c:formatCode>General</c:formatCode>
                <c:ptCount val="1"/>
              </c:numCache>
            </c:numRef>
          </c:xVal>
          <c:yVal>
            <c:numRef>
              <c:f>Donnee_Dover_50!$J$2</c:f>
              <c:numCache>
                <c:formatCode>General</c:formatCode>
                <c:ptCount val="1"/>
              </c:numCache>
            </c:numRef>
          </c:yVal>
          <c:smooth val="0"/>
          <c:extLst>
            <c:ext xmlns:c16="http://schemas.microsoft.com/office/drawing/2014/chart" uri="{C3380CC4-5D6E-409C-BE32-E72D297353CC}">
              <c16:uniqueId val="{00000008-28C7-4F6F-A250-DF2ECC116AEE}"/>
            </c:ext>
          </c:extLst>
        </c:ser>
        <c:dLbls>
          <c:showLegendKey val="0"/>
          <c:showVal val="0"/>
          <c:showCatName val="0"/>
          <c:showSerName val="0"/>
          <c:showPercent val="0"/>
          <c:showBubbleSize val="0"/>
        </c:dLbls>
        <c:axId val="953973528"/>
        <c:axId val="953973888"/>
      </c:scatterChart>
      <c:valAx>
        <c:axId val="953973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888"/>
        <c:crosses val="autoZero"/>
        <c:crossBetween val="midCat"/>
      </c:valAx>
      <c:valAx>
        <c:axId val="95397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sous 100°C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Donnee_Dover_100!$B$1</c:f>
              <c:strCache>
                <c:ptCount val="1"/>
                <c:pt idx="0">
                  <c:v>Connecteur 1</c:v>
                </c:pt>
              </c:strCache>
            </c:strRef>
          </c:tx>
          <c:spPr>
            <a:ln w="19050" cap="rnd">
              <a:solidFill>
                <a:schemeClr val="accent1"/>
              </a:solidFill>
              <a:round/>
            </a:ln>
            <a:effectLst/>
          </c:spPr>
          <c:marker>
            <c:symbol val="none"/>
          </c:marker>
          <c:xVal>
            <c:numRef>
              <c:f>Donnee_Dover_100!$A$2</c:f>
              <c:numCache>
                <c:formatCode>General</c:formatCode>
                <c:ptCount val="1"/>
              </c:numCache>
            </c:numRef>
          </c:xVal>
          <c:yVal>
            <c:numRef>
              <c:f>Donnee_Dover_100!$B$2</c:f>
              <c:numCache>
                <c:formatCode>General</c:formatCode>
                <c:ptCount val="1"/>
              </c:numCache>
            </c:numRef>
          </c:yVal>
          <c:smooth val="0"/>
          <c:extLst>
            <c:ext xmlns:c16="http://schemas.microsoft.com/office/drawing/2014/chart" uri="{C3380CC4-5D6E-409C-BE32-E72D297353CC}">
              <c16:uniqueId val="{00000000-8D8B-4E3C-8FF9-2642285E3771}"/>
            </c:ext>
          </c:extLst>
        </c:ser>
        <c:ser>
          <c:idx val="1"/>
          <c:order val="1"/>
          <c:tx>
            <c:strRef>
              <c:f>Donnee_Dover_100!$C$1</c:f>
              <c:strCache>
                <c:ptCount val="1"/>
                <c:pt idx="0">
                  <c:v>Connecteur 2</c:v>
                </c:pt>
              </c:strCache>
            </c:strRef>
          </c:tx>
          <c:spPr>
            <a:ln w="19050" cap="rnd">
              <a:solidFill>
                <a:schemeClr val="accent2"/>
              </a:solidFill>
              <a:round/>
            </a:ln>
            <a:effectLst/>
          </c:spPr>
          <c:marker>
            <c:symbol val="none"/>
          </c:marker>
          <c:xVal>
            <c:numRef>
              <c:f>Donnee_Dover_100!$A$2</c:f>
              <c:numCache>
                <c:formatCode>General</c:formatCode>
                <c:ptCount val="1"/>
              </c:numCache>
            </c:numRef>
          </c:xVal>
          <c:yVal>
            <c:numRef>
              <c:f>Donnee_Dover_100!$C$2</c:f>
              <c:numCache>
                <c:formatCode>General</c:formatCode>
                <c:ptCount val="1"/>
              </c:numCache>
            </c:numRef>
          </c:yVal>
          <c:smooth val="0"/>
          <c:extLst>
            <c:ext xmlns:c16="http://schemas.microsoft.com/office/drawing/2014/chart" uri="{C3380CC4-5D6E-409C-BE32-E72D297353CC}">
              <c16:uniqueId val="{00000001-8D8B-4E3C-8FF9-2642285E3771}"/>
            </c:ext>
          </c:extLst>
        </c:ser>
        <c:ser>
          <c:idx val="2"/>
          <c:order val="2"/>
          <c:tx>
            <c:strRef>
              <c:f>Donnee_Dover_100!$D$1</c:f>
              <c:strCache>
                <c:ptCount val="1"/>
                <c:pt idx="0">
                  <c:v>Connecteur 3</c:v>
                </c:pt>
              </c:strCache>
            </c:strRef>
          </c:tx>
          <c:spPr>
            <a:ln w="19050" cap="rnd">
              <a:solidFill>
                <a:schemeClr val="accent3"/>
              </a:solidFill>
              <a:round/>
            </a:ln>
            <a:effectLst/>
          </c:spPr>
          <c:marker>
            <c:symbol val="none"/>
          </c:marker>
          <c:xVal>
            <c:numRef>
              <c:f>Donnee_Dover_100!$A$2</c:f>
              <c:numCache>
                <c:formatCode>General</c:formatCode>
                <c:ptCount val="1"/>
              </c:numCache>
            </c:numRef>
          </c:xVal>
          <c:yVal>
            <c:numRef>
              <c:f>Donnee_Dover_100!$D$2</c:f>
              <c:numCache>
                <c:formatCode>General</c:formatCode>
                <c:ptCount val="1"/>
              </c:numCache>
            </c:numRef>
          </c:yVal>
          <c:smooth val="0"/>
          <c:extLst>
            <c:ext xmlns:c16="http://schemas.microsoft.com/office/drawing/2014/chart" uri="{C3380CC4-5D6E-409C-BE32-E72D297353CC}">
              <c16:uniqueId val="{00000002-8D8B-4E3C-8FF9-2642285E3771}"/>
            </c:ext>
          </c:extLst>
        </c:ser>
        <c:ser>
          <c:idx val="3"/>
          <c:order val="3"/>
          <c:tx>
            <c:strRef>
              <c:f>Donnee_Dover_100!$E$1</c:f>
              <c:strCache>
                <c:ptCount val="1"/>
                <c:pt idx="0">
                  <c:v>Connecteur 4</c:v>
                </c:pt>
              </c:strCache>
            </c:strRef>
          </c:tx>
          <c:spPr>
            <a:ln w="19050" cap="rnd">
              <a:solidFill>
                <a:schemeClr val="accent4"/>
              </a:solidFill>
              <a:round/>
            </a:ln>
            <a:effectLst/>
          </c:spPr>
          <c:marker>
            <c:symbol val="none"/>
          </c:marker>
          <c:xVal>
            <c:numRef>
              <c:f>Donnee_Dover_100!$A$2</c:f>
              <c:numCache>
                <c:formatCode>General</c:formatCode>
                <c:ptCount val="1"/>
              </c:numCache>
            </c:numRef>
          </c:xVal>
          <c:yVal>
            <c:numRef>
              <c:f>Donnee_Dover_100!$E$2</c:f>
              <c:numCache>
                <c:formatCode>General</c:formatCode>
                <c:ptCount val="1"/>
              </c:numCache>
            </c:numRef>
          </c:yVal>
          <c:smooth val="0"/>
          <c:extLst>
            <c:ext xmlns:c16="http://schemas.microsoft.com/office/drawing/2014/chart" uri="{C3380CC4-5D6E-409C-BE32-E72D297353CC}">
              <c16:uniqueId val="{00000003-8D8B-4E3C-8FF9-2642285E3771}"/>
            </c:ext>
          </c:extLst>
        </c:ser>
        <c:ser>
          <c:idx val="4"/>
          <c:order val="4"/>
          <c:tx>
            <c:strRef>
              <c:f>Donnee_Dover_100!$F$1</c:f>
              <c:strCache>
                <c:ptCount val="1"/>
                <c:pt idx="0">
                  <c:v>Connecteur 5</c:v>
                </c:pt>
              </c:strCache>
            </c:strRef>
          </c:tx>
          <c:spPr>
            <a:ln w="19050" cap="rnd">
              <a:solidFill>
                <a:schemeClr val="accent5"/>
              </a:solidFill>
              <a:round/>
            </a:ln>
            <a:effectLst/>
          </c:spPr>
          <c:marker>
            <c:symbol val="none"/>
          </c:marker>
          <c:xVal>
            <c:numRef>
              <c:f>Donnee_Dover_100!$A$2</c:f>
              <c:numCache>
                <c:formatCode>General</c:formatCode>
                <c:ptCount val="1"/>
              </c:numCache>
            </c:numRef>
          </c:xVal>
          <c:yVal>
            <c:numRef>
              <c:f>Donnee_Dover_100!$F$2</c:f>
              <c:numCache>
                <c:formatCode>General</c:formatCode>
                <c:ptCount val="1"/>
              </c:numCache>
            </c:numRef>
          </c:yVal>
          <c:smooth val="0"/>
          <c:extLst>
            <c:ext xmlns:c16="http://schemas.microsoft.com/office/drawing/2014/chart" uri="{C3380CC4-5D6E-409C-BE32-E72D297353CC}">
              <c16:uniqueId val="{00000004-8D8B-4E3C-8FF9-2642285E3771}"/>
            </c:ext>
          </c:extLst>
        </c:ser>
        <c:ser>
          <c:idx val="5"/>
          <c:order val="5"/>
          <c:tx>
            <c:strRef>
              <c:f>Donnee_Dover_100!$G$1</c:f>
              <c:strCache>
                <c:ptCount val="1"/>
                <c:pt idx="0">
                  <c:v>Connecteur 6</c:v>
                </c:pt>
              </c:strCache>
            </c:strRef>
          </c:tx>
          <c:spPr>
            <a:ln w="19050" cap="rnd">
              <a:solidFill>
                <a:schemeClr val="accent6"/>
              </a:solidFill>
              <a:round/>
            </a:ln>
            <a:effectLst/>
          </c:spPr>
          <c:marker>
            <c:symbol val="none"/>
          </c:marker>
          <c:xVal>
            <c:numRef>
              <c:f>Donnee_Dover_100!$A$2</c:f>
              <c:numCache>
                <c:formatCode>General</c:formatCode>
                <c:ptCount val="1"/>
              </c:numCache>
            </c:numRef>
          </c:xVal>
          <c:yVal>
            <c:numRef>
              <c:f>Donnee_Dover_100!$G$2</c:f>
              <c:numCache>
                <c:formatCode>General</c:formatCode>
                <c:ptCount val="1"/>
              </c:numCache>
            </c:numRef>
          </c:yVal>
          <c:smooth val="0"/>
          <c:extLst>
            <c:ext xmlns:c16="http://schemas.microsoft.com/office/drawing/2014/chart" uri="{C3380CC4-5D6E-409C-BE32-E72D297353CC}">
              <c16:uniqueId val="{00000005-8D8B-4E3C-8FF9-2642285E3771}"/>
            </c:ext>
          </c:extLst>
        </c:ser>
        <c:ser>
          <c:idx val="6"/>
          <c:order val="6"/>
          <c:tx>
            <c:strRef>
              <c:f>Donnee_Dover_100!$H$1</c:f>
              <c:strCache>
                <c:ptCount val="1"/>
                <c:pt idx="0">
                  <c:v>Connecteur 7</c:v>
                </c:pt>
              </c:strCache>
            </c:strRef>
          </c:tx>
          <c:spPr>
            <a:ln w="19050" cap="rnd">
              <a:solidFill>
                <a:schemeClr val="accent1">
                  <a:lumMod val="60000"/>
                </a:schemeClr>
              </a:solidFill>
              <a:round/>
            </a:ln>
            <a:effectLst/>
          </c:spPr>
          <c:marker>
            <c:symbol val="none"/>
          </c:marker>
          <c:xVal>
            <c:numRef>
              <c:f>Donnee_Dover_100!$A$2</c:f>
              <c:numCache>
                <c:formatCode>General</c:formatCode>
                <c:ptCount val="1"/>
              </c:numCache>
            </c:numRef>
          </c:xVal>
          <c:yVal>
            <c:numRef>
              <c:f>Donnee_Dover_100!$H$2</c:f>
              <c:numCache>
                <c:formatCode>General</c:formatCode>
                <c:ptCount val="1"/>
              </c:numCache>
            </c:numRef>
          </c:yVal>
          <c:smooth val="0"/>
          <c:extLst>
            <c:ext xmlns:c16="http://schemas.microsoft.com/office/drawing/2014/chart" uri="{C3380CC4-5D6E-409C-BE32-E72D297353CC}">
              <c16:uniqueId val="{00000006-8D8B-4E3C-8FF9-2642285E3771}"/>
            </c:ext>
          </c:extLst>
        </c:ser>
        <c:ser>
          <c:idx val="7"/>
          <c:order val="7"/>
          <c:tx>
            <c:strRef>
              <c:f>Donnee_Dover_100!$I$1</c:f>
              <c:strCache>
                <c:ptCount val="1"/>
                <c:pt idx="0">
                  <c:v>Connecteur 8</c:v>
                </c:pt>
              </c:strCache>
            </c:strRef>
          </c:tx>
          <c:spPr>
            <a:ln w="19050" cap="rnd">
              <a:solidFill>
                <a:schemeClr val="accent2">
                  <a:lumMod val="60000"/>
                </a:schemeClr>
              </a:solidFill>
              <a:round/>
            </a:ln>
            <a:effectLst/>
          </c:spPr>
          <c:marker>
            <c:symbol val="none"/>
          </c:marker>
          <c:xVal>
            <c:numRef>
              <c:f>Donnee_Dover_100!$A$2</c:f>
              <c:numCache>
                <c:formatCode>General</c:formatCode>
                <c:ptCount val="1"/>
              </c:numCache>
            </c:numRef>
          </c:xVal>
          <c:yVal>
            <c:numRef>
              <c:f>Donnee_Dover_100!$I$2</c:f>
              <c:numCache>
                <c:formatCode>General</c:formatCode>
                <c:ptCount val="1"/>
              </c:numCache>
            </c:numRef>
          </c:yVal>
          <c:smooth val="0"/>
          <c:extLst>
            <c:ext xmlns:c16="http://schemas.microsoft.com/office/drawing/2014/chart" uri="{C3380CC4-5D6E-409C-BE32-E72D297353CC}">
              <c16:uniqueId val="{00000007-8D8B-4E3C-8FF9-2642285E3771}"/>
            </c:ext>
          </c:extLst>
        </c:ser>
        <c:ser>
          <c:idx val="8"/>
          <c:order val="8"/>
          <c:tx>
            <c:strRef>
              <c:f>Donnee_Dover_100!$J$1</c:f>
              <c:strCache>
                <c:ptCount val="1"/>
                <c:pt idx="0">
                  <c:v>Connecteur 9</c:v>
                </c:pt>
              </c:strCache>
            </c:strRef>
          </c:tx>
          <c:spPr>
            <a:ln w="19050" cap="rnd">
              <a:solidFill>
                <a:schemeClr val="accent3">
                  <a:lumMod val="60000"/>
                </a:schemeClr>
              </a:solidFill>
              <a:round/>
            </a:ln>
            <a:effectLst/>
          </c:spPr>
          <c:marker>
            <c:symbol val="none"/>
          </c:marker>
          <c:xVal>
            <c:numRef>
              <c:f>Donnee_Dover_100!$A$2</c:f>
              <c:numCache>
                <c:formatCode>General</c:formatCode>
                <c:ptCount val="1"/>
              </c:numCache>
            </c:numRef>
          </c:xVal>
          <c:yVal>
            <c:numRef>
              <c:f>Donnee_Dover_100!$J$2</c:f>
              <c:numCache>
                <c:formatCode>General</c:formatCode>
                <c:ptCount val="1"/>
              </c:numCache>
            </c:numRef>
          </c:yVal>
          <c:smooth val="0"/>
          <c:extLst>
            <c:ext xmlns:c16="http://schemas.microsoft.com/office/drawing/2014/chart" uri="{C3380CC4-5D6E-409C-BE32-E72D297353CC}">
              <c16:uniqueId val="{00000008-8D8B-4E3C-8FF9-2642285E3771}"/>
            </c:ext>
          </c:extLst>
        </c:ser>
        <c:dLbls>
          <c:showLegendKey val="0"/>
          <c:showVal val="0"/>
          <c:showCatName val="0"/>
          <c:showSerName val="0"/>
          <c:showPercent val="0"/>
          <c:showBubbleSize val="0"/>
        </c:dLbls>
        <c:axId val="954004488"/>
        <c:axId val="954012768"/>
      </c:scatterChart>
      <c:valAx>
        <c:axId val="954004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12768"/>
        <c:crosses val="autoZero"/>
        <c:crossBetween val="midCat"/>
      </c:valAx>
      <c:valAx>
        <c:axId val="95401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04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Donnee_Dover_150!$B$1</c:f>
              <c:strCache>
                <c:ptCount val="1"/>
                <c:pt idx="0">
                  <c:v>Connecteur 1</c:v>
                </c:pt>
              </c:strCache>
            </c:strRef>
          </c:tx>
          <c:spPr>
            <a:ln w="19050" cap="rnd">
              <a:solidFill>
                <a:schemeClr val="accent1"/>
              </a:solidFill>
              <a:round/>
            </a:ln>
            <a:effectLst/>
          </c:spPr>
          <c:marker>
            <c:symbol val="none"/>
          </c:marker>
          <c:xVal>
            <c:numRef>
              <c:f>Donnee_Dover_150!$A$2</c:f>
              <c:numCache>
                <c:formatCode>General</c:formatCode>
                <c:ptCount val="1"/>
              </c:numCache>
            </c:numRef>
          </c:xVal>
          <c:yVal>
            <c:numRef>
              <c:f>Donnee_Dover_150!$B$2</c:f>
              <c:numCache>
                <c:formatCode>General</c:formatCode>
                <c:ptCount val="1"/>
              </c:numCache>
            </c:numRef>
          </c:yVal>
          <c:smooth val="0"/>
          <c:extLst>
            <c:ext xmlns:c16="http://schemas.microsoft.com/office/drawing/2014/chart" uri="{C3380CC4-5D6E-409C-BE32-E72D297353CC}">
              <c16:uniqueId val="{00000000-4711-4F22-9DDA-B4A37B77F37F}"/>
            </c:ext>
          </c:extLst>
        </c:ser>
        <c:ser>
          <c:idx val="1"/>
          <c:order val="1"/>
          <c:tx>
            <c:strRef>
              <c:f>Donnee_Dover_150!$C$1</c:f>
              <c:strCache>
                <c:ptCount val="1"/>
                <c:pt idx="0">
                  <c:v>Connecteur 2</c:v>
                </c:pt>
              </c:strCache>
            </c:strRef>
          </c:tx>
          <c:spPr>
            <a:ln w="19050" cap="rnd">
              <a:solidFill>
                <a:schemeClr val="accent2"/>
              </a:solidFill>
              <a:round/>
            </a:ln>
            <a:effectLst/>
          </c:spPr>
          <c:marker>
            <c:symbol val="none"/>
          </c:marker>
          <c:xVal>
            <c:numRef>
              <c:f>Donnee_Dover_150!$A$2</c:f>
              <c:numCache>
                <c:formatCode>General</c:formatCode>
                <c:ptCount val="1"/>
              </c:numCache>
            </c:numRef>
          </c:xVal>
          <c:yVal>
            <c:numRef>
              <c:f>Donnee_Dover_150!$C$2</c:f>
              <c:numCache>
                <c:formatCode>General</c:formatCode>
                <c:ptCount val="1"/>
              </c:numCache>
            </c:numRef>
          </c:yVal>
          <c:smooth val="0"/>
          <c:extLst>
            <c:ext xmlns:c16="http://schemas.microsoft.com/office/drawing/2014/chart" uri="{C3380CC4-5D6E-409C-BE32-E72D297353CC}">
              <c16:uniqueId val="{00000001-4711-4F22-9DDA-B4A37B77F37F}"/>
            </c:ext>
          </c:extLst>
        </c:ser>
        <c:ser>
          <c:idx val="2"/>
          <c:order val="2"/>
          <c:tx>
            <c:strRef>
              <c:f>Donnee_Dover_150!$D$1</c:f>
              <c:strCache>
                <c:ptCount val="1"/>
                <c:pt idx="0">
                  <c:v>Connecteur 3</c:v>
                </c:pt>
              </c:strCache>
            </c:strRef>
          </c:tx>
          <c:spPr>
            <a:ln w="19050" cap="rnd">
              <a:solidFill>
                <a:schemeClr val="accent3"/>
              </a:solidFill>
              <a:round/>
            </a:ln>
            <a:effectLst/>
          </c:spPr>
          <c:marker>
            <c:symbol val="none"/>
          </c:marker>
          <c:xVal>
            <c:numRef>
              <c:f>Donnee_Dover_150!$A$2</c:f>
              <c:numCache>
                <c:formatCode>General</c:formatCode>
                <c:ptCount val="1"/>
              </c:numCache>
            </c:numRef>
          </c:xVal>
          <c:yVal>
            <c:numRef>
              <c:f>Donnee_Dover_150!$D$2</c:f>
              <c:numCache>
                <c:formatCode>General</c:formatCode>
                <c:ptCount val="1"/>
              </c:numCache>
            </c:numRef>
          </c:yVal>
          <c:smooth val="0"/>
          <c:extLst>
            <c:ext xmlns:c16="http://schemas.microsoft.com/office/drawing/2014/chart" uri="{C3380CC4-5D6E-409C-BE32-E72D297353CC}">
              <c16:uniqueId val="{00000002-4711-4F22-9DDA-B4A37B77F37F}"/>
            </c:ext>
          </c:extLst>
        </c:ser>
        <c:ser>
          <c:idx val="3"/>
          <c:order val="3"/>
          <c:tx>
            <c:strRef>
              <c:f>Donnee_Dover_150!$E$1</c:f>
              <c:strCache>
                <c:ptCount val="1"/>
                <c:pt idx="0">
                  <c:v>Connecteur 4</c:v>
                </c:pt>
              </c:strCache>
            </c:strRef>
          </c:tx>
          <c:spPr>
            <a:ln w="19050" cap="rnd">
              <a:solidFill>
                <a:schemeClr val="accent4"/>
              </a:solidFill>
              <a:round/>
            </a:ln>
            <a:effectLst/>
          </c:spPr>
          <c:marker>
            <c:symbol val="none"/>
          </c:marker>
          <c:xVal>
            <c:numRef>
              <c:f>Donnee_Dover_150!$A$2</c:f>
              <c:numCache>
                <c:formatCode>General</c:formatCode>
                <c:ptCount val="1"/>
              </c:numCache>
            </c:numRef>
          </c:xVal>
          <c:yVal>
            <c:numRef>
              <c:f>Donnee_Dover_150!$E$2</c:f>
              <c:numCache>
                <c:formatCode>General</c:formatCode>
                <c:ptCount val="1"/>
              </c:numCache>
            </c:numRef>
          </c:yVal>
          <c:smooth val="0"/>
          <c:extLst>
            <c:ext xmlns:c16="http://schemas.microsoft.com/office/drawing/2014/chart" uri="{C3380CC4-5D6E-409C-BE32-E72D297353CC}">
              <c16:uniqueId val="{00000003-4711-4F22-9DDA-B4A37B77F37F}"/>
            </c:ext>
          </c:extLst>
        </c:ser>
        <c:ser>
          <c:idx val="4"/>
          <c:order val="4"/>
          <c:tx>
            <c:strRef>
              <c:f>Donnee_Dover_150!$F$1</c:f>
              <c:strCache>
                <c:ptCount val="1"/>
                <c:pt idx="0">
                  <c:v>Connecteur 5</c:v>
                </c:pt>
              </c:strCache>
            </c:strRef>
          </c:tx>
          <c:spPr>
            <a:ln w="19050" cap="rnd">
              <a:solidFill>
                <a:schemeClr val="accent5"/>
              </a:solidFill>
              <a:round/>
            </a:ln>
            <a:effectLst/>
          </c:spPr>
          <c:marker>
            <c:symbol val="none"/>
          </c:marker>
          <c:xVal>
            <c:numRef>
              <c:f>Donnee_Dover_150!$A$2</c:f>
              <c:numCache>
                <c:formatCode>General</c:formatCode>
                <c:ptCount val="1"/>
              </c:numCache>
            </c:numRef>
          </c:xVal>
          <c:yVal>
            <c:numRef>
              <c:f>Donnee_Dover_150!$F$2</c:f>
              <c:numCache>
                <c:formatCode>General</c:formatCode>
                <c:ptCount val="1"/>
              </c:numCache>
            </c:numRef>
          </c:yVal>
          <c:smooth val="0"/>
          <c:extLst>
            <c:ext xmlns:c16="http://schemas.microsoft.com/office/drawing/2014/chart" uri="{C3380CC4-5D6E-409C-BE32-E72D297353CC}">
              <c16:uniqueId val="{00000004-4711-4F22-9DDA-B4A37B77F37F}"/>
            </c:ext>
          </c:extLst>
        </c:ser>
        <c:ser>
          <c:idx val="5"/>
          <c:order val="5"/>
          <c:tx>
            <c:strRef>
              <c:f>Donnee_Dover_150!$G$1</c:f>
              <c:strCache>
                <c:ptCount val="1"/>
                <c:pt idx="0">
                  <c:v>Connecteur 6</c:v>
                </c:pt>
              </c:strCache>
            </c:strRef>
          </c:tx>
          <c:spPr>
            <a:ln w="19050" cap="rnd">
              <a:solidFill>
                <a:schemeClr val="accent6"/>
              </a:solidFill>
              <a:round/>
            </a:ln>
            <a:effectLst/>
          </c:spPr>
          <c:marker>
            <c:symbol val="none"/>
          </c:marker>
          <c:xVal>
            <c:numRef>
              <c:f>Donnee_Dover_150!$A$2</c:f>
              <c:numCache>
                <c:formatCode>General</c:formatCode>
                <c:ptCount val="1"/>
              </c:numCache>
            </c:numRef>
          </c:xVal>
          <c:yVal>
            <c:numRef>
              <c:f>Donnee_Dover_150!$G$2</c:f>
              <c:numCache>
                <c:formatCode>General</c:formatCode>
                <c:ptCount val="1"/>
              </c:numCache>
            </c:numRef>
          </c:yVal>
          <c:smooth val="0"/>
          <c:extLst>
            <c:ext xmlns:c16="http://schemas.microsoft.com/office/drawing/2014/chart" uri="{C3380CC4-5D6E-409C-BE32-E72D297353CC}">
              <c16:uniqueId val="{00000005-4711-4F22-9DDA-B4A37B77F37F}"/>
            </c:ext>
          </c:extLst>
        </c:ser>
        <c:ser>
          <c:idx val="6"/>
          <c:order val="6"/>
          <c:tx>
            <c:strRef>
              <c:f>Donnee_Dover_150!$H$1</c:f>
              <c:strCache>
                <c:ptCount val="1"/>
                <c:pt idx="0">
                  <c:v>Connecteur 7</c:v>
                </c:pt>
              </c:strCache>
            </c:strRef>
          </c:tx>
          <c:spPr>
            <a:ln w="19050" cap="rnd">
              <a:solidFill>
                <a:schemeClr val="accent1">
                  <a:lumMod val="60000"/>
                </a:schemeClr>
              </a:solidFill>
              <a:round/>
            </a:ln>
            <a:effectLst/>
          </c:spPr>
          <c:marker>
            <c:symbol val="none"/>
          </c:marker>
          <c:xVal>
            <c:numRef>
              <c:f>Donnee_Dover_150!$A$2</c:f>
              <c:numCache>
                <c:formatCode>General</c:formatCode>
                <c:ptCount val="1"/>
              </c:numCache>
            </c:numRef>
          </c:xVal>
          <c:yVal>
            <c:numRef>
              <c:f>Donnee_Dover_150!$H$2</c:f>
              <c:numCache>
                <c:formatCode>General</c:formatCode>
                <c:ptCount val="1"/>
              </c:numCache>
            </c:numRef>
          </c:yVal>
          <c:smooth val="0"/>
          <c:extLst>
            <c:ext xmlns:c16="http://schemas.microsoft.com/office/drawing/2014/chart" uri="{C3380CC4-5D6E-409C-BE32-E72D297353CC}">
              <c16:uniqueId val="{00000006-4711-4F22-9DDA-B4A37B77F37F}"/>
            </c:ext>
          </c:extLst>
        </c:ser>
        <c:ser>
          <c:idx val="7"/>
          <c:order val="7"/>
          <c:tx>
            <c:strRef>
              <c:f>Donnee_Dover_150!$I$1</c:f>
              <c:strCache>
                <c:ptCount val="1"/>
                <c:pt idx="0">
                  <c:v>Connecteur 8</c:v>
                </c:pt>
              </c:strCache>
            </c:strRef>
          </c:tx>
          <c:spPr>
            <a:ln w="19050" cap="rnd">
              <a:solidFill>
                <a:schemeClr val="accent2">
                  <a:lumMod val="60000"/>
                </a:schemeClr>
              </a:solidFill>
              <a:round/>
            </a:ln>
            <a:effectLst/>
          </c:spPr>
          <c:marker>
            <c:symbol val="none"/>
          </c:marker>
          <c:xVal>
            <c:numRef>
              <c:f>Donnee_Dover_150!$A$2</c:f>
              <c:numCache>
                <c:formatCode>General</c:formatCode>
                <c:ptCount val="1"/>
              </c:numCache>
            </c:numRef>
          </c:xVal>
          <c:yVal>
            <c:numRef>
              <c:f>Donnee_Dover_150!$I$2</c:f>
              <c:numCache>
                <c:formatCode>General</c:formatCode>
                <c:ptCount val="1"/>
              </c:numCache>
            </c:numRef>
          </c:yVal>
          <c:smooth val="0"/>
          <c:extLst>
            <c:ext xmlns:c16="http://schemas.microsoft.com/office/drawing/2014/chart" uri="{C3380CC4-5D6E-409C-BE32-E72D297353CC}">
              <c16:uniqueId val="{00000007-4711-4F22-9DDA-B4A37B77F37F}"/>
            </c:ext>
          </c:extLst>
        </c:ser>
        <c:ser>
          <c:idx val="8"/>
          <c:order val="8"/>
          <c:tx>
            <c:strRef>
              <c:f>Donnee_Dover_150!$J$1</c:f>
              <c:strCache>
                <c:ptCount val="1"/>
                <c:pt idx="0">
                  <c:v>Connecteur 9</c:v>
                </c:pt>
              </c:strCache>
            </c:strRef>
          </c:tx>
          <c:spPr>
            <a:ln w="19050" cap="rnd">
              <a:solidFill>
                <a:schemeClr val="accent3">
                  <a:lumMod val="60000"/>
                </a:schemeClr>
              </a:solidFill>
              <a:round/>
            </a:ln>
            <a:effectLst/>
          </c:spPr>
          <c:marker>
            <c:symbol val="none"/>
          </c:marker>
          <c:xVal>
            <c:numRef>
              <c:f>Donnee_Dover_150!$A$2</c:f>
              <c:numCache>
                <c:formatCode>General</c:formatCode>
                <c:ptCount val="1"/>
              </c:numCache>
            </c:numRef>
          </c:xVal>
          <c:yVal>
            <c:numRef>
              <c:f>Donnee_Dover_150!$J$2</c:f>
              <c:numCache>
                <c:formatCode>General</c:formatCode>
                <c:ptCount val="1"/>
              </c:numCache>
            </c:numRef>
          </c:yVal>
          <c:smooth val="0"/>
          <c:extLst>
            <c:ext xmlns:c16="http://schemas.microsoft.com/office/drawing/2014/chart" uri="{C3380CC4-5D6E-409C-BE32-E72D297353CC}">
              <c16:uniqueId val="{00000008-4711-4F22-9DDA-B4A37B77F37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Courbe de</a:t>
            </a:r>
            <a:r>
              <a:rPr lang="fr-FR" baseline="0"/>
              <a:t> l'enregistrement sous 50°C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Donnee_Dover_50!$B$1</c:f>
              <c:strCache>
                <c:ptCount val="1"/>
                <c:pt idx="0">
                  <c:v>Connecteur 1</c:v>
                </c:pt>
              </c:strCache>
            </c:strRef>
          </c:tx>
          <c:spPr>
            <a:ln w="19050" cap="rnd">
              <a:solidFill>
                <a:schemeClr val="accent1"/>
              </a:solidFill>
              <a:round/>
            </a:ln>
            <a:effectLst/>
          </c:spPr>
          <c:marker>
            <c:symbol val="none"/>
          </c:marker>
          <c:xVal>
            <c:numRef>
              <c:f>Donnee_Dover_50!$A$2</c:f>
              <c:numCache>
                <c:formatCode>General</c:formatCode>
                <c:ptCount val="1"/>
              </c:numCache>
            </c:numRef>
          </c:xVal>
          <c:yVal>
            <c:numRef>
              <c:f>Donnee_Dover_50!$B$2</c:f>
              <c:numCache>
                <c:formatCode>General</c:formatCode>
                <c:ptCount val="1"/>
              </c:numCache>
            </c:numRef>
          </c:yVal>
          <c:smooth val="0"/>
          <c:extLst>
            <c:ext xmlns:c16="http://schemas.microsoft.com/office/drawing/2014/chart" uri="{C3380CC4-5D6E-409C-BE32-E72D297353CC}">
              <c16:uniqueId val="{00000000-90F9-4C9B-A523-AD7A9D69ACD8}"/>
            </c:ext>
          </c:extLst>
        </c:ser>
        <c:ser>
          <c:idx val="1"/>
          <c:order val="1"/>
          <c:tx>
            <c:strRef>
              <c:f>Donnee_Dover_50!$C$1</c:f>
              <c:strCache>
                <c:ptCount val="1"/>
                <c:pt idx="0">
                  <c:v>Connecteur 2</c:v>
                </c:pt>
              </c:strCache>
            </c:strRef>
          </c:tx>
          <c:spPr>
            <a:ln w="19050" cap="rnd">
              <a:solidFill>
                <a:schemeClr val="accent2"/>
              </a:solidFill>
              <a:round/>
            </a:ln>
            <a:effectLst/>
          </c:spPr>
          <c:marker>
            <c:symbol val="none"/>
          </c:marker>
          <c:xVal>
            <c:numRef>
              <c:f>Donnee_Dover_50!$A$2</c:f>
              <c:numCache>
                <c:formatCode>General</c:formatCode>
                <c:ptCount val="1"/>
              </c:numCache>
            </c:numRef>
          </c:xVal>
          <c:yVal>
            <c:numRef>
              <c:f>Donnee_Dover_50!$C$2</c:f>
              <c:numCache>
                <c:formatCode>General</c:formatCode>
                <c:ptCount val="1"/>
              </c:numCache>
            </c:numRef>
          </c:yVal>
          <c:smooth val="0"/>
          <c:extLst>
            <c:ext xmlns:c16="http://schemas.microsoft.com/office/drawing/2014/chart" uri="{C3380CC4-5D6E-409C-BE32-E72D297353CC}">
              <c16:uniqueId val="{00000001-90F9-4C9B-A523-AD7A9D69ACD8}"/>
            </c:ext>
          </c:extLst>
        </c:ser>
        <c:ser>
          <c:idx val="2"/>
          <c:order val="2"/>
          <c:tx>
            <c:strRef>
              <c:f>Donnee_Dover_50!$D$1</c:f>
              <c:strCache>
                <c:ptCount val="1"/>
                <c:pt idx="0">
                  <c:v>Connecteur 3</c:v>
                </c:pt>
              </c:strCache>
            </c:strRef>
          </c:tx>
          <c:spPr>
            <a:ln w="19050" cap="rnd">
              <a:solidFill>
                <a:schemeClr val="accent3"/>
              </a:solidFill>
              <a:round/>
            </a:ln>
            <a:effectLst/>
          </c:spPr>
          <c:marker>
            <c:symbol val="none"/>
          </c:marker>
          <c:xVal>
            <c:numRef>
              <c:f>Donnee_Dover_50!$A$2</c:f>
              <c:numCache>
                <c:formatCode>General</c:formatCode>
                <c:ptCount val="1"/>
              </c:numCache>
            </c:numRef>
          </c:xVal>
          <c:yVal>
            <c:numRef>
              <c:f>Donnee_Dover_50!$D$2</c:f>
              <c:numCache>
                <c:formatCode>General</c:formatCode>
                <c:ptCount val="1"/>
              </c:numCache>
            </c:numRef>
          </c:yVal>
          <c:smooth val="0"/>
          <c:extLst>
            <c:ext xmlns:c16="http://schemas.microsoft.com/office/drawing/2014/chart" uri="{C3380CC4-5D6E-409C-BE32-E72D297353CC}">
              <c16:uniqueId val="{00000002-90F9-4C9B-A523-AD7A9D69ACD8}"/>
            </c:ext>
          </c:extLst>
        </c:ser>
        <c:ser>
          <c:idx val="3"/>
          <c:order val="3"/>
          <c:tx>
            <c:strRef>
              <c:f>Donnee_Dover_50!$E$1</c:f>
              <c:strCache>
                <c:ptCount val="1"/>
                <c:pt idx="0">
                  <c:v>Connecteur 4</c:v>
                </c:pt>
              </c:strCache>
            </c:strRef>
          </c:tx>
          <c:spPr>
            <a:ln w="19050" cap="rnd">
              <a:solidFill>
                <a:schemeClr val="accent4"/>
              </a:solidFill>
              <a:round/>
            </a:ln>
            <a:effectLst/>
          </c:spPr>
          <c:marker>
            <c:symbol val="none"/>
          </c:marker>
          <c:xVal>
            <c:numRef>
              <c:f>Donnee_Dover_50!$A$2</c:f>
              <c:numCache>
                <c:formatCode>General</c:formatCode>
                <c:ptCount val="1"/>
              </c:numCache>
            </c:numRef>
          </c:xVal>
          <c:yVal>
            <c:numRef>
              <c:f>Donnee_Dover_50!$E$2</c:f>
              <c:numCache>
                <c:formatCode>General</c:formatCode>
                <c:ptCount val="1"/>
              </c:numCache>
            </c:numRef>
          </c:yVal>
          <c:smooth val="0"/>
          <c:extLst>
            <c:ext xmlns:c16="http://schemas.microsoft.com/office/drawing/2014/chart" uri="{C3380CC4-5D6E-409C-BE32-E72D297353CC}">
              <c16:uniqueId val="{00000003-90F9-4C9B-A523-AD7A9D69ACD8}"/>
            </c:ext>
          </c:extLst>
        </c:ser>
        <c:ser>
          <c:idx val="4"/>
          <c:order val="4"/>
          <c:tx>
            <c:strRef>
              <c:f>Donnee_Dover_50!$F$1</c:f>
              <c:strCache>
                <c:ptCount val="1"/>
                <c:pt idx="0">
                  <c:v>Connecteur 5</c:v>
                </c:pt>
              </c:strCache>
            </c:strRef>
          </c:tx>
          <c:spPr>
            <a:ln w="19050" cap="rnd">
              <a:solidFill>
                <a:schemeClr val="accent5"/>
              </a:solidFill>
              <a:round/>
            </a:ln>
            <a:effectLst/>
          </c:spPr>
          <c:marker>
            <c:symbol val="none"/>
          </c:marker>
          <c:xVal>
            <c:numRef>
              <c:f>Donnee_Dover_50!$A$2</c:f>
              <c:numCache>
                <c:formatCode>General</c:formatCode>
                <c:ptCount val="1"/>
              </c:numCache>
            </c:numRef>
          </c:xVal>
          <c:yVal>
            <c:numRef>
              <c:f>Donnee_Dover_50!$F$2</c:f>
              <c:numCache>
                <c:formatCode>General</c:formatCode>
                <c:ptCount val="1"/>
              </c:numCache>
            </c:numRef>
          </c:yVal>
          <c:smooth val="0"/>
          <c:extLst>
            <c:ext xmlns:c16="http://schemas.microsoft.com/office/drawing/2014/chart" uri="{C3380CC4-5D6E-409C-BE32-E72D297353CC}">
              <c16:uniqueId val="{00000004-90F9-4C9B-A523-AD7A9D69ACD8}"/>
            </c:ext>
          </c:extLst>
        </c:ser>
        <c:ser>
          <c:idx val="5"/>
          <c:order val="5"/>
          <c:tx>
            <c:strRef>
              <c:f>Donnee_Dover_50!$G$1</c:f>
              <c:strCache>
                <c:ptCount val="1"/>
                <c:pt idx="0">
                  <c:v>Connecteur 6</c:v>
                </c:pt>
              </c:strCache>
            </c:strRef>
          </c:tx>
          <c:spPr>
            <a:ln w="19050" cap="rnd">
              <a:solidFill>
                <a:schemeClr val="accent6"/>
              </a:solidFill>
              <a:round/>
            </a:ln>
            <a:effectLst/>
          </c:spPr>
          <c:marker>
            <c:symbol val="none"/>
          </c:marker>
          <c:xVal>
            <c:numRef>
              <c:f>Donnee_Dover_50!$A$2</c:f>
              <c:numCache>
                <c:formatCode>General</c:formatCode>
                <c:ptCount val="1"/>
              </c:numCache>
            </c:numRef>
          </c:xVal>
          <c:yVal>
            <c:numRef>
              <c:f>Donnee_Dover_50!$G$2</c:f>
              <c:numCache>
                <c:formatCode>General</c:formatCode>
                <c:ptCount val="1"/>
              </c:numCache>
            </c:numRef>
          </c:yVal>
          <c:smooth val="0"/>
          <c:extLst>
            <c:ext xmlns:c16="http://schemas.microsoft.com/office/drawing/2014/chart" uri="{C3380CC4-5D6E-409C-BE32-E72D297353CC}">
              <c16:uniqueId val="{00000005-90F9-4C9B-A523-AD7A9D69ACD8}"/>
            </c:ext>
          </c:extLst>
        </c:ser>
        <c:ser>
          <c:idx val="6"/>
          <c:order val="6"/>
          <c:tx>
            <c:strRef>
              <c:f>Donnee_Dover_50!$H$1</c:f>
              <c:strCache>
                <c:ptCount val="1"/>
                <c:pt idx="0">
                  <c:v>Connecteur 7</c:v>
                </c:pt>
              </c:strCache>
            </c:strRef>
          </c:tx>
          <c:spPr>
            <a:ln w="19050" cap="rnd">
              <a:solidFill>
                <a:schemeClr val="accent1">
                  <a:lumMod val="60000"/>
                </a:schemeClr>
              </a:solidFill>
              <a:round/>
            </a:ln>
            <a:effectLst/>
          </c:spPr>
          <c:marker>
            <c:symbol val="none"/>
          </c:marker>
          <c:xVal>
            <c:numRef>
              <c:f>Donnee_Dover_50!$A$2</c:f>
              <c:numCache>
                <c:formatCode>General</c:formatCode>
                <c:ptCount val="1"/>
              </c:numCache>
            </c:numRef>
          </c:xVal>
          <c:yVal>
            <c:numRef>
              <c:f>Donnee_Dover_50!$H$2</c:f>
              <c:numCache>
                <c:formatCode>General</c:formatCode>
                <c:ptCount val="1"/>
              </c:numCache>
            </c:numRef>
          </c:yVal>
          <c:smooth val="0"/>
          <c:extLst>
            <c:ext xmlns:c16="http://schemas.microsoft.com/office/drawing/2014/chart" uri="{C3380CC4-5D6E-409C-BE32-E72D297353CC}">
              <c16:uniqueId val="{00000006-90F9-4C9B-A523-AD7A9D69ACD8}"/>
            </c:ext>
          </c:extLst>
        </c:ser>
        <c:ser>
          <c:idx val="7"/>
          <c:order val="7"/>
          <c:tx>
            <c:strRef>
              <c:f>Donnee_Dover_50!$I$1</c:f>
              <c:strCache>
                <c:ptCount val="1"/>
                <c:pt idx="0">
                  <c:v>Connecteur 8</c:v>
                </c:pt>
              </c:strCache>
            </c:strRef>
          </c:tx>
          <c:spPr>
            <a:ln w="19050" cap="rnd">
              <a:solidFill>
                <a:schemeClr val="accent2">
                  <a:lumMod val="60000"/>
                </a:schemeClr>
              </a:solidFill>
              <a:round/>
            </a:ln>
            <a:effectLst/>
          </c:spPr>
          <c:marker>
            <c:symbol val="none"/>
          </c:marker>
          <c:xVal>
            <c:numRef>
              <c:f>Donnee_Dover_50!$A$2</c:f>
              <c:numCache>
                <c:formatCode>General</c:formatCode>
                <c:ptCount val="1"/>
              </c:numCache>
            </c:numRef>
          </c:xVal>
          <c:yVal>
            <c:numRef>
              <c:f>Donnee_Dover_50!$I$2</c:f>
              <c:numCache>
                <c:formatCode>General</c:formatCode>
                <c:ptCount val="1"/>
              </c:numCache>
            </c:numRef>
          </c:yVal>
          <c:smooth val="0"/>
          <c:extLst>
            <c:ext xmlns:c16="http://schemas.microsoft.com/office/drawing/2014/chart" uri="{C3380CC4-5D6E-409C-BE32-E72D297353CC}">
              <c16:uniqueId val="{00000007-90F9-4C9B-A523-AD7A9D69ACD8}"/>
            </c:ext>
          </c:extLst>
        </c:ser>
        <c:ser>
          <c:idx val="8"/>
          <c:order val="8"/>
          <c:tx>
            <c:strRef>
              <c:f>Donnee_Dover_50!$J$1</c:f>
              <c:strCache>
                <c:ptCount val="1"/>
                <c:pt idx="0">
                  <c:v>Connecteur 9</c:v>
                </c:pt>
              </c:strCache>
            </c:strRef>
          </c:tx>
          <c:spPr>
            <a:ln w="19050" cap="rnd">
              <a:solidFill>
                <a:schemeClr val="accent3">
                  <a:lumMod val="60000"/>
                </a:schemeClr>
              </a:solidFill>
              <a:round/>
            </a:ln>
            <a:effectLst/>
          </c:spPr>
          <c:marker>
            <c:symbol val="none"/>
          </c:marker>
          <c:xVal>
            <c:numRef>
              <c:f>Donnee_Dover_50!$A$2</c:f>
              <c:numCache>
                <c:formatCode>General</c:formatCode>
                <c:ptCount val="1"/>
              </c:numCache>
            </c:numRef>
          </c:xVal>
          <c:yVal>
            <c:numRef>
              <c:f>Donnee_Dover_50!$J$2</c:f>
              <c:numCache>
                <c:formatCode>General</c:formatCode>
                <c:ptCount val="1"/>
              </c:numCache>
            </c:numRef>
          </c:yVal>
          <c:smooth val="0"/>
          <c:extLst>
            <c:ext xmlns:c16="http://schemas.microsoft.com/office/drawing/2014/chart" uri="{C3380CC4-5D6E-409C-BE32-E72D297353CC}">
              <c16:uniqueId val="{00000008-90F9-4C9B-A523-AD7A9D69ACD8}"/>
            </c:ext>
          </c:extLst>
        </c:ser>
        <c:dLbls>
          <c:showLegendKey val="0"/>
          <c:showVal val="0"/>
          <c:showCatName val="0"/>
          <c:showSerName val="0"/>
          <c:showPercent val="0"/>
          <c:showBubbleSize val="0"/>
        </c:dLbls>
        <c:axId val="953973528"/>
        <c:axId val="953973888"/>
      </c:scatterChart>
      <c:valAx>
        <c:axId val="953973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888"/>
        <c:crosses val="autoZero"/>
        <c:crossBetween val="midCat"/>
      </c:valAx>
      <c:valAx>
        <c:axId val="953973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39735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kern="1200" spc="0" baseline="0">
                <a:solidFill>
                  <a:sysClr val="windowText" lastClr="000000">
                    <a:lumMod val="65000"/>
                    <a:lumOff val="35000"/>
                  </a:sysClr>
                </a:solidFill>
              </a:rPr>
              <a:t>Courbe de l'enregistrement sous 100°C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Donnee_Dover_100!$B$1</c:f>
              <c:strCache>
                <c:ptCount val="1"/>
                <c:pt idx="0">
                  <c:v>Connecteur 1</c:v>
                </c:pt>
              </c:strCache>
            </c:strRef>
          </c:tx>
          <c:spPr>
            <a:ln w="19050" cap="rnd">
              <a:solidFill>
                <a:schemeClr val="accent1"/>
              </a:solidFill>
              <a:round/>
            </a:ln>
            <a:effectLst/>
          </c:spPr>
          <c:marker>
            <c:symbol val="none"/>
          </c:marker>
          <c:xVal>
            <c:numRef>
              <c:f>Donnee_Dover_100!$A$2</c:f>
              <c:numCache>
                <c:formatCode>General</c:formatCode>
                <c:ptCount val="1"/>
              </c:numCache>
            </c:numRef>
          </c:xVal>
          <c:yVal>
            <c:numRef>
              <c:f>Donnee_Dover_100!$B$2</c:f>
              <c:numCache>
                <c:formatCode>General</c:formatCode>
                <c:ptCount val="1"/>
              </c:numCache>
            </c:numRef>
          </c:yVal>
          <c:smooth val="0"/>
          <c:extLst>
            <c:ext xmlns:c16="http://schemas.microsoft.com/office/drawing/2014/chart" uri="{C3380CC4-5D6E-409C-BE32-E72D297353CC}">
              <c16:uniqueId val="{00000000-4C34-4F93-A871-72D90FB8A19B}"/>
            </c:ext>
          </c:extLst>
        </c:ser>
        <c:ser>
          <c:idx val="1"/>
          <c:order val="1"/>
          <c:tx>
            <c:strRef>
              <c:f>Donnee_Dover_100!$C$1</c:f>
              <c:strCache>
                <c:ptCount val="1"/>
                <c:pt idx="0">
                  <c:v>Connecteur 2</c:v>
                </c:pt>
              </c:strCache>
            </c:strRef>
          </c:tx>
          <c:spPr>
            <a:ln w="19050" cap="rnd">
              <a:solidFill>
                <a:schemeClr val="accent2"/>
              </a:solidFill>
              <a:round/>
            </a:ln>
            <a:effectLst/>
          </c:spPr>
          <c:marker>
            <c:symbol val="none"/>
          </c:marker>
          <c:xVal>
            <c:numRef>
              <c:f>Donnee_Dover_100!$A$2</c:f>
              <c:numCache>
                <c:formatCode>General</c:formatCode>
                <c:ptCount val="1"/>
              </c:numCache>
            </c:numRef>
          </c:xVal>
          <c:yVal>
            <c:numRef>
              <c:f>Donnee_Dover_100!$C$2</c:f>
              <c:numCache>
                <c:formatCode>General</c:formatCode>
                <c:ptCount val="1"/>
              </c:numCache>
            </c:numRef>
          </c:yVal>
          <c:smooth val="0"/>
          <c:extLst>
            <c:ext xmlns:c16="http://schemas.microsoft.com/office/drawing/2014/chart" uri="{C3380CC4-5D6E-409C-BE32-E72D297353CC}">
              <c16:uniqueId val="{00000001-4C34-4F93-A871-72D90FB8A19B}"/>
            </c:ext>
          </c:extLst>
        </c:ser>
        <c:ser>
          <c:idx val="2"/>
          <c:order val="2"/>
          <c:tx>
            <c:strRef>
              <c:f>Donnee_Dover_100!$D$1</c:f>
              <c:strCache>
                <c:ptCount val="1"/>
                <c:pt idx="0">
                  <c:v>Connecteur 3</c:v>
                </c:pt>
              </c:strCache>
            </c:strRef>
          </c:tx>
          <c:spPr>
            <a:ln w="19050" cap="rnd">
              <a:solidFill>
                <a:schemeClr val="accent3"/>
              </a:solidFill>
              <a:round/>
            </a:ln>
            <a:effectLst/>
          </c:spPr>
          <c:marker>
            <c:symbol val="none"/>
          </c:marker>
          <c:xVal>
            <c:numRef>
              <c:f>Donnee_Dover_100!$A$2</c:f>
              <c:numCache>
                <c:formatCode>General</c:formatCode>
                <c:ptCount val="1"/>
              </c:numCache>
            </c:numRef>
          </c:xVal>
          <c:yVal>
            <c:numRef>
              <c:f>Donnee_Dover_100!$D$2</c:f>
              <c:numCache>
                <c:formatCode>General</c:formatCode>
                <c:ptCount val="1"/>
              </c:numCache>
            </c:numRef>
          </c:yVal>
          <c:smooth val="0"/>
          <c:extLst>
            <c:ext xmlns:c16="http://schemas.microsoft.com/office/drawing/2014/chart" uri="{C3380CC4-5D6E-409C-BE32-E72D297353CC}">
              <c16:uniqueId val="{00000002-4C34-4F93-A871-72D90FB8A19B}"/>
            </c:ext>
          </c:extLst>
        </c:ser>
        <c:ser>
          <c:idx val="3"/>
          <c:order val="3"/>
          <c:tx>
            <c:strRef>
              <c:f>Donnee_Dover_100!$E$1</c:f>
              <c:strCache>
                <c:ptCount val="1"/>
                <c:pt idx="0">
                  <c:v>Connecteur 4</c:v>
                </c:pt>
              </c:strCache>
            </c:strRef>
          </c:tx>
          <c:spPr>
            <a:ln w="19050" cap="rnd">
              <a:solidFill>
                <a:schemeClr val="accent4"/>
              </a:solidFill>
              <a:round/>
            </a:ln>
            <a:effectLst/>
          </c:spPr>
          <c:marker>
            <c:symbol val="none"/>
          </c:marker>
          <c:xVal>
            <c:numRef>
              <c:f>Donnee_Dover_100!$A$2</c:f>
              <c:numCache>
                <c:formatCode>General</c:formatCode>
                <c:ptCount val="1"/>
              </c:numCache>
            </c:numRef>
          </c:xVal>
          <c:yVal>
            <c:numRef>
              <c:f>Donnee_Dover_100!$E$2</c:f>
              <c:numCache>
                <c:formatCode>General</c:formatCode>
                <c:ptCount val="1"/>
              </c:numCache>
            </c:numRef>
          </c:yVal>
          <c:smooth val="0"/>
          <c:extLst>
            <c:ext xmlns:c16="http://schemas.microsoft.com/office/drawing/2014/chart" uri="{C3380CC4-5D6E-409C-BE32-E72D297353CC}">
              <c16:uniqueId val="{00000003-4C34-4F93-A871-72D90FB8A19B}"/>
            </c:ext>
          </c:extLst>
        </c:ser>
        <c:ser>
          <c:idx val="4"/>
          <c:order val="4"/>
          <c:tx>
            <c:strRef>
              <c:f>Donnee_Dover_100!$F$1</c:f>
              <c:strCache>
                <c:ptCount val="1"/>
                <c:pt idx="0">
                  <c:v>Connecteur 5</c:v>
                </c:pt>
              </c:strCache>
            </c:strRef>
          </c:tx>
          <c:spPr>
            <a:ln w="19050" cap="rnd">
              <a:solidFill>
                <a:schemeClr val="accent5"/>
              </a:solidFill>
              <a:round/>
            </a:ln>
            <a:effectLst/>
          </c:spPr>
          <c:marker>
            <c:symbol val="none"/>
          </c:marker>
          <c:xVal>
            <c:numRef>
              <c:f>Donnee_Dover_100!$A$2</c:f>
              <c:numCache>
                <c:formatCode>General</c:formatCode>
                <c:ptCount val="1"/>
              </c:numCache>
            </c:numRef>
          </c:xVal>
          <c:yVal>
            <c:numRef>
              <c:f>Donnee_Dover_100!$F$2</c:f>
              <c:numCache>
                <c:formatCode>General</c:formatCode>
                <c:ptCount val="1"/>
              </c:numCache>
            </c:numRef>
          </c:yVal>
          <c:smooth val="0"/>
          <c:extLst>
            <c:ext xmlns:c16="http://schemas.microsoft.com/office/drawing/2014/chart" uri="{C3380CC4-5D6E-409C-BE32-E72D297353CC}">
              <c16:uniqueId val="{00000004-4C34-4F93-A871-72D90FB8A19B}"/>
            </c:ext>
          </c:extLst>
        </c:ser>
        <c:ser>
          <c:idx val="5"/>
          <c:order val="5"/>
          <c:tx>
            <c:strRef>
              <c:f>Donnee_Dover_100!$G$1</c:f>
              <c:strCache>
                <c:ptCount val="1"/>
                <c:pt idx="0">
                  <c:v>Connecteur 6</c:v>
                </c:pt>
              </c:strCache>
            </c:strRef>
          </c:tx>
          <c:spPr>
            <a:ln w="19050" cap="rnd">
              <a:solidFill>
                <a:schemeClr val="accent6"/>
              </a:solidFill>
              <a:round/>
            </a:ln>
            <a:effectLst/>
          </c:spPr>
          <c:marker>
            <c:symbol val="none"/>
          </c:marker>
          <c:xVal>
            <c:numRef>
              <c:f>Donnee_Dover_100!$A$2</c:f>
              <c:numCache>
                <c:formatCode>General</c:formatCode>
                <c:ptCount val="1"/>
              </c:numCache>
            </c:numRef>
          </c:xVal>
          <c:yVal>
            <c:numRef>
              <c:f>Donnee_Dover_100!$G$2</c:f>
              <c:numCache>
                <c:formatCode>General</c:formatCode>
                <c:ptCount val="1"/>
              </c:numCache>
            </c:numRef>
          </c:yVal>
          <c:smooth val="0"/>
          <c:extLst>
            <c:ext xmlns:c16="http://schemas.microsoft.com/office/drawing/2014/chart" uri="{C3380CC4-5D6E-409C-BE32-E72D297353CC}">
              <c16:uniqueId val="{00000005-4C34-4F93-A871-72D90FB8A19B}"/>
            </c:ext>
          </c:extLst>
        </c:ser>
        <c:ser>
          <c:idx val="6"/>
          <c:order val="6"/>
          <c:tx>
            <c:strRef>
              <c:f>Donnee_Dover_100!$H$1</c:f>
              <c:strCache>
                <c:ptCount val="1"/>
                <c:pt idx="0">
                  <c:v>Connecteur 7</c:v>
                </c:pt>
              </c:strCache>
            </c:strRef>
          </c:tx>
          <c:spPr>
            <a:ln w="19050" cap="rnd">
              <a:solidFill>
                <a:schemeClr val="accent1">
                  <a:lumMod val="60000"/>
                </a:schemeClr>
              </a:solidFill>
              <a:round/>
            </a:ln>
            <a:effectLst/>
          </c:spPr>
          <c:marker>
            <c:symbol val="none"/>
          </c:marker>
          <c:xVal>
            <c:numRef>
              <c:f>Donnee_Dover_100!$A$2</c:f>
              <c:numCache>
                <c:formatCode>General</c:formatCode>
                <c:ptCount val="1"/>
              </c:numCache>
            </c:numRef>
          </c:xVal>
          <c:yVal>
            <c:numRef>
              <c:f>Donnee_Dover_100!$H$2</c:f>
              <c:numCache>
                <c:formatCode>General</c:formatCode>
                <c:ptCount val="1"/>
              </c:numCache>
            </c:numRef>
          </c:yVal>
          <c:smooth val="0"/>
          <c:extLst>
            <c:ext xmlns:c16="http://schemas.microsoft.com/office/drawing/2014/chart" uri="{C3380CC4-5D6E-409C-BE32-E72D297353CC}">
              <c16:uniqueId val="{00000006-4C34-4F93-A871-72D90FB8A19B}"/>
            </c:ext>
          </c:extLst>
        </c:ser>
        <c:ser>
          <c:idx val="7"/>
          <c:order val="7"/>
          <c:tx>
            <c:strRef>
              <c:f>Donnee_Dover_100!$I$1</c:f>
              <c:strCache>
                <c:ptCount val="1"/>
                <c:pt idx="0">
                  <c:v>Connecteur 8</c:v>
                </c:pt>
              </c:strCache>
            </c:strRef>
          </c:tx>
          <c:spPr>
            <a:ln w="19050" cap="rnd">
              <a:solidFill>
                <a:schemeClr val="accent2">
                  <a:lumMod val="60000"/>
                </a:schemeClr>
              </a:solidFill>
              <a:round/>
            </a:ln>
            <a:effectLst/>
          </c:spPr>
          <c:marker>
            <c:symbol val="none"/>
          </c:marker>
          <c:xVal>
            <c:numRef>
              <c:f>Donnee_Dover_100!$A$2</c:f>
              <c:numCache>
                <c:formatCode>General</c:formatCode>
                <c:ptCount val="1"/>
              </c:numCache>
            </c:numRef>
          </c:xVal>
          <c:yVal>
            <c:numRef>
              <c:f>Donnee_Dover_100!$I$2</c:f>
              <c:numCache>
                <c:formatCode>General</c:formatCode>
                <c:ptCount val="1"/>
              </c:numCache>
            </c:numRef>
          </c:yVal>
          <c:smooth val="0"/>
          <c:extLst>
            <c:ext xmlns:c16="http://schemas.microsoft.com/office/drawing/2014/chart" uri="{C3380CC4-5D6E-409C-BE32-E72D297353CC}">
              <c16:uniqueId val="{00000007-4C34-4F93-A871-72D90FB8A19B}"/>
            </c:ext>
          </c:extLst>
        </c:ser>
        <c:ser>
          <c:idx val="8"/>
          <c:order val="8"/>
          <c:tx>
            <c:strRef>
              <c:f>Donnee_Dover_100!$J$1</c:f>
              <c:strCache>
                <c:ptCount val="1"/>
                <c:pt idx="0">
                  <c:v>Connecteur 9</c:v>
                </c:pt>
              </c:strCache>
            </c:strRef>
          </c:tx>
          <c:spPr>
            <a:ln w="19050" cap="rnd">
              <a:solidFill>
                <a:schemeClr val="accent3">
                  <a:lumMod val="60000"/>
                </a:schemeClr>
              </a:solidFill>
              <a:round/>
            </a:ln>
            <a:effectLst/>
          </c:spPr>
          <c:marker>
            <c:symbol val="none"/>
          </c:marker>
          <c:xVal>
            <c:numRef>
              <c:f>Donnee_Dover_100!$A$2</c:f>
              <c:numCache>
                <c:formatCode>General</c:formatCode>
                <c:ptCount val="1"/>
              </c:numCache>
            </c:numRef>
          </c:xVal>
          <c:yVal>
            <c:numRef>
              <c:f>Donnee_Dover_100!$J$2</c:f>
              <c:numCache>
                <c:formatCode>General</c:formatCode>
                <c:ptCount val="1"/>
              </c:numCache>
            </c:numRef>
          </c:yVal>
          <c:smooth val="0"/>
          <c:extLst>
            <c:ext xmlns:c16="http://schemas.microsoft.com/office/drawing/2014/chart" uri="{C3380CC4-5D6E-409C-BE32-E72D297353CC}">
              <c16:uniqueId val="{00000008-4C34-4F93-A871-72D90FB8A19B}"/>
            </c:ext>
          </c:extLst>
        </c:ser>
        <c:dLbls>
          <c:showLegendKey val="0"/>
          <c:showVal val="0"/>
          <c:showCatName val="0"/>
          <c:showSerName val="0"/>
          <c:showPercent val="0"/>
          <c:showBubbleSize val="0"/>
        </c:dLbls>
        <c:axId val="954004488"/>
        <c:axId val="954012768"/>
      </c:scatterChart>
      <c:valAx>
        <c:axId val="954004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12768"/>
        <c:crosses val="autoZero"/>
        <c:crossBetween val="midCat"/>
      </c:valAx>
      <c:valAx>
        <c:axId val="954012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54004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Courbe de l'enregistrement sous 150°C</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Donnee_Dover_150!$B$1</c:f>
              <c:strCache>
                <c:ptCount val="1"/>
                <c:pt idx="0">
                  <c:v>Connecteur 1</c:v>
                </c:pt>
              </c:strCache>
            </c:strRef>
          </c:tx>
          <c:spPr>
            <a:ln w="19050" cap="rnd">
              <a:solidFill>
                <a:schemeClr val="accent1"/>
              </a:solidFill>
              <a:round/>
            </a:ln>
            <a:effectLst/>
          </c:spPr>
          <c:marker>
            <c:symbol val="none"/>
          </c:marker>
          <c:xVal>
            <c:numRef>
              <c:f>Donnee_Dover_150!$A$2</c:f>
              <c:numCache>
                <c:formatCode>General</c:formatCode>
                <c:ptCount val="1"/>
              </c:numCache>
            </c:numRef>
          </c:xVal>
          <c:yVal>
            <c:numRef>
              <c:f>Donnee_Dover_150!$B$2</c:f>
              <c:numCache>
                <c:formatCode>General</c:formatCode>
                <c:ptCount val="1"/>
              </c:numCache>
            </c:numRef>
          </c:yVal>
          <c:smooth val="0"/>
          <c:extLst>
            <c:ext xmlns:c16="http://schemas.microsoft.com/office/drawing/2014/chart" uri="{C3380CC4-5D6E-409C-BE32-E72D297353CC}">
              <c16:uniqueId val="{00000000-EEFD-41A8-881C-AAD135C6C3DF}"/>
            </c:ext>
          </c:extLst>
        </c:ser>
        <c:ser>
          <c:idx val="1"/>
          <c:order val="1"/>
          <c:tx>
            <c:strRef>
              <c:f>Donnee_Dover_150!$C$1</c:f>
              <c:strCache>
                <c:ptCount val="1"/>
                <c:pt idx="0">
                  <c:v>Connecteur 2</c:v>
                </c:pt>
              </c:strCache>
            </c:strRef>
          </c:tx>
          <c:spPr>
            <a:ln w="19050" cap="rnd">
              <a:solidFill>
                <a:schemeClr val="accent2"/>
              </a:solidFill>
              <a:round/>
            </a:ln>
            <a:effectLst/>
          </c:spPr>
          <c:marker>
            <c:symbol val="none"/>
          </c:marker>
          <c:xVal>
            <c:numRef>
              <c:f>Donnee_Dover_150!$A$2</c:f>
              <c:numCache>
                <c:formatCode>General</c:formatCode>
                <c:ptCount val="1"/>
              </c:numCache>
            </c:numRef>
          </c:xVal>
          <c:yVal>
            <c:numRef>
              <c:f>Donnee_Dover_150!$C$2</c:f>
              <c:numCache>
                <c:formatCode>General</c:formatCode>
                <c:ptCount val="1"/>
              </c:numCache>
            </c:numRef>
          </c:yVal>
          <c:smooth val="0"/>
          <c:extLst>
            <c:ext xmlns:c16="http://schemas.microsoft.com/office/drawing/2014/chart" uri="{C3380CC4-5D6E-409C-BE32-E72D297353CC}">
              <c16:uniqueId val="{00000001-EEFD-41A8-881C-AAD135C6C3DF}"/>
            </c:ext>
          </c:extLst>
        </c:ser>
        <c:ser>
          <c:idx val="2"/>
          <c:order val="2"/>
          <c:tx>
            <c:strRef>
              <c:f>Donnee_Dover_150!$D$1</c:f>
              <c:strCache>
                <c:ptCount val="1"/>
                <c:pt idx="0">
                  <c:v>Connecteur 3</c:v>
                </c:pt>
              </c:strCache>
            </c:strRef>
          </c:tx>
          <c:spPr>
            <a:ln w="19050" cap="rnd">
              <a:solidFill>
                <a:schemeClr val="accent3"/>
              </a:solidFill>
              <a:round/>
            </a:ln>
            <a:effectLst/>
          </c:spPr>
          <c:marker>
            <c:symbol val="none"/>
          </c:marker>
          <c:xVal>
            <c:numRef>
              <c:f>Donnee_Dover_150!$A$2</c:f>
              <c:numCache>
                <c:formatCode>General</c:formatCode>
                <c:ptCount val="1"/>
              </c:numCache>
            </c:numRef>
          </c:xVal>
          <c:yVal>
            <c:numRef>
              <c:f>Donnee_Dover_150!$D$2</c:f>
              <c:numCache>
                <c:formatCode>General</c:formatCode>
                <c:ptCount val="1"/>
              </c:numCache>
            </c:numRef>
          </c:yVal>
          <c:smooth val="0"/>
          <c:extLst>
            <c:ext xmlns:c16="http://schemas.microsoft.com/office/drawing/2014/chart" uri="{C3380CC4-5D6E-409C-BE32-E72D297353CC}">
              <c16:uniqueId val="{00000002-EEFD-41A8-881C-AAD135C6C3DF}"/>
            </c:ext>
          </c:extLst>
        </c:ser>
        <c:ser>
          <c:idx val="3"/>
          <c:order val="3"/>
          <c:tx>
            <c:strRef>
              <c:f>Donnee_Dover_150!$E$1</c:f>
              <c:strCache>
                <c:ptCount val="1"/>
                <c:pt idx="0">
                  <c:v>Connecteur 4</c:v>
                </c:pt>
              </c:strCache>
            </c:strRef>
          </c:tx>
          <c:spPr>
            <a:ln w="19050" cap="rnd">
              <a:solidFill>
                <a:schemeClr val="accent4"/>
              </a:solidFill>
              <a:round/>
            </a:ln>
            <a:effectLst/>
          </c:spPr>
          <c:marker>
            <c:symbol val="none"/>
          </c:marker>
          <c:xVal>
            <c:numRef>
              <c:f>Donnee_Dover_150!$A$2</c:f>
              <c:numCache>
                <c:formatCode>General</c:formatCode>
                <c:ptCount val="1"/>
              </c:numCache>
            </c:numRef>
          </c:xVal>
          <c:yVal>
            <c:numRef>
              <c:f>Donnee_Dover_150!$E$2</c:f>
              <c:numCache>
                <c:formatCode>General</c:formatCode>
                <c:ptCount val="1"/>
              </c:numCache>
            </c:numRef>
          </c:yVal>
          <c:smooth val="0"/>
          <c:extLst>
            <c:ext xmlns:c16="http://schemas.microsoft.com/office/drawing/2014/chart" uri="{C3380CC4-5D6E-409C-BE32-E72D297353CC}">
              <c16:uniqueId val="{00000003-EEFD-41A8-881C-AAD135C6C3DF}"/>
            </c:ext>
          </c:extLst>
        </c:ser>
        <c:ser>
          <c:idx val="4"/>
          <c:order val="4"/>
          <c:tx>
            <c:strRef>
              <c:f>Donnee_Dover_150!$F$1</c:f>
              <c:strCache>
                <c:ptCount val="1"/>
                <c:pt idx="0">
                  <c:v>Connecteur 5</c:v>
                </c:pt>
              </c:strCache>
            </c:strRef>
          </c:tx>
          <c:spPr>
            <a:ln w="19050" cap="rnd">
              <a:solidFill>
                <a:schemeClr val="accent5"/>
              </a:solidFill>
              <a:round/>
            </a:ln>
            <a:effectLst/>
          </c:spPr>
          <c:marker>
            <c:symbol val="none"/>
          </c:marker>
          <c:xVal>
            <c:numRef>
              <c:f>Donnee_Dover_150!$A$2</c:f>
              <c:numCache>
                <c:formatCode>General</c:formatCode>
                <c:ptCount val="1"/>
              </c:numCache>
            </c:numRef>
          </c:xVal>
          <c:yVal>
            <c:numRef>
              <c:f>Donnee_Dover_150!$F$2</c:f>
              <c:numCache>
                <c:formatCode>General</c:formatCode>
                <c:ptCount val="1"/>
              </c:numCache>
            </c:numRef>
          </c:yVal>
          <c:smooth val="0"/>
          <c:extLst>
            <c:ext xmlns:c16="http://schemas.microsoft.com/office/drawing/2014/chart" uri="{C3380CC4-5D6E-409C-BE32-E72D297353CC}">
              <c16:uniqueId val="{00000004-EEFD-41A8-881C-AAD135C6C3DF}"/>
            </c:ext>
          </c:extLst>
        </c:ser>
        <c:ser>
          <c:idx val="5"/>
          <c:order val="5"/>
          <c:tx>
            <c:strRef>
              <c:f>Donnee_Dover_150!$G$1</c:f>
              <c:strCache>
                <c:ptCount val="1"/>
                <c:pt idx="0">
                  <c:v>Connecteur 6</c:v>
                </c:pt>
              </c:strCache>
            </c:strRef>
          </c:tx>
          <c:spPr>
            <a:ln w="19050" cap="rnd">
              <a:solidFill>
                <a:schemeClr val="accent6"/>
              </a:solidFill>
              <a:round/>
            </a:ln>
            <a:effectLst/>
          </c:spPr>
          <c:marker>
            <c:symbol val="none"/>
          </c:marker>
          <c:xVal>
            <c:numRef>
              <c:f>Donnee_Dover_150!$A$2</c:f>
              <c:numCache>
                <c:formatCode>General</c:formatCode>
                <c:ptCount val="1"/>
              </c:numCache>
            </c:numRef>
          </c:xVal>
          <c:yVal>
            <c:numRef>
              <c:f>Donnee_Dover_150!$G$2</c:f>
              <c:numCache>
                <c:formatCode>General</c:formatCode>
                <c:ptCount val="1"/>
              </c:numCache>
            </c:numRef>
          </c:yVal>
          <c:smooth val="0"/>
          <c:extLst>
            <c:ext xmlns:c16="http://schemas.microsoft.com/office/drawing/2014/chart" uri="{C3380CC4-5D6E-409C-BE32-E72D297353CC}">
              <c16:uniqueId val="{00000005-EEFD-41A8-881C-AAD135C6C3DF}"/>
            </c:ext>
          </c:extLst>
        </c:ser>
        <c:ser>
          <c:idx val="6"/>
          <c:order val="6"/>
          <c:tx>
            <c:strRef>
              <c:f>Donnee_Dover_150!$H$1</c:f>
              <c:strCache>
                <c:ptCount val="1"/>
                <c:pt idx="0">
                  <c:v>Connecteur 7</c:v>
                </c:pt>
              </c:strCache>
            </c:strRef>
          </c:tx>
          <c:spPr>
            <a:ln w="19050" cap="rnd">
              <a:solidFill>
                <a:schemeClr val="accent1">
                  <a:lumMod val="60000"/>
                </a:schemeClr>
              </a:solidFill>
              <a:round/>
            </a:ln>
            <a:effectLst/>
          </c:spPr>
          <c:marker>
            <c:symbol val="none"/>
          </c:marker>
          <c:xVal>
            <c:numRef>
              <c:f>Donnee_Dover_150!$A$2</c:f>
              <c:numCache>
                <c:formatCode>General</c:formatCode>
                <c:ptCount val="1"/>
              </c:numCache>
            </c:numRef>
          </c:xVal>
          <c:yVal>
            <c:numRef>
              <c:f>Donnee_Dover_150!$H$2</c:f>
              <c:numCache>
                <c:formatCode>General</c:formatCode>
                <c:ptCount val="1"/>
              </c:numCache>
            </c:numRef>
          </c:yVal>
          <c:smooth val="0"/>
          <c:extLst>
            <c:ext xmlns:c16="http://schemas.microsoft.com/office/drawing/2014/chart" uri="{C3380CC4-5D6E-409C-BE32-E72D297353CC}">
              <c16:uniqueId val="{00000006-EEFD-41A8-881C-AAD135C6C3DF}"/>
            </c:ext>
          </c:extLst>
        </c:ser>
        <c:ser>
          <c:idx val="7"/>
          <c:order val="7"/>
          <c:tx>
            <c:strRef>
              <c:f>Donnee_Dover_150!$I$1</c:f>
              <c:strCache>
                <c:ptCount val="1"/>
                <c:pt idx="0">
                  <c:v>Connecteur 8</c:v>
                </c:pt>
              </c:strCache>
            </c:strRef>
          </c:tx>
          <c:spPr>
            <a:ln w="19050" cap="rnd">
              <a:solidFill>
                <a:schemeClr val="accent2">
                  <a:lumMod val="60000"/>
                </a:schemeClr>
              </a:solidFill>
              <a:round/>
            </a:ln>
            <a:effectLst/>
          </c:spPr>
          <c:marker>
            <c:symbol val="none"/>
          </c:marker>
          <c:xVal>
            <c:numRef>
              <c:f>Donnee_Dover_150!$A$2</c:f>
              <c:numCache>
                <c:formatCode>General</c:formatCode>
                <c:ptCount val="1"/>
              </c:numCache>
            </c:numRef>
          </c:xVal>
          <c:yVal>
            <c:numRef>
              <c:f>Donnee_Dover_150!$I$2</c:f>
              <c:numCache>
                <c:formatCode>General</c:formatCode>
                <c:ptCount val="1"/>
              </c:numCache>
            </c:numRef>
          </c:yVal>
          <c:smooth val="0"/>
          <c:extLst>
            <c:ext xmlns:c16="http://schemas.microsoft.com/office/drawing/2014/chart" uri="{C3380CC4-5D6E-409C-BE32-E72D297353CC}">
              <c16:uniqueId val="{00000007-EEFD-41A8-881C-AAD135C6C3DF}"/>
            </c:ext>
          </c:extLst>
        </c:ser>
        <c:ser>
          <c:idx val="8"/>
          <c:order val="8"/>
          <c:tx>
            <c:strRef>
              <c:f>Donnee_Dover_150!$J$1</c:f>
              <c:strCache>
                <c:ptCount val="1"/>
                <c:pt idx="0">
                  <c:v>Connecteur 9</c:v>
                </c:pt>
              </c:strCache>
            </c:strRef>
          </c:tx>
          <c:spPr>
            <a:ln w="19050" cap="rnd">
              <a:solidFill>
                <a:schemeClr val="accent3">
                  <a:lumMod val="60000"/>
                </a:schemeClr>
              </a:solidFill>
              <a:round/>
            </a:ln>
            <a:effectLst/>
          </c:spPr>
          <c:marker>
            <c:symbol val="none"/>
          </c:marker>
          <c:xVal>
            <c:numRef>
              <c:f>Donnee_Dover_150!$A$2</c:f>
              <c:numCache>
                <c:formatCode>General</c:formatCode>
                <c:ptCount val="1"/>
              </c:numCache>
            </c:numRef>
          </c:xVal>
          <c:yVal>
            <c:numRef>
              <c:f>Donnee_Dover_150!$J$2</c:f>
              <c:numCache>
                <c:formatCode>General</c:formatCode>
                <c:ptCount val="1"/>
              </c:numCache>
            </c:numRef>
          </c:yVal>
          <c:smooth val="0"/>
          <c:extLst>
            <c:ext xmlns:c16="http://schemas.microsoft.com/office/drawing/2014/chart" uri="{C3380CC4-5D6E-409C-BE32-E72D297353CC}">
              <c16:uniqueId val="{00000008-EEFD-41A8-881C-AAD135C6C3DF}"/>
            </c:ext>
          </c:extLst>
        </c:ser>
        <c:dLbls>
          <c:showLegendKey val="0"/>
          <c:showVal val="0"/>
          <c:showCatName val="0"/>
          <c:showSerName val="0"/>
          <c:showPercent val="0"/>
          <c:showBubbleSize val="0"/>
        </c:dLbls>
        <c:axId val="754557288"/>
        <c:axId val="754557648"/>
      </c:scatterChart>
      <c:valAx>
        <c:axId val="7545572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648"/>
        <c:crosses val="autoZero"/>
        <c:crossBetween val="midCat"/>
      </c:valAx>
      <c:valAx>
        <c:axId val="7545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45572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2.xml"/><Relationship Id="rId4" Type="http://schemas.microsoft.com/office/2007/relationships/hdphoto" Target="../media/hdphoto1.wdp"/></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4.jpg"/><Relationship Id="rId1" Type="http://schemas.openxmlformats.org/officeDocument/2006/relationships/image" Target="../media/image3.jpeg"/><Relationship Id="rId5" Type="http://schemas.openxmlformats.org/officeDocument/2006/relationships/chart" Target="../charts/chart8.xml"/><Relationship Id="rId4"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jpg"/><Relationship Id="rId1" Type="http://schemas.openxmlformats.org/officeDocument/2006/relationships/image" Target="../media/image3.jpeg"/><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561975</xdr:colOff>
          <xdr:row>4</xdr:row>
          <xdr:rowOff>152400</xdr:rowOff>
        </xdr:from>
        <xdr:to>
          <xdr:col>15</xdr:col>
          <xdr:colOff>457200</xdr:colOff>
          <xdr:row>11</xdr:row>
          <xdr:rowOff>114300</xdr:rowOff>
        </xdr:to>
        <xdr:sp macro="" textlink="">
          <xdr:nvSpPr>
            <xdr:cNvPr id="10243" name="ComboBox1"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238125</xdr:colOff>
          <xdr:row>5</xdr:row>
          <xdr:rowOff>104775</xdr:rowOff>
        </xdr:from>
        <xdr:to>
          <xdr:col>24</xdr:col>
          <xdr:colOff>219075</xdr:colOff>
          <xdr:row>11</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49529</xdr:colOff>
      <xdr:row>15</xdr:row>
      <xdr:rowOff>171450</xdr:rowOff>
    </xdr:from>
    <xdr:to>
      <xdr:col>12</xdr:col>
      <xdr:colOff>560</xdr:colOff>
      <xdr:row>34</xdr:row>
      <xdr:rowOff>33618</xdr:rowOff>
    </xdr:to>
    <xdr:grpSp>
      <xdr:nvGrpSpPr>
        <xdr:cNvPr id="3112" name="Groupe 3111">
          <a:extLst>
            <a:ext uri="{FF2B5EF4-FFF2-40B4-BE49-F238E27FC236}">
              <a16:creationId xmlns:a16="http://schemas.microsoft.com/office/drawing/2014/main" id="{00000000-0008-0000-0300-0000280C0000}"/>
            </a:ext>
          </a:extLst>
        </xdr:cNvPr>
        <xdr:cNvGrpSpPr/>
      </xdr:nvGrpSpPr>
      <xdr:grpSpPr>
        <a:xfrm>
          <a:off x="6088379" y="3562350"/>
          <a:ext cx="5694606" cy="3500718"/>
          <a:chOff x="6545579" y="1943100"/>
          <a:chExt cx="6151245" cy="4078885"/>
        </a:xfrm>
      </xdr:grpSpPr>
      <xdr:grpSp>
        <xdr:nvGrpSpPr>
          <xdr:cNvPr id="3113" name="Groupe 3112">
            <a:extLst>
              <a:ext uri="{FF2B5EF4-FFF2-40B4-BE49-F238E27FC236}">
                <a16:creationId xmlns:a16="http://schemas.microsoft.com/office/drawing/2014/main" id="{00000000-0008-0000-0300-0000290C0000}"/>
              </a:ext>
            </a:extLst>
          </xdr:cNvPr>
          <xdr:cNvGrpSpPr/>
        </xdr:nvGrpSpPr>
        <xdr:grpSpPr>
          <a:xfrm>
            <a:off x="6545579" y="1943100"/>
            <a:ext cx="6151245" cy="4078885"/>
            <a:chOff x="6497954" y="1828800"/>
            <a:chExt cx="6151245" cy="4078885"/>
          </a:xfrm>
        </xdr:grpSpPr>
        <xdr:grpSp>
          <xdr:nvGrpSpPr>
            <xdr:cNvPr id="3120" name="Groupe 3119">
              <a:extLst>
                <a:ext uri="{FF2B5EF4-FFF2-40B4-BE49-F238E27FC236}">
                  <a16:creationId xmlns:a16="http://schemas.microsoft.com/office/drawing/2014/main" id="{00000000-0008-0000-0300-0000300C0000}"/>
                </a:ext>
              </a:extLst>
            </xdr:cNvPr>
            <xdr:cNvGrpSpPr/>
          </xdr:nvGrpSpPr>
          <xdr:grpSpPr>
            <a:xfrm>
              <a:off x="6497954" y="1828800"/>
              <a:ext cx="6151245" cy="4078885"/>
              <a:chOff x="6097904" y="1828800"/>
              <a:chExt cx="6151245" cy="4078885"/>
            </a:xfrm>
          </xdr:grpSpPr>
          <xdr:grpSp>
            <xdr:nvGrpSpPr>
              <xdr:cNvPr id="3124" name="Groupe 3123">
                <a:extLst>
                  <a:ext uri="{FF2B5EF4-FFF2-40B4-BE49-F238E27FC236}">
                    <a16:creationId xmlns:a16="http://schemas.microsoft.com/office/drawing/2014/main" id="{00000000-0008-0000-0300-0000340C0000}"/>
                  </a:ext>
                </a:extLst>
              </xdr:cNvPr>
              <xdr:cNvGrpSpPr/>
            </xdr:nvGrpSpPr>
            <xdr:grpSpPr>
              <a:xfrm>
                <a:off x="6097904" y="2282190"/>
                <a:ext cx="6151245" cy="3625495"/>
                <a:chOff x="6097904" y="2282190"/>
                <a:chExt cx="6151245" cy="3625495"/>
              </a:xfrm>
            </xdr:grpSpPr>
            <xdr:pic>
              <xdr:nvPicPr>
                <xdr:cNvPr id="3141" name="Image 3140">
                  <a:extLst>
                    <a:ext uri="{FF2B5EF4-FFF2-40B4-BE49-F238E27FC236}">
                      <a16:creationId xmlns:a16="http://schemas.microsoft.com/office/drawing/2014/main" id="{00000000-0008-0000-0300-0000450C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3142" name="Ellipse 3141">
                  <a:extLst>
                    <a:ext uri="{FF2B5EF4-FFF2-40B4-BE49-F238E27FC236}">
                      <a16:creationId xmlns:a16="http://schemas.microsoft.com/office/drawing/2014/main" id="{00000000-0008-0000-0300-0000460C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3143" name="Ellipse 3142">
                  <a:extLst>
                    <a:ext uri="{FF2B5EF4-FFF2-40B4-BE49-F238E27FC236}">
                      <a16:creationId xmlns:a16="http://schemas.microsoft.com/office/drawing/2014/main" id="{00000000-0008-0000-0300-0000470C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3125" name="Ellipse 3124">
                <a:extLst>
                  <a:ext uri="{FF2B5EF4-FFF2-40B4-BE49-F238E27FC236}">
                    <a16:creationId xmlns:a16="http://schemas.microsoft.com/office/drawing/2014/main" id="{00000000-0008-0000-0300-0000350C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3126" name="Ellipse 3125">
                <a:extLst>
                  <a:ext uri="{FF2B5EF4-FFF2-40B4-BE49-F238E27FC236}">
                    <a16:creationId xmlns:a16="http://schemas.microsoft.com/office/drawing/2014/main" id="{00000000-0008-0000-0300-0000360C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3127" name="Ellipse 3126">
                <a:extLst>
                  <a:ext uri="{FF2B5EF4-FFF2-40B4-BE49-F238E27FC236}">
                    <a16:creationId xmlns:a16="http://schemas.microsoft.com/office/drawing/2014/main" id="{00000000-0008-0000-0300-0000370C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3128" name="Ellipse 3127">
                <a:extLst>
                  <a:ext uri="{FF2B5EF4-FFF2-40B4-BE49-F238E27FC236}">
                    <a16:creationId xmlns:a16="http://schemas.microsoft.com/office/drawing/2014/main" id="{00000000-0008-0000-0300-0000380C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3129" name="Ellipse 3128">
                <a:extLst>
                  <a:ext uri="{FF2B5EF4-FFF2-40B4-BE49-F238E27FC236}">
                    <a16:creationId xmlns:a16="http://schemas.microsoft.com/office/drawing/2014/main" id="{00000000-0008-0000-0300-0000390C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3130" name="Ellipse 3129">
                <a:extLst>
                  <a:ext uri="{FF2B5EF4-FFF2-40B4-BE49-F238E27FC236}">
                    <a16:creationId xmlns:a16="http://schemas.microsoft.com/office/drawing/2014/main" id="{00000000-0008-0000-0300-00003A0C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3131" name="Ellipse 3130">
                <a:extLst>
                  <a:ext uri="{FF2B5EF4-FFF2-40B4-BE49-F238E27FC236}">
                    <a16:creationId xmlns:a16="http://schemas.microsoft.com/office/drawing/2014/main" id="{00000000-0008-0000-0300-00003B0C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3132" name="Ellipse 3131">
                <a:extLst>
                  <a:ext uri="{FF2B5EF4-FFF2-40B4-BE49-F238E27FC236}">
                    <a16:creationId xmlns:a16="http://schemas.microsoft.com/office/drawing/2014/main" id="{00000000-0008-0000-0300-00003C0C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3133" name="Ellipse 3132">
                <a:extLst>
                  <a:ext uri="{FF2B5EF4-FFF2-40B4-BE49-F238E27FC236}">
                    <a16:creationId xmlns:a16="http://schemas.microsoft.com/office/drawing/2014/main" id="{00000000-0008-0000-0300-00003D0C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3134" name="Ellipse 3133">
                <a:extLst>
                  <a:ext uri="{FF2B5EF4-FFF2-40B4-BE49-F238E27FC236}">
                    <a16:creationId xmlns:a16="http://schemas.microsoft.com/office/drawing/2014/main" id="{00000000-0008-0000-0300-00003E0C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3135" name="Ellipse 3134">
                <a:extLst>
                  <a:ext uri="{FF2B5EF4-FFF2-40B4-BE49-F238E27FC236}">
                    <a16:creationId xmlns:a16="http://schemas.microsoft.com/office/drawing/2014/main" id="{00000000-0008-0000-0300-00003F0C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3136" name="Ellipse 3135">
                <a:extLst>
                  <a:ext uri="{FF2B5EF4-FFF2-40B4-BE49-F238E27FC236}">
                    <a16:creationId xmlns:a16="http://schemas.microsoft.com/office/drawing/2014/main" id="{00000000-0008-0000-0300-0000400C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3137" name="Ellipse 3136">
                <a:extLst>
                  <a:ext uri="{FF2B5EF4-FFF2-40B4-BE49-F238E27FC236}">
                    <a16:creationId xmlns:a16="http://schemas.microsoft.com/office/drawing/2014/main" id="{00000000-0008-0000-0300-0000410C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3138" name="Ellipse 3137">
                <a:extLst>
                  <a:ext uri="{FF2B5EF4-FFF2-40B4-BE49-F238E27FC236}">
                    <a16:creationId xmlns:a16="http://schemas.microsoft.com/office/drawing/2014/main" id="{00000000-0008-0000-0300-0000420C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3139" name="Ellipse 3138">
                <a:extLst>
                  <a:ext uri="{FF2B5EF4-FFF2-40B4-BE49-F238E27FC236}">
                    <a16:creationId xmlns:a16="http://schemas.microsoft.com/office/drawing/2014/main" id="{00000000-0008-0000-0300-0000430C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3140" name="Ellipse 3139">
                <a:extLst>
                  <a:ext uri="{FF2B5EF4-FFF2-40B4-BE49-F238E27FC236}">
                    <a16:creationId xmlns:a16="http://schemas.microsoft.com/office/drawing/2014/main" id="{00000000-0008-0000-0300-0000440C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3121" name="ZoneTexte 3120">
              <a:extLst>
                <a:ext uri="{FF2B5EF4-FFF2-40B4-BE49-F238E27FC236}">
                  <a16:creationId xmlns:a16="http://schemas.microsoft.com/office/drawing/2014/main" id="{00000000-0008-0000-0300-0000310C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3122" name="ZoneTexte 3121">
              <a:extLst>
                <a:ext uri="{FF2B5EF4-FFF2-40B4-BE49-F238E27FC236}">
                  <a16:creationId xmlns:a16="http://schemas.microsoft.com/office/drawing/2014/main" id="{00000000-0008-0000-0300-0000320C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3123" name="ZoneTexte 3122">
              <a:extLst>
                <a:ext uri="{FF2B5EF4-FFF2-40B4-BE49-F238E27FC236}">
                  <a16:creationId xmlns:a16="http://schemas.microsoft.com/office/drawing/2014/main" id="{00000000-0008-0000-0300-0000330C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3114" name="Ellipse 3113">
            <a:extLst>
              <a:ext uri="{FF2B5EF4-FFF2-40B4-BE49-F238E27FC236}">
                <a16:creationId xmlns:a16="http://schemas.microsoft.com/office/drawing/2014/main" id="{00000000-0008-0000-0300-00002A0C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3115" name="Ellipse 3114">
            <a:extLst>
              <a:ext uri="{FF2B5EF4-FFF2-40B4-BE49-F238E27FC236}">
                <a16:creationId xmlns:a16="http://schemas.microsoft.com/office/drawing/2014/main" id="{00000000-0008-0000-0300-00002B0C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3116" name="Ellipse 3115">
            <a:extLst>
              <a:ext uri="{FF2B5EF4-FFF2-40B4-BE49-F238E27FC236}">
                <a16:creationId xmlns:a16="http://schemas.microsoft.com/office/drawing/2014/main" id="{00000000-0008-0000-0300-00002C0C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3117" name="Ellipse 3116">
            <a:extLst>
              <a:ext uri="{FF2B5EF4-FFF2-40B4-BE49-F238E27FC236}">
                <a16:creationId xmlns:a16="http://schemas.microsoft.com/office/drawing/2014/main" id="{00000000-0008-0000-0300-00002D0C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3118" name="Ellipse 3117">
            <a:extLst>
              <a:ext uri="{FF2B5EF4-FFF2-40B4-BE49-F238E27FC236}">
                <a16:creationId xmlns:a16="http://schemas.microsoft.com/office/drawing/2014/main" id="{00000000-0008-0000-0300-00002E0C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3119" name="Ellipse 3118">
            <a:extLst>
              <a:ext uri="{FF2B5EF4-FFF2-40B4-BE49-F238E27FC236}">
                <a16:creationId xmlns:a16="http://schemas.microsoft.com/office/drawing/2014/main" id="{00000000-0008-0000-0300-00002F0C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mc:AlternateContent xmlns:mc="http://schemas.openxmlformats.org/markup-compatibility/2006">
    <mc:Choice xmlns:a14="http://schemas.microsoft.com/office/drawing/2010/main" Requires="a14">
      <xdr:twoCellAnchor>
        <xdr:from>
          <xdr:col>8</xdr:col>
          <xdr:colOff>428625</xdr:colOff>
          <xdr:row>5</xdr:row>
          <xdr:rowOff>95250</xdr:rowOff>
        </xdr:from>
        <xdr:to>
          <xdr:col>12</xdr:col>
          <xdr:colOff>904875</xdr:colOff>
          <xdr:row>12</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du Congel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190500</xdr:colOff>
      <xdr:row>24</xdr:row>
      <xdr:rowOff>66675</xdr:rowOff>
    </xdr:from>
    <xdr:to>
      <xdr:col>12</xdr:col>
      <xdr:colOff>542925</xdr:colOff>
      <xdr:row>45</xdr:row>
      <xdr:rowOff>142875</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1034413</xdr:colOff>
      <xdr:row>3</xdr:row>
      <xdr:rowOff>131556</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977388" cy="703056"/>
        </a:xfrm>
        <a:prstGeom prst="rect">
          <a:avLst/>
        </a:prstGeom>
      </xdr:spPr>
    </xdr:pic>
    <xdr:clientData/>
  </xdr:twoCellAnchor>
  <xdr:twoCellAnchor editAs="oneCell">
    <xdr:from>
      <xdr:col>0</xdr:col>
      <xdr:colOff>0</xdr:colOff>
      <xdr:row>47</xdr:row>
      <xdr:rowOff>0</xdr:rowOff>
    </xdr:from>
    <xdr:to>
      <xdr:col>1</xdr:col>
      <xdr:colOff>1034413</xdr:colOff>
      <xdr:row>50</xdr:row>
      <xdr:rowOff>131556</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601200"/>
          <a:ext cx="1977388" cy="703056"/>
        </a:xfrm>
        <a:prstGeom prst="rect">
          <a:avLst/>
        </a:prstGeom>
      </xdr:spPr>
    </xdr:pic>
    <xdr:clientData/>
  </xdr:twoCellAnchor>
  <xdr:twoCellAnchor editAs="oneCell">
    <xdr:from>
      <xdr:col>0</xdr:col>
      <xdr:colOff>0</xdr:colOff>
      <xdr:row>81</xdr:row>
      <xdr:rowOff>0</xdr:rowOff>
    </xdr:from>
    <xdr:to>
      <xdr:col>1</xdr:col>
      <xdr:colOff>915184</xdr:colOff>
      <xdr:row>84</xdr:row>
      <xdr:rowOff>217303</xdr:rowOff>
    </xdr:to>
    <xdr:pic>
      <xdr:nvPicPr>
        <xdr:cNvPr id="4" name="Image 3" descr="fregat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92675"/>
          <a:ext cx="1858159" cy="788803"/>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600-000005000000}"/>
            </a:ext>
          </a:extLst>
        </xdr:cNvPr>
        <xdr:cNvSpPr txBox="1">
          <a:spLocks/>
        </xdr:cNvSpPr>
      </xdr:nvSpPr>
      <xdr:spPr>
        <a:xfrm>
          <a:off x="1133475" y="29575125"/>
          <a:ext cx="1297940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marL="0" indent="0" algn="just">
            <a:buNone/>
          </a:pPr>
          <a:r>
            <a:rPr lang="fr-FR" sz="2000"/>
            <a:t>Les 9 capteurs de contrôle sont positionnés de telle sorte à représenter le volume utile à contrôler.</a:t>
          </a:r>
        </a:p>
        <a:p>
          <a:pPr marL="0" indent="0" algn="just">
            <a:buNone/>
          </a:pPr>
          <a:r>
            <a:rPr lang="fr-FR" sz="2000"/>
            <a:t>Les fichiers informatiques des données créés par les enregistreurs sous format .uhh ne sont pas modifiables.</a:t>
          </a: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948411</xdr:colOff>
      <xdr:row>126</xdr:row>
      <xdr:rowOff>419396</xdr:rowOff>
    </xdr:to>
    <xdr:pic>
      <xdr:nvPicPr>
        <xdr:cNvPr id="6" name="Image 5" descr="fregat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7957426"/>
          <a:ext cx="1858159" cy="789320"/>
        </a:xfrm>
        <a:prstGeom prst="rect">
          <a:avLst/>
        </a:prstGeom>
        <a:noFill/>
        <a:ln>
          <a:noFill/>
        </a:ln>
      </xdr:spPr>
    </xdr:pic>
    <xdr:clientData/>
  </xdr:twoCellAnchor>
  <xdr:twoCellAnchor editAs="oneCell">
    <xdr:from>
      <xdr:col>0</xdr:col>
      <xdr:colOff>0</xdr:colOff>
      <xdr:row>160</xdr:row>
      <xdr:rowOff>0</xdr:rowOff>
    </xdr:from>
    <xdr:to>
      <xdr:col>1</xdr:col>
      <xdr:colOff>915184</xdr:colOff>
      <xdr:row>162</xdr:row>
      <xdr:rowOff>408320</xdr:rowOff>
    </xdr:to>
    <xdr:pic>
      <xdr:nvPicPr>
        <xdr:cNvPr id="7" name="Image 6" descr="fregat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337750"/>
          <a:ext cx="1858159" cy="789320"/>
        </a:xfrm>
        <a:prstGeom prst="rect">
          <a:avLst/>
        </a:prstGeom>
        <a:noFill/>
        <a:ln>
          <a:noFill/>
        </a:ln>
      </xdr:spPr>
    </xdr:pic>
    <xdr:clientData/>
  </xdr:twoCellAnchor>
  <xdr:twoCellAnchor editAs="oneCell">
    <xdr:from>
      <xdr:col>0</xdr:col>
      <xdr:colOff>0</xdr:colOff>
      <xdr:row>192</xdr:row>
      <xdr:rowOff>0</xdr:rowOff>
    </xdr:from>
    <xdr:to>
      <xdr:col>1</xdr:col>
      <xdr:colOff>915184</xdr:colOff>
      <xdr:row>195</xdr:row>
      <xdr:rowOff>222769</xdr:rowOff>
    </xdr:to>
    <xdr:pic>
      <xdr:nvPicPr>
        <xdr:cNvPr id="8" name="Image 7" descr="fregat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700450"/>
          <a:ext cx="1858159" cy="794269"/>
        </a:xfrm>
        <a:prstGeom prst="rect">
          <a:avLst/>
        </a:prstGeom>
        <a:noFill/>
        <a:ln>
          <a:noFill/>
        </a:ln>
      </xdr:spPr>
    </xdr:pic>
    <xdr:clientData/>
  </xdr:twoCellAnchor>
  <xdr:twoCellAnchor editAs="oneCell">
    <xdr:from>
      <xdr:col>0</xdr:col>
      <xdr:colOff>0</xdr:colOff>
      <xdr:row>220</xdr:row>
      <xdr:rowOff>0</xdr:rowOff>
    </xdr:from>
    <xdr:to>
      <xdr:col>1</xdr:col>
      <xdr:colOff>915184</xdr:colOff>
      <xdr:row>224</xdr:row>
      <xdr:rowOff>37216</xdr:rowOff>
    </xdr:to>
    <xdr:pic>
      <xdr:nvPicPr>
        <xdr:cNvPr id="9" name="Image 8" descr="fregat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44075"/>
          <a:ext cx="1858159" cy="799216"/>
        </a:xfrm>
        <a:prstGeom prst="rect">
          <a:avLst/>
        </a:prstGeom>
        <a:noFill/>
        <a:ln>
          <a:noFill/>
        </a:ln>
      </xdr:spPr>
    </xdr:pic>
    <xdr:clientData/>
  </xdr:twoCellAnchor>
  <xdr:twoCellAnchor editAs="oneCell">
    <xdr:from>
      <xdr:col>0</xdr:col>
      <xdr:colOff>0</xdr:colOff>
      <xdr:row>251</xdr:row>
      <xdr:rowOff>160812</xdr:rowOff>
    </xdr:from>
    <xdr:to>
      <xdr:col>1</xdr:col>
      <xdr:colOff>915184</xdr:colOff>
      <xdr:row>254</xdr:row>
      <xdr:rowOff>111436</xdr:rowOff>
    </xdr:to>
    <xdr:pic>
      <xdr:nvPicPr>
        <xdr:cNvPr id="11" name="Image 10" descr="fregat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367587"/>
          <a:ext cx="1858159" cy="788824"/>
        </a:xfrm>
        <a:prstGeom prst="rect">
          <a:avLst/>
        </a:prstGeom>
        <a:noFill/>
        <a:ln>
          <a:noFill/>
        </a:ln>
      </xdr:spPr>
    </xdr:pic>
    <xdr:clientData/>
  </xdr:twoCellAnchor>
  <xdr:twoCellAnchor editAs="oneCell">
    <xdr:from>
      <xdr:col>0</xdr:col>
      <xdr:colOff>0</xdr:colOff>
      <xdr:row>291</xdr:row>
      <xdr:rowOff>0</xdr:rowOff>
    </xdr:from>
    <xdr:to>
      <xdr:col>1</xdr:col>
      <xdr:colOff>915184</xdr:colOff>
      <xdr:row>293</xdr:row>
      <xdr:rowOff>136177</xdr:rowOff>
    </xdr:to>
    <xdr:pic>
      <xdr:nvPicPr>
        <xdr:cNvPr id="12" name="Image 11" descr="fregat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093475"/>
          <a:ext cx="1858159" cy="783877"/>
        </a:xfrm>
        <a:prstGeom prst="rect">
          <a:avLst/>
        </a:prstGeom>
        <a:noFill/>
        <a:ln>
          <a:noFill/>
        </a:ln>
      </xdr:spPr>
    </xdr:pic>
    <xdr:clientData/>
  </xdr:twoCellAnchor>
  <xdr:twoCellAnchor>
    <xdr:from>
      <xdr:col>4</xdr:col>
      <xdr:colOff>462641</xdr:colOff>
      <xdr:row>164</xdr:row>
      <xdr:rowOff>54428</xdr:rowOff>
    </xdr:from>
    <xdr:to>
      <xdr:col>8</xdr:col>
      <xdr:colOff>435428</xdr:colOff>
      <xdr:row>186</xdr:row>
      <xdr:rowOff>163285</xdr:rowOff>
    </xdr:to>
    <xdr:grpSp>
      <xdr:nvGrpSpPr>
        <xdr:cNvPr id="45" name="Groupe 44">
          <a:extLst>
            <a:ext uri="{FF2B5EF4-FFF2-40B4-BE49-F238E27FC236}">
              <a16:creationId xmlns:a16="http://schemas.microsoft.com/office/drawing/2014/main" id="{00000000-0008-0000-0600-00002D000000}"/>
            </a:ext>
          </a:extLst>
        </xdr:cNvPr>
        <xdr:cNvGrpSpPr/>
      </xdr:nvGrpSpPr>
      <xdr:grpSpPr>
        <a:xfrm>
          <a:off x="7497534" y="36616821"/>
          <a:ext cx="6789965" cy="4299857"/>
          <a:chOff x="6545579" y="1943100"/>
          <a:chExt cx="6151245" cy="4078885"/>
        </a:xfrm>
      </xdr:grpSpPr>
      <xdr:grpSp>
        <xdr:nvGrpSpPr>
          <xdr:cNvPr id="46" name="Groupe 45">
            <a:extLst>
              <a:ext uri="{FF2B5EF4-FFF2-40B4-BE49-F238E27FC236}">
                <a16:creationId xmlns:a16="http://schemas.microsoft.com/office/drawing/2014/main" id="{00000000-0008-0000-0600-00002E000000}"/>
              </a:ext>
            </a:extLst>
          </xdr:cNvPr>
          <xdr:cNvGrpSpPr/>
        </xdr:nvGrpSpPr>
        <xdr:grpSpPr>
          <a:xfrm>
            <a:off x="6545579" y="1943100"/>
            <a:ext cx="6151245" cy="4078885"/>
            <a:chOff x="6497954" y="1828800"/>
            <a:chExt cx="6151245" cy="4078885"/>
          </a:xfrm>
        </xdr:grpSpPr>
        <xdr:grpSp>
          <xdr:nvGrpSpPr>
            <xdr:cNvPr id="53" name="Groupe 52">
              <a:extLst>
                <a:ext uri="{FF2B5EF4-FFF2-40B4-BE49-F238E27FC236}">
                  <a16:creationId xmlns:a16="http://schemas.microsoft.com/office/drawing/2014/main" id="{00000000-0008-0000-0600-000035000000}"/>
                </a:ext>
              </a:extLst>
            </xdr:cNvPr>
            <xdr:cNvGrpSpPr/>
          </xdr:nvGrpSpPr>
          <xdr:grpSpPr>
            <a:xfrm>
              <a:off x="6497954" y="1828800"/>
              <a:ext cx="6151245" cy="4078885"/>
              <a:chOff x="6097904" y="1828800"/>
              <a:chExt cx="6151245" cy="4078885"/>
            </a:xfrm>
          </xdr:grpSpPr>
          <xdr:grpSp>
            <xdr:nvGrpSpPr>
              <xdr:cNvPr id="57" name="Groupe 56">
                <a:extLst>
                  <a:ext uri="{FF2B5EF4-FFF2-40B4-BE49-F238E27FC236}">
                    <a16:creationId xmlns:a16="http://schemas.microsoft.com/office/drawing/2014/main" id="{00000000-0008-0000-0600-000039000000}"/>
                  </a:ext>
                </a:extLst>
              </xdr:cNvPr>
              <xdr:cNvGrpSpPr/>
            </xdr:nvGrpSpPr>
            <xdr:grpSpPr>
              <a:xfrm>
                <a:off x="6097904" y="2282190"/>
                <a:ext cx="6151245" cy="3625495"/>
                <a:chOff x="6097904" y="2282190"/>
                <a:chExt cx="6151245" cy="3625495"/>
              </a:xfrm>
            </xdr:grpSpPr>
            <xdr:pic>
              <xdr:nvPicPr>
                <xdr:cNvPr id="74" name="Image 73">
                  <a:extLst>
                    <a:ext uri="{FF2B5EF4-FFF2-40B4-BE49-F238E27FC236}">
                      <a16:creationId xmlns:a16="http://schemas.microsoft.com/office/drawing/2014/main" id="{00000000-0008-0000-0600-00004A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Layer>
                      </a14:imgProps>
                    </a:ext>
                    <a:ext uri="{28A0092B-C50C-407E-A947-70E740481C1C}">
                      <a14:useLocalDpi xmlns:a14="http://schemas.microsoft.com/office/drawing/2010/main" val="0"/>
                    </a:ext>
                  </a:extLst>
                </a:blip>
                <a:stretch>
                  <a:fillRect/>
                </a:stretch>
              </xdr:blipFill>
              <xdr:spPr>
                <a:xfrm>
                  <a:off x="6097904" y="2282190"/>
                  <a:ext cx="6151245" cy="3625495"/>
                </a:xfrm>
                <a:prstGeom prst="rect">
                  <a:avLst/>
                </a:prstGeom>
              </xdr:spPr>
            </xdr:pic>
            <xdr:sp macro="" textlink="$C$23">
              <xdr:nvSpPr>
                <xdr:cNvPr id="75" name="Ellipse 74">
                  <a:extLst>
                    <a:ext uri="{FF2B5EF4-FFF2-40B4-BE49-F238E27FC236}">
                      <a16:creationId xmlns:a16="http://schemas.microsoft.com/office/drawing/2014/main" id="{00000000-0008-0000-0600-00004B000000}"/>
                    </a:ext>
                  </a:extLst>
                </xdr:cNvPr>
                <xdr:cNvSpPr/>
              </xdr:nvSpPr>
              <xdr:spPr>
                <a:xfrm>
                  <a:off x="6896099" y="2857500"/>
                  <a:ext cx="266701" cy="23812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FC041A08-89F6-45AB-A613-77FFFEF848FE}" type="TxLink">
                    <a:rPr lang="en-US" sz="1100" b="0" i="0" u="none" strike="noStrike">
                      <a:solidFill>
                        <a:srgbClr val="000000"/>
                      </a:solidFill>
                      <a:latin typeface="Calibri"/>
                      <a:cs typeface="Calibri"/>
                    </a:rPr>
                    <a:pPr algn="ctr"/>
                    <a:t> </a:t>
                  </a:fld>
                  <a:endParaRPr lang="fr-FR" sz="1100"/>
                </a:p>
              </xdr:txBody>
            </xdr:sp>
            <xdr:sp macro="" textlink="$B$23">
              <xdr:nvSpPr>
                <xdr:cNvPr id="76" name="Ellipse 75">
                  <a:extLst>
                    <a:ext uri="{FF2B5EF4-FFF2-40B4-BE49-F238E27FC236}">
                      <a16:creationId xmlns:a16="http://schemas.microsoft.com/office/drawing/2014/main" id="{00000000-0008-0000-0600-00004C000000}"/>
                    </a:ext>
                  </a:extLst>
                </xdr:cNvPr>
                <xdr:cNvSpPr/>
              </xdr:nvSpPr>
              <xdr:spPr>
                <a:xfrm>
                  <a:off x="6892291" y="2607944"/>
                  <a:ext cx="280034" cy="249556"/>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971D79C-0B4D-4E22-855C-22F7EF25EC30}" type="TxLink">
                    <a:rPr lang="en-US" sz="1100" b="0" i="0" u="none" strike="noStrike">
                      <a:solidFill>
                        <a:srgbClr val="000000"/>
                      </a:solidFill>
                      <a:latin typeface="Calibri"/>
                      <a:cs typeface="Calibri"/>
                    </a:rPr>
                    <a:pPr algn="ctr"/>
                    <a:t> </a:t>
                  </a:fld>
                  <a:endParaRPr lang="fr-FR" sz="1100"/>
                </a:p>
              </xdr:txBody>
            </xdr:sp>
          </xdr:grpSp>
          <xdr:sp macro="" textlink="$B$28">
            <xdr:nvSpPr>
              <xdr:cNvPr id="58" name="Ellipse 57">
                <a:extLst>
                  <a:ext uri="{FF2B5EF4-FFF2-40B4-BE49-F238E27FC236}">
                    <a16:creationId xmlns:a16="http://schemas.microsoft.com/office/drawing/2014/main" id="{00000000-0008-0000-0600-00003A000000}"/>
                  </a:ext>
                </a:extLst>
              </xdr:cNvPr>
              <xdr:cNvSpPr/>
            </xdr:nvSpPr>
            <xdr:spPr>
              <a:xfrm>
                <a:off x="9597391" y="1828800"/>
                <a:ext cx="251460" cy="23812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E3AE9A54-B186-4FA5-AC04-7683612238E7}"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9">
            <xdr:nvSpPr>
              <xdr:cNvPr id="59" name="Ellipse 58">
                <a:extLst>
                  <a:ext uri="{FF2B5EF4-FFF2-40B4-BE49-F238E27FC236}">
                    <a16:creationId xmlns:a16="http://schemas.microsoft.com/office/drawing/2014/main" id="{00000000-0008-0000-0600-00003B000000}"/>
                  </a:ext>
                </a:extLst>
              </xdr:cNvPr>
              <xdr:cNvSpPr/>
            </xdr:nvSpPr>
            <xdr:spPr>
              <a:xfrm>
                <a:off x="11132819" y="2320290"/>
                <a:ext cx="278131" cy="24193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562F2C-AEF7-417C-A2D8-D7FF11796C0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0">
            <xdr:nvSpPr>
              <xdr:cNvPr id="60" name="Ellipse 59">
                <a:extLst>
                  <a:ext uri="{FF2B5EF4-FFF2-40B4-BE49-F238E27FC236}">
                    <a16:creationId xmlns:a16="http://schemas.microsoft.com/office/drawing/2014/main" id="{00000000-0008-0000-0600-00003C000000}"/>
                  </a:ext>
                </a:extLst>
              </xdr:cNvPr>
              <xdr:cNvSpPr/>
            </xdr:nvSpPr>
            <xdr:spPr>
              <a:xfrm>
                <a:off x="11174729" y="4210050"/>
                <a:ext cx="255271"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1BCF691-2FDC-42C8-B4F8-97947DD937C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4">
            <xdr:nvSpPr>
              <xdr:cNvPr id="61" name="Ellipse 60">
                <a:extLst>
                  <a:ext uri="{FF2B5EF4-FFF2-40B4-BE49-F238E27FC236}">
                    <a16:creationId xmlns:a16="http://schemas.microsoft.com/office/drawing/2014/main" id="{00000000-0008-0000-0600-00003D000000}"/>
                  </a:ext>
                </a:extLst>
              </xdr:cNvPr>
              <xdr:cNvSpPr/>
            </xdr:nvSpPr>
            <xdr:spPr>
              <a:xfrm>
                <a:off x="8258176" y="30384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5929FA9-3939-4804-8B10-8678EFE7ABD4}"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1">
            <xdr:nvSpPr>
              <xdr:cNvPr id="62" name="Ellipse 61">
                <a:extLst>
                  <a:ext uri="{FF2B5EF4-FFF2-40B4-BE49-F238E27FC236}">
                    <a16:creationId xmlns:a16="http://schemas.microsoft.com/office/drawing/2014/main" id="{00000000-0008-0000-0600-00003E000000}"/>
                  </a:ext>
                </a:extLst>
              </xdr:cNvPr>
              <xdr:cNvSpPr/>
            </xdr:nvSpPr>
            <xdr:spPr>
              <a:xfrm>
                <a:off x="9806940" y="4011931"/>
                <a:ext cx="270510" cy="23622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877215-4F11-4B64-BC91-82632AE8561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7">
            <xdr:nvSpPr>
              <xdr:cNvPr id="63" name="Ellipse 62">
                <a:extLst>
                  <a:ext uri="{FF2B5EF4-FFF2-40B4-BE49-F238E27FC236}">
                    <a16:creationId xmlns:a16="http://schemas.microsoft.com/office/drawing/2014/main" id="{00000000-0008-0000-0600-00003F000000}"/>
                  </a:ext>
                </a:extLst>
              </xdr:cNvPr>
              <xdr:cNvSpPr/>
            </xdr:nvSpPr>
            <xdr:spPr>
              <a:xfrm>
                <a:off x="8877300" y="4322445"/>
                <a:ext cx="257175"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AAE6F237-3ACF-4FF2-B0AF-5814ADF4983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5">
            <xdr:nvSpPr>
              <xdr:cNvPr id="64" name="Ellipse 63">
                <a:extLst>
                  <a:ext uri="{FF2B5EF4-FFF2-40B4-BE49-F238E27FC236}">
                    <a16:creationId xmlns:a16="http://schemas.microsoft.com/office/drawing/2014/main" id="{00000000-0008-0000-0600-000040000000}"/>
                  </a:ext>
                </a:extLst>
              </xdr:cNvPr>
              <xdr:cNvSpPr/>
            </xdr:nvSpPr>
            <xdr:spPr>
              <a:xfrm>
                <a:off x="8372473" y="4958715"/>
                <a:ext cx="257177" cy="25146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2CD916B-8CF0-418B-9ECD-DD4F1ECF021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6">
            <xdr:nvSpPr>
              <xdr:cNvPr id="65" name="Ellipse 64">
                <a:extLst>
                  <a:ext uri="{FF2B5EF4-FFF2-40B4-BE49-F238E27FC236}">
                    <a16:creationId xmlns:a16="http://schemas.microsoft.com/office/drawing/2014/main" id="{00000000-0008-0000-0600-000041000000}"/>
                  </a:ext>
                </a:extLst>
              </xdr:cNvPr>
              <xdr:cNvSpPr/>
            </xdr:nvSpPr>
            <xdr:spPr>
              <a:xfrm>
                <a:off x="6991351" y="4789170"/>
                <a:ext cx="266700" cy="25908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0F95C3-96D1-42A3-948E-F9C2697CA5E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28">
            <xdr:nvSpPr>
              <xdr:cNvPr id="66" name="Ellipse 65">
                <a:extLst>
                  <a:ext uri="{FF2B5EF4-FFF2-40B4-BE49-F238E27FC236}">
                    <a16:creationId xmlns:a16="http://schemas.microsoft.com/office/drawing/2014/main" id="{00000000-0008-0000-0600-000042000000}"/>
                  </a:ext>
                </a:extLst>
              </xdr:cNvPr>
              <xdr:cNvSpPr/>
            </xdr:nvSpPr>
            <xdr:spPr>
              <a:xfrm>
                <a:off x="9601200" y="2068830"/>
                <a:ext cx="257175" cy="245745"/>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C746D793-3237-4E72-9388-D55989ADB6B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9">
            <xdr:nvSpPr>
              <xdr:cNvPr id="67" name="Ellipse 66">
                <a:extLst>
                  <a:ext uri="{FF2B5EF4-FFF2-40B4-BE49-F238E27FC236}">
                    <a16:creationId xmlns:a16="http://schemas.microsoft.com/office/drawing/2014/main" id="{00000000-0008-0000-0600-000043000000}"/>
                  </a:ext>
                </a:extLst>
              </xdr:cNvPr>
              <xdr:cNvSpPr/>
            </xdr:nvSpPr>
            <xdr:spPr>
              <a:xfrm>
                <a:off x="11155680" y="2074545"/>
                <a:ext cx="25527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80FB510-4F48-449C-93F0-6BB29BAFEDDA}"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0">
            <xdr:nvSpPr>
              <xdr:cNvPr id="68" name="Ellipse 67">
                <a:extLst>
                  <a:ext uri="{FF2B5EF4-FFF2-40B4-BE49-F238E27FC236}">
                    <a16:creationId xmlns:a16="http://schemas.microsoft.com/office/drawing/2014/main" id="{00000000-0008-0000-0600-000044000000}"/>
                  </a:ext>
                </a:extLst>
              </xdr:cNvPr>
              <xdr:cNvSpPr/>
            </xdr:nvSpPr>
            <xdr:spPr>
              <a:xfrm>
                <a:off x="11174731" y="3983356"/>
                <a:ext cx="283844" cy="226694"/>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9779E08B-6E72-4FD6-9E73-6664BD577ED1}"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1">
            <xdr:nvSpPr>
              <xdr:cNvPr id="69" name="Ellipse 68">
                <a:extLst>
                  <a:ext uri="{FF2B5EF4-FFF2-40B4-BE49-F238E27FC236}">
                    <a16:creationId xmlns:a16="http://schemas.microsoft.com/office/drawing/2014/main" id="{00000000-0008-0000-0600-000045000000}"/>
                  </a:ext>
                </a:extLst>
              </xdr:cNvPr>
              <xdr:cNvSpPr/>
            </xdr:nvSpPr>
            <xdr:spPr>
              <a:xfrm>
                <a:off x="9810750" y="3777616"/>
                <a:ext cx="257175" cy="232409"/>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050F214-1CE8-4634-B755-DF5CBC25DAF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7">
            <xdr:nvSpPr>
              <xdr:cNvPr id="70" name="Ellipse 69">
                <a:extLst>
                  <a:ext uri="{FF2B5EF4-FFF2-40B4-BE49-F238E27FC236}">
                    <a16:creationId xmlns:a16="http://schemas.microsoft.com/office/drawing/2014/main" id="{00000000-0008-0000-0600-000046000000}"/>
                  </a:ext>
                </a:extLst>
              </xdr:cNvPr>
              <xdr:cNvSpPr/>
            </xdr:nvSpPr>
            <xdr:spPr>
              <a:xfrm>
                <a:off x="8894445" y="4074795"/>
                <a:ext cx="259080" cy="24955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2A4611A8-B673-472B-B7DE-2441A5C59733}"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5">
            <xdr:nvSpPr>
              <xdr:cNvPr id="71" name="Ellipse 70">
                <a:extLst>
                  <a:ext uri="{FF2B5EF4-FFF2-40B4-BE49-F238E27FC236}">
                    <a16:creationId xmlns:a16="http://schemas.microsoft.com/office/drawing/2014/main" id="{00000000-0008-0000-0600-000047000000}"/>
                  </a:ext>
                </a:extLst>
              </xdr:cNvPr>
              <xdr:cNvSpPr/>
            </xdr:nvSpPr>
            <xdr:spPr>
              <a:xfrm>
                <a:off x="8378191" y="4739640"/>
                <a:ext cx="232410" cy="213360"/>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7422452-B473-4942-B7DD-3D2763C6320C}"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6">
            <xdr:nvSpPr>
              <xdr:cNvPr id="72" name="Ellipse 71">
                <a:extLst>
                  <a:ext uri="{FF2B5EF4-FFF2-40B4-BE49-F238E27FC236}">
                    <a16:creationId xmlns:a16="http://schemas.microsoft.com/office/drawing/2014/main" id="{00000000-0008-0000-0600-000048000000}"/>
                  </a:ext>
                </a:extLst>
              </xdr:cNvPr>
              <xdr:cNvSpPr/>
            </xdr:nvSpPr>
            <xdr:spPr>
              <a:xfrm>
                <a:off x="7010401" y="4572000"/>
                <a:ext cx="247649" cy="219075"/>
              </a:xfrm>
              <a:prstGeom prst="ellipse">
                <a:avLst/>
              </a:prstGeom>
              <a:solidFill>
                <a:schemeClr val="accent6">
                  <a:lumMod val="75000"/>
                </a:schemeClr>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29468F3-E3BB-43C9-9FB2-317E1CE1FAD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24">
            <xdr:nvSpPr>
              <xdr:cNvPr id="73" name="Ellipse 72">
                <a:extLst>
                  <a:ext uri="{FF2B5EF4-FFF2-40B4-BE49-F238E27FC236}">
                    <a16:creationId xmlns:a16="http://schemas.microsoft.com/office/drawing/2014/main" id="{00000000-0008-0000-0600-000049000000}"/>
                  </a:ext>
                </a:extLst>
              </xdr:cNvPr>
              <xdr:cNvSpPr/>
            </xdr:nvSpPr>
            <xdr:spPr>
              <a:xfrm>
                <a:off x="8244840" y="27908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BF8D7AB2-8A0E-41BD-8882-44EEB9B2D415}" type="TxLink">
                  <a:rPr lang="en-US" sz="1100" b="0" i="0" u="none" strike="noStrike">
                    <a:solidFill>
                      <a:srgbClr val="000000"/>
                    </a:solidFill>
                    <a:latin typeface="Calibri"/>
                    <a:cs typeface="Calibri"/>
                  </a:rPr>
                  <a:pPr algn="ctr"/>
                  <a:t> </a:t>
                </a:fld>
                <a:endParaRPr lang="fr-FR" sz="1100"/>
              </a:p>
            </xdr:txBody>
          </xdr:sp>
        </xdr:grpSp>
        <xdr:sp macro="" textlink="">
          <xdr:nvSpPr>
            <xdr:cNvPr id="54" name="ZoneTexte 53">
              <a:extLst>
                <a:ext uri="{FF2B5EF4-FFF2-40B4-BE49-F238E27FC236}">
                  <a16:creationId xmlns:a16="http://schemas.microsoft.com/office/drawing/2014/main" id="{00000000-0008-0000-0600-000036000000}"/>
                </a:ext>
              </a:extLst>
            </xdr:cNvPr>
            <xdr:cNvSpPr txBox="1"/>
          </xdr:nvSpPr>
          <xdr:spPr>
            <a:xfrm>
              <a:off x="9163050" y="3448050"/>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12</a:t>
              </a:r>
            </a:p>
          </xdr:txBody>
        </xdr:sp>
        <xdr:sp macro="" textlink="">
          <xdr:nvSpPr>
            <xdr:cNvPr id="55" name="ZoneTexte 54">
              <a:extLst>
                <a:ext uri="{FF2B5EF4-FFF2-40B4-BE49-F238E27FC236}">
                  <a16:creationId xmlns:a16="http://schemas.microsoft.com/office/drawing/2014/main" id="{00000000-0008-0000-0600-000037000000}"/>
                </a:ext>
              </a:extLst>
            </xdr:cNvPr>
            <xdr:cNvSpPr txBox="1"/>
          </xdr:nvSpPr>
          <xdr:spPr>
            <a:xfrm>
              <a:off x="9965054" y="320992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11</a:t>
              </a:r>
            </a:p>
          </xdr:txBody>
        </xdr:sp>
        <xdr:sp macro="" textlink="">
          <xdr:nvSpPr>
            <xdr:cNvPr id="56" name="ZoneTexte 55">
              <a:extLst>
                <a:ext uri="{FF2B5EF4-FFF2-40B4-BE49-F238E27FC236}">
                  <a16:creationId xmlns:a16="http://schemas.microsoft.com/office/drawing/2014/main" id="{00000000-0008-0000-0600-000038000000}"/>
                </a:ext>
              </a:extLst>
            </xdr:cNvPr>
            <xdr:cNvSpPr txBox="1"/>
          </xdr:nvSpPr>
          <xdr:spPr>
            <a:xfrm>
              <a:off x="11174729" y="2809875"/>
              <a:ext cx="3714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10</a:t>
              </a:r>
            </a:p>
            <a:p>
              <a:endParaRPr lang="fr-FR" sz="1100"/>
            </a:p>
          </xdr:txBody>
        </xdr:sp>
      </xdr:grpSp>
      <xdr:sp macro="" textlink="$C$34">
        <xdr:nvSpPr>
          <xdr:cNvPr id="47" name="Ellipse 46">
            <a:extLst>
              <a:ext uri="{FF2B5EF4-FFF2-40B4-BE49-F238E27FC236}">
                <a16:creationId xmlns:a16="http://schemas.microsoft.com/office/drawing/2014/main" id="{00000000-0008-0000-0600-00002F000000}"/>
              </a:ext>
            </a:extLst>
          </xdr:cNvPr>
          <xdr:cNvSpPr/>
        </xdr:nvSpPr>
        <xdr:spPr>
          <a:xfrm>
            <a:off x="9241154" y="310515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24314BB-D2E4-43D3-A163-3270DD5B93E8}"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3">
        <xdr:nvSpPr>
          <xdr:cNvPr id="48" name="Ellipse 47">
            <a:extLst>
              <a:ext uri="{FF2B5EF4-FFF2-40B4-BE49-F238E27FC236}">
                <a16:creationId xmlns:a16="http://schemas.microsoft.com/office/drawing/2014/main" id="{00000000-0008-0000-0600-000030000000}"/>
              </a:ext>
            </a:extLst>
          </xdr:cNvPr>
          <xdr:cNvSpPr/>
        </xdr:nvSpPr>
        <xdr:spPr>
          <a:xfrm>
            <a:off x="9907904" y="2933700"/>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77D2DED4-EB8A-4105-80F1-A1EF6376D54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C$32">
        <xdr:nvSpPr>
          <xdr:cNvPr id="49" name="Ellipse 48">
            <a:extLst>
              <a:ext uri="{FF2B5EF4-FFF2-40B4-BE49-F238E27FC236}">
                <a16:creationId xmlns:a16="http://schemas.microsoft.com/office/drawing/2014/main" id="{00000000-0008-0000-0600-000031000000}"/>
              </a:ext>
            </a:extLst>
          </xdr:cNvPr>
          <xdr:cNvSpPr/>
        </xdr:nvSpPr>
        <xdr:spPr>
          <a:xfrm>
            <a:off x="11155679" y="2466975"/>
            <a:ext cx="247650" cy="228600"/>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31A18880-FCC4-41A3-9A40-82BE91A4F3CE}"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4">
        <xdr:nvSpPr>
          <xdr:cNvPr id="50" name="Ellipse 49">
            <a:extLst>
              <a:ext uri="{FF2B5EF4-FFF2-40B4-BE49-F238E27FC236}">
                <a16:creationId xmlns:a16="http://schemas.microsoft.com/office/drawing/2014/main" id="{00000000-0008-0000-0600-000032000000}"/>
              </a:ext>
            </a:extLst>
          </xdr:cNvPr>
          <xdr:cNvSpPr/>
        </xdr:nvSpPr>
        <xdr:spPr>
          <a:xfrm>
            <a:off x="9222104" y="285750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137171D7-83A0-48A3-8554-FD473C96B975}"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3">
        <xdr:nvSpPr>
          <xdr:cNvPr id="51" name="Ellipse 50">
            <a:extLst>
              <a:ext uri="{FF2B5EF4-FFF2-40B4-BE49-F238E27FC236}">
                <a16:creationId xmlns:a16="http://schemas.microsoft.com/office/drawing/2014/main" id="{00000000-0008-0000-0600-000033000000}"/>
              </a:ext>
            </a:extLst>
          </xdr:cNvPr>
          <xdr:cNvSpPr/>
        </xdr:nvSpPr>
        <xdr:spPr>
          <a:xfrm>
            <a:off x="9898379" y="2686050"/>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8C927A9F-CF5C-4FC1-9DED-CD75475986BB}"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sp macro="" textlink="$B$32">
        <xdr:nvSpPr>
          <xdr:cNvPr id="52" name="Ellipse 51">
            <a:extLst>
              <a:ext uri="{FF2B5EF4-FFF2-40B4-BE49-F238E27FC236}">
                <a16:creationId xmlns:a16="http://schemas.microsoft.com/office/drawing/2014/main" id="{00000000-0008-0000-0600-000034000000}"/>
              </a:ext>
            </a:extLst>
          </xdr:cNvPr>
          <xdr:cNvSpPr/>
        </xdr:nvSpPr>
        <xdr:spPr>
          <a:xfrm>
            <a:off x="11155679" y="2219325"/>
            <a:ext cx="260985" cy="238125"/>
          </a:xfrm>
          <a:prstGeom prst="ellipse">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08D80711-3966-4AA2-86E2-7A648F2B5B39}" type="TxLink">
              <a:rPr lang="en-US" sz="1100" b="0" i="0" u="none" strike="noStrike">
                <a:solidFill>
                  <a:srgbClr val="000000"/>
                </a:solidFill>
                <a:latin typeface="Calibri"/>
                <a:ea typeface="+mn-ea"/>
                <a:cs typeface="Calibri"/>
              </a:rPr>
              <a:pPr marL="0" indent="0" algn="ctr"/>
              <a:t> </a:t>
            </a:fld>
            <a:endParaRPr lang="fr-FR" sz="1100" b="0" i="0" u="none" strike="noStrike">
              <a:solidFill>
                <a:srgbClr val="000000"/>
              </a:solidFill>
              <a:latin typeface="Calibri"/>
              <a:ea typeface="+mn-ea"/>
              <a:cs typeface="Calibri"/>
            </a:endParaRPr>
          </a:p>
        </xdr:txBody>
      </xdr:sp>
    </xdr:grpSp>
    <xdr:clientData/>
  </xdr:twoCellAnchor>
  <xdr:twoCellAnchor>
    <xdr:from>
      <xdr:col>1</xdr:col>
      <xdr:colOff>0</xdr:colOff>
      <xdr:row>259</xdr:row>
      <xdr:rowOff>0</xdr:rowOff>
    </xdr:from>
    <xdr:to>
      <xdr:col>8</xdr:col>
      <xdr:colOff>666750</xdr:colOff>
      <xdr:row>289</xdr:row>
      <xdr:rowOff>54429</xdr:rowOff>
    </xdr:to>
    <xdr:graphicFrame macro="">
      <xdr:nvGraphicFramePr>
        <xdr:cNvPr id="10" name="Graphique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1968500</xdr:colOff>
      <xdr:row>2</xdr:row>
      <xdr:rowOff>9500</xdr:rowOff>
    </xdr:to>
    <xdr:pic>
      <xdr:nvPicPr>
        <xdr:cNvPr id="2" name="Image 2">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949450" cy="5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9</xdr:col>
      <xdr:colOff>695325</xdr:colOff>
      <xdr:row>8</xdr:row>
      <xdr:rowOff>95250</xdr:rowOff>
    </xdr:from>
    <xdr:to>
      <xdr:col>17</xdr:col>
      <xdr:colOff>438125</xdr:colOff>
      <xdr:row>35</xdr:row>
      <xdr:rowOff>44687</xdr:rowOff>
    </xdr:to>
    <xdr:grpSp>
      <xdr:nvGrpSpPr>
        <xdr:cNvPr id="2" name="Groupe 1">
          <a:extLst>
            <a:ext uri="{FF2B5EF4-FFF2-40B4-BE49-F238E27FC236}">
              <a16:creationId xmlns:a16="http://schemas.microsoft.com/office/drawing/2014/main" id="{00000000-0008-0000-0800-000002000000}"/>
            </a:ext>
          </a:extLst>
        </xdr:cNvPr>
        <xdr:cNvGrpSpPr/>
      </xdr:nvGrpSpPr>
      <xdr:grpSpPr>
        <a:xfrm>
          <a:off x="10182225" y="2152650"/>
          <a:ext cx="8562950" cy="5492987"/>
          <a:chOff x="11934267" y="3104028"/>
          <a:chExt cx="8562950" cy="5492987"/>
        </a:xfrm>
      </xdr:grpSpPr>
      <xdr:grpSp>
        <xdr:nvGrpSpPr>
          <xdr:cNvPr id="3" name="Groupe 2">
            <a:extLst>
              <a:ext uri="{FF2B5EF4-FFF2-40B4-BE49-F238E27FC236}">
                <a16:creationId xmlns:a16="http://schemas.microsoft.com/office/drawing/2014/main" id="{00000000-0008-0000-0800-000003000000}"/>
              </a:ext>
            </a:extLst>
          </xdr:cNvPr>
          <xdr:cNvGrpSpPr/>
        </xdr:nvGrpSpPr>
        <xdr:grpSpPr>
          <a:xfrm>
            <a:off x="11934267" y="3104028"/>
            <a:ext cx="8562950" cy="5492987"/>
            <a:chOff x="11889443" y="3126440"/>
            <a:chExt cx="8562950" cy="5492987"/>
          </a:xfrm>
        </xdr:grpSpPr>
        <xdr:grpSp>
          <xdr:nvGrpSpPr>
            <xdr:cNvPr id="17" name="Groupe 16">
              <a:extLst>
                <a:ext uri="{FF2B5EF4-FFF2-40B4-BE49-F238E27FC236}">
                  <a16:creationId xmlns:a16="http://schemas.microsoft.com/office/drawing/2014/main" id="{00000000-0008-0000-0800-000011000000}"/>
                </a:ext>
              </a:extLst>
            </xdr:cNvPr>
            <xdr:cNvGrpSpPr/>
          </xdr:nvGrpSpPr>
          <xdr:grpSpPr>
            <a:xfrm>
              <a:off x="11889443" y="3126440"/>
              <a:ext cx="8562950" cy="5492987"/>
              <a:chOff x="11889443" y="3126440"/>
              <a:chExt cx="8562950" cy="5492987"/>
            </a:xfrm>
          </xdr:grpSpPr>
          <xdr:grpSp>
            <xdr:nvGrpSpPr>
              <xdr:cNvPr id="31" name="Groupe 30">
                <a:extLst>
                  <a:ext uri="{FF2B5EF4-FFF2-40B4-BE49-F238E27FC236}">
                    <a16:creationId xmlns:a16="http://schemas.microsoft.com/office/drawing/2014/main" id="{00000000-0008-0000-0800-00001F000000}"/>
                  </a:ext>
                </a:extLst>
              </xdr:cNvPr>
              <xdr:cNvGrpSpPr/>
            </xdr:nvGrpSpPr>
            <xdr:grpSpPr>
              <a:xfrm>
                <a:off x="11889443" y="3126440"/>
                <a:ext cx="8562950" cy="5492987"/>
                <a:chOff x="11889443" y="3126440"/>
                <a:chExt cx="8562950" cy="5492987"/>
              </a:xfrm>
            </xdr:grpSpPr>
            <xdr:sp macro="" textlink="$A$23">
              <xdr:nvSpPr>
                <xdr:cNvPr id="34" name="Organigramme : Connecteur 33">
                  <a:extLst>
                    <a:ext uri="{FF2B5EF4-FFF2-40B4-BE49-F238E27FC236}">
                      <a16:creationId xmlns:a16="http://schemas.microsoft.com/office/drawing/2014/main" id="{00000000-0008-0000-0800-000022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1</a:t>
                  </a:fld>
                  <a:endParaRPr lang="fr-FR" sz="1100"/>
                </a:p>
              </xdr:txBody>
            </xdr:sp>
            <xdr:grpSp>
              <xdr:nvGrpSpPr>
                <xdr:cNvPr id="35" name="Groupe 34">
                  <a:extLst>
                    <a:ext uri="{FF2B5EF4-FFF2-40B4-BE49-F238E27FC236}">
                      <a16:creationId xmlns:a16="http://schemas.microsoft.com/office/drawing/2014/main" id="{00000000-0008-0000-0800-000023000000}"/>
                    </a:ext>
                  </a:extLst>
                </xdr:cNvPr>
                <xdr:cNvGrpSpPr/>
              </xdr:nvGrpSpPr>
              <xdr:grpSpPr>
                <a:xfrm>
                  <a:off x="11889443" y="3126440"/>
                  <a:ext cx="8562950" cy="5492987"/>
                  <a:chOff x="11889443" y="3126440"/>
                  <a:chExt cx="8562950" cy="5492987"/>
                </a:xfrm>
              </xdr:grpSpPr>
              <xdr:grpSp>
                <xdr:nvGrpSpPr>
                  <xdr:cNvPr id="36" name="Groupe 35">
                    <a:extLst>
                      <a:ext uri="{FF2B5EF4-FFF2-40B4-BE49-F238E27FC236}">
                        <a16:creationId xmlns:a16="http://schemas.microsoft.com/office/drawing/2014/main" id="{00000000-0008-0000-0800-000024000000}"/>
                      </a:ext>
                    </a:extLst>
                  </xdr:cNvPr>
                  <xdr:cNvGrpSpPr/>
                </xdr:nvGrpSpPr>
                <xdr:grpSpPr>
                  <a:xfrm>
                    <a:off x="11889443" y="3126440"/>
                    <a:ext cx="8562950" cy="5492987"/>
                    <a:chOff x="3803125" y="991161"/>
                    <a:chExt cx="8562950" cy="5492987"/>
                  </a:xfrm>
                </xdr:grpSpPr>
                <xdr:grpSp>
                  <xdr:nvGrpSpPr>
                    <xdr:cNvPr id="48" name="Groupe 47">
                      <a:extLst>
                        <a:ext uri="{FF2B5EF4-FFF2-40B4-BE49-F238E27FC236}">
                          <a16:creationId xmlns:a16="http://schemas.microsoft.com/office/drawing/2014/main" id="{00000000-0008-0000-0800-000030000000}"/>
                        </a:ext>
                      </a:extLst>
                    </xdr:cNvPr>
                    <xdr:cNvGrpSpPr/>
                  </xdr:nvGrpSpPr>
                  <xdr:grpSpPr>
                    <a:xfrm>
                      <a:off x="3803125" y="991161"/>
                      <a:ext cx="8562950" cy="5492987"/>
                      <a:chOff x="3803125" y="991161"/>
                      <a:chExt cx="8562950" cy="5492987"/>
                    </a:xfrm>
                  </xdr:grpSpPr>
                  <xdr:grpSp>
                    <xdr:nvGrpSpPr>
                      <xdr:cNvPr id="50" name="Groupe 49">
                        <a:extLst>
                          <a:ext uri="{FF2B5EF4-FFF2-40B4-BE49-F238E27FC236}">
                            <a16:creationId xmlns:a16="http://schemas.microsoft.com/office/drawing/2014/main" id="{00000000-0008-0000-0800-000032000000}"/>
                          </a:ext>
                        </a:extLst>
                      </xdr:cNvPr>
                      <xdr:cNvGrpSpPr/>
                    </xdr:nvGrpSpPr>
                    <xdr:grpSpPr>
                      <a:xfrm>
                        <a:off x="3803125" y="991161"/>
                        <a:ext cx="8562950" cy="5492987"/>
                        <a:chOff x="3803125" y="991161"/>
                        <a:chExt cx="8562950" cy="5492987"/>
                      </a:xfrm>
                    </xdr:grpSpPr>
                    <xdr:grpSp>
                      <xdr:nvGrpSpPr>
                        <xdr:cNvPr id="52" name="Groupe 51">
                          <a:extLst>
                            <a:ext uri="{FF2B5EF4-FFF2-40B4-BE49-F238E27FC236}">
                              <a16:creationId xmlns:a16="http://schemas.microsoft.com/office/drawing/2014/main" id="{00000000-0008-0000-0800-000034000000}"/>
                            </a:ext>
                          </a:extLst>
                        </xdr:cNvPr>
                        <xdr:cNvGrpSpPr/>
                      </xdr:nvGrpSpPr>
                      <xdr:grpSpPr>
                        <a:xfrm>
                          <a:off x="3803125" y="991161"/>
                          <a:ext cx="8562950" cy="5427822"/>
                          <a:chOff x="3808707" y="1009604"/>
                          <a:chExt cx="8515205" cy="5409743"/>
                        </a:xfrm>
                      </xdr:grpSpPr>
                      <xdr:sp macro="" textlink="">
                        <xdr:nvSpPr>
                          <xdr:cNvPr id="56" name="ZoneTexte 100">
                            <a:extLst>
                              <a:ext uri="{FF2B5EF4-FFF2-40B4-BE49-F238E27FC236}">
                                <a16:creationId xmlns:a16="http://schemas.microsoft.com/office/drawing/2014/main" id="{00000000-0008-0000-0800-000038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57" name="Groupe 56">
                            <a:extLst>
                              <a:ext uri="{FF2B5EF4-FFF2-40B4-BE49-F238E27FC236}">
                                <a16:creationId xmlns:a16="http://schemas.microsoft.com/office/drawing/2014/main" id="{00000000-0008-0000-0800-000039000000}"/>
                              </a:ext>
                            </a:extLst>
                          </xdr:cNvPr>
                          <xdr:cNvGrpSpPr/>
                        </xdr:nvGrpSpPr>
                        <xdr:grpSpPr>
                          <a:xfrm>
                            <a:off x="3808707" y="1009604"/>
                            <a:ext cx="8147475" cy="5409743"/>
                            <a:chOff x="3725512" y="966495"/>
                            <a:chExt cx="8147475" cy="5409743"/>
                          </a:xfrm>
                        </xdr:grpSpPr>
                        <xdr:grpSp>
                          <xdr:nvGrpSpPr>
                            <xdr:cNvPr id="58" name="Groupe 57">
                              <a:extLst>
                                <a:ext uri="{FF2B5EF4-FFF2-40B4-BE49-F238E27FC236}">
                                  <a16:creationId xmlns:a16="http://schemas.microsoft.com/office/drawing/2014/main" id="{00000000-0008-0000-0800-00003A000000}"/>
                                </a:ext>
                              </a:extLst>
                            </xdr:cNvPr>
                            <xdr:cNvGrpSpPr/>
                          </xdr:nvGrpSpPr>
                          <xdr:grpSpPr>
                            <a:xfrm>
                              <a:off x="4933713" y="1131498"/>
                              <a:ext cx="6410485" cy="4278824"/>
                              <a:chOff x="1814285" y="989862"/>
                              <a:chExt cx="6410485" cy="4278824"/>
                            </a:xfrm>
                          </xdr:grpSpPr>
                          <xdr:sp macro="" textlink="">
                            <xdr:nvSpPr>
                              <xdr:cNvPr id="86" name="Rectangle 85">
                                <a:extLst>
                                  <a:ext uri="{FF2B5EF4-FFF2-40B4-BE49-F238E27FC236}">
                                    <a16:creationId xmlns:a16="http://schemas.microsoft.com/office/drawing/2014/main" id="{00000000-0008-0000-0800-00005600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7" name="Rectangle 86">
                                <a:extLst>
                                  <a:ext uri="{FF2B5EF4-FFF2-40B4-BE49-F238E27FC236}">
                                    <a16:creationId xmlns:a16="http://schemas.microsoft.com/office/drawing/2014/main" id="{00000000-0008-0000-0800-00005700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8" name="Rectangle 87">
                                <a:extLst>
                                  <a:ext uri="{FF2B5EF4-FFF2-40B4-BE49-F238E27FC236}">
                                    <a16:creationId xmlns:a16="http://schemas.microsoft.com/office/drawing/2014/main" id="{00000000-0008-0000-0800-00005800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89" name="Connecteur droit 88">
                                <a:extLst>
                                  <a:ext uri="{FF2B5EF4-FFF2-40B4-BE49-F238E27FC236}">
                                    <a16:creationId xmlns:a16="http://schemas.microsoft.com/office/drawing/2014/main" id="{00000000-0008-0000-0800-00005900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0" name="Connecteur droit 89">
                                <a:extLst>
                                  <a:ext uri="{FF2B5EF4-FFF2-40B4-BE49-F238E27FC236}">
                                    <a16:creationId xmlns:a16="http://schemas.microsoft.com/office/drawing/2014/main" id="{00000000-0008-0000-0800-00005A00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1" name="Connecteur droit 90">
                                <a:extLst>
                                  <a:ext uri="{FF2B5EF4-FFF2-40B4-BE49-F238E27FC236}">
                                    <a16:creationId xmlns:a16="http://schemas.microsoft.com/office/drawing/2014/main" id="{00000000-0008-0000-0800-00005B00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92" name="Connecteur droit 91">
                                <a:extLst>
                                  <a:ext uri="{FF2B5EF4-FFF2-40B4-BE49-F238E27FC236}">
                                    <a16:creationId xmlns:a16="http://schemas.microsoft.com/office/drawing/2014/main" id="{00000000-0008-0000-0800-00005C00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59" name="Ellipse 58">
                              <a:extLst>
                                <a:ext uri="{FF2B5EF4-FFF2-40B4-BE49-F238E27FC236}">
                                  <a16:creationId xmlns:a16="http://schemas.microsoft.com/office/drawing/2014/main" id="{00000000-0008-0000-0800-00003B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0" name="Ellipse 59">
                              <a:extLst>
                                <a:ext uri="{FF2B5EF4-FFF2-40B4-BE49-F238E27FC236}">
                                  <a16:creationId xmlns:a16="http://schemas.microsoft.com/office/drawing/2014/main" id="{00000000-0008-0000-0800-00003C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1" name="Ellipse 60">
                              <a:extLst>
                                <a:ext uri="{FF2B5EF4-FFF2-40B4-BE49-F238E27FC236}">
                                  <a16:creationId xmlns:a16="http://schemas.microsoft.com/office/drawing/2014/main" id="{00000000-0008-0000-0800-00003D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2" name="Ellipse 61">
                              <a:extLst>
                                <a:ext uri="{FF2B5EF4-FFF2-40B4-BE49-F238E27FC236}">
                                  <a16:creationId xmlns:a16="http://schemas.microsoft.com/office/drawing/2014/main" id="{00000000-0008-0000-0800-00003E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3" name="Ellipse 62">
                              <a:extLst>
                                <a:ext uri="{FF2B5EF4-FFF2-40B4-BE49-F238E27FC236}">
                                  <a16:creationId xmlns:a16="http://schemas.microsoft.com/office/drawing/2014/main" id="{00000000-0008-0000-0800-00003F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4" name="Ellipse 63">
                              <a:extLst>
                                <a:ext uri="{FF2B5EF4-FFF2-40B4-BE49-F238E27FC236}">
                                  <a16:creationId xmlns:a16="http://schemas.microsoft.com/office/drawing/2014/main" id="{00000000-0008-0000-0800-000040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5" name="Ellipse 64">
                              <a:extLst>
                                <a:ext uri="{FF2B5EF4-FFF2-40B4-BE49-F238E27FC236}">
                                  <a16:creationId xmlns:a16="http://schemas.microsoft.com/office/drawing/2014/main" id="{00000000-0008-0000-0800-000041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6" name="Ellipse 65">
                              <a:extLst>
                                <a:ext uri="{FF2B5EF4-FFF2-40B4-BE49-F238E27FC236}">
                                  <a16:creationId xmlns:a16="http://schemas.microsoft.com/office/drawing/2014/main" id="{00000000-0008-0000-0800-000042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67" name="ZoneTexte 122">
                              <a:extLst>
                                <a:ext uri="{FF2B5EF4-FFF2-40B4-BE49-F238E27FC236}">
                                  <a16:creationId xmlns:a16="http://schemas.microsoft.com/office/drawing/2014/main" id="{00000000-0008-0000-0800-000043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68" name="ZoneTexte 123">
                              <a:extLst>
                                <a:ext uri="{FF2B5EF4-FFF2-40B4-BE49-F238E27FC236}">
                                  <a16:creationId xmlns:a16="http://schemas.microsoft.com/office/drawing/2014/main" id="{00000000-0008-0000-0800-000044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69" name="ZoneTexte 124">
                              <a:extLst>
                                <a:ext uri="{FF2B5EF4-FFF2-40B4-BE49-F238E27FC236}">
                                  <a16:creationId xmlns:a16="http://schemas.microsoft.com/office/drawing/2014/main" id="{00000000-0008-0000-0800-000045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0" name="ZoneTexte 125">
                              <a:extLst>
                                <a:ext uri="{FF2B5EF4-FFF2-40B4-BE49-F238E27FC236}">
                                  <a16:creationId xmlns:a16="http://schemas.microsoft.com/office/drawing/2014/main" id="{00000000-0008-0000-0800-000046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71" name="ZoneTexte 126">
                              <a:extLst>
                                <a:ext uri="{FF2B5EF4-FFF2-40B4-BE49-F238E27FC236}">
                                  <a16:creationId xmlns:a16="http://schemas.microsoft.com/office/drawing/2014/main" id="{00000000-0008-0000-0800-000047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2" name="Connecteur droit 71">
                              <a:extLst>
                                <a:ext uri="{FF2B5EF4-FFF2-40B4-BE49-F238E27FC236}">
                                  <a16:creationId xmlns:a16="http://schemas.microsoft.com/office/drawing/2014/main" id="{00000000-0008-0000-0800-000048000000}"/>
                                </a:ext>
                              </a:extLst>
                            </xdr:cNvPr>
                            <xdr:cNvCxnSpPr>
                              <a:cxnSpLocks/>
                              <a:stCxn id="86"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3" name="ZoneTexte 128">
                              <a:extLst>
                                <a:ext uri="{FF2B5EF4-FFF2-40B4-BE49-F238E27FC236}">
                                  <a16:creationId xmlns:a16="http://schemas.microsoft.com/office/drawing/2014/main" id="{00000000-0008-0000-0800-000049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74" name="ZoneTexte 129">
                              <a:extLst>
                                <a:ext uri="{FF2B5EF4-FFF2-40B4-BE49-F238E27FC236}">
                                  <a16:creationId xmlns:a16="http://schemas.microsoft.com/office/drawing/2014/main" id="{00000000-0008-0000-0800-00004A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75" name="Connecteur droit 74">
                              <a:extLst>
                                <a:ext uri="{FF2B5EF4-FFF2-40B4-BE49-F238E27FC236}">
                                  <a16:creationId xmlns:a16="http://schemas.microsoft.com/office/drawing/2014/main" id="{00000000-0008-0000-0800-00004B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76" name="Ellipse 75">
                              <a:extLst>
                                <a:ext uri="{FF2B5EF4-FFF2-40B4-BE49-F238E27FC236}">
                                  <a16:creationId xmlns:a16="http://schemas.microsoft.com/office/drawing/2014/main" id="{00000000-0008-0000-0800-00004C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77" name="Groupe 76">
                              <a:extLst>
                                <a:ext uri="{FF2B5EF4-FFF2-40B4-BE49-F238E27FC236}">
                                  <a16:creationId xmlns:a16="http://schemas.microsoft.com/office/drawing/2014/main" id="{00000000-0008-0000-0800-00004D000000}"/>
                                </a:ext>
                              </a:extLst>
                            </xdr:cNvPr>
                            <xdr:cNvGrpSpPr/>
                          </xdr:nvGrpSpPr>
                          <xdr:grpSpPr>
                            <a:xfrm>
                              <a:off x="9023280" y="1584899"/>
                              <a:ext cx="165827" cy="126059"/>
                              <a:chOff x="3146989" y="1579602"/>
                              <a:chExt cx="165827" cy="126059"/>
                            </a:xfrm>
                          </xdr:grpSpPr>
                          <xdr:sp macro="" textlink="">
                            <xdr:nvSpPr>
                              <xdr:cNvPr id="84" name="Ellipse 83">
                                <a:extLst>
                                  <a:ext uri="{FF2B5EF4-FFF2-40B4-BE49-F238E27FC236}">
                                    <a16:creationId xmlns:a16="http://schemas.microsoft.com/office/drawing/2014/main" id="{00000000-0008-0000-0800-00005400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5" name="Ellipse 84">
                                <a:extLst>
                                  <a:ext uri="{FF2B5EF4-FFF2-40B4-BE49-F238E27FC236}">
                                    <a16:creationId xmlns:a16="http://schemas.microsoft.com/office/drawing/2014/main" id="{00000000-0008-0000-0800-00005500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78" name="Ellipse 77">
                              <a:extLst>
                                <a:ext uri="{FF2B5EF4-FFF2-40B4-BE49-F238E27FC236}">
                                  <a16:creationId xmlns:a16="http://schemas.microsoft.com/office/drawing/2014/main" id="{00000000-0008-0000-0800-00004E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79" name="Ellipse 78">
                              <a:extLst>
                                <a:ext uri="{FF2B5EF4-FFF2-40B4-BE49-F238E27FC236}">
                                  <a16:creationId xmlns:a16="http://schemas.microsoft.com/office/drawing/2014/main" id="{00000000-0008-0000-0800-00004F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0" name="Ellipse 79">
                              <a:extLst>
                                <a:ext uri="{FF2B5EF4-FFF2-40B4-BE49-F238E27FC236}">
                                  <a16:creationId xmlns:a16="http://schemas.microsoft.com/office/drawing/2014/main" id="{00000000-0008-0000-0800-000050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1" name="Ellipse 80">
                              <a:extLst>
                                <a:ext uri="{FF2B5EF4-FFF2-40B4-BE49-F238E27FC236}">
                                  <a16:creationId xmlns:a16="http://schemas.microsoft.com/office/drawing/2014/main" id="{00000000-0008-0000-0800-000051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82" name="ZoneTexte 138">
                              <a:extLst>
                                <a:ext uri="{FF2B5EF4-FFF2-40B4-BE49-F238E27FC236}">
                                  <a16:creationId xmlns:a16="http://schemas.microsoft.com/office/drawing/2014/main" id="{00000000-0008-0000-0800-00005200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83" name="Connecteur droit 82">
                              <a:extLst>
                                <a:ext uri="{FF2B5EF4-FFF2-40B4-BE49-F238E27FC236}">
                                  <a16:creationId xmlns:a16="http://schemas.microsoft.com/office/drawing/2014/main" id="{00000000-0008-0000-0800-00005300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53" name="ZoneTexte 149">
                          <a:extLst>
                            <a:ext uri="{FF2B5EF4-FFF2-40B4-BE49-F238E27FC236}">
                              <a16:creationId xmlns:a16="http://schemas.microsoft.com/office/drawing/2014/main" id="{00000000-0008-0000-0800-000035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54" name="ZoneTexte 150">
                          <a:extLst>
                            <a:ext uri="{FF2B5EF4-FFF2-40B4-BE49-F238E27FC236}">
                              <a16:creationId xmlns:a16="http://schemas.microsoft.com/office/drawing/2014/main" id="{00000000-0008-0000-0800-000036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55" name="ZoneTexte 151">
                          <a:extLst>
                            <a:ext uri="{FF2B5EF4-FFF2-40B4-BE49-F238E27FC236}">
                              <a16:creationId xmlns:a16="http://schemas.microsoft.com/office/drawing/2014/main" id="{00000000-0008-0000-0800-000037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51" name="ZoneTexte 152">
                        <a:extLst>
                          <a:ext uri="{FF2B5EF4-FFF2-40B4-BE49-F238E27FC236}">
                            <a16:creationId xmlns:a16="http://schemas.microsoft.com/office/drawing/2014/main" id="{00000000-0008-0000-0800-000033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49" name="Étoile à 5 branches 158">
                      <a:extLst>
                        <a:ext uri="{FF2B5EF4-FFF2-40B4-BE49-F238E27FC236}">
                          <a16:creationId xmlns:a16="http://schemas.microsoft.com/office/drawing/2014/main" id="{00000000-0008-0000-0800-000031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37" name="Organigramme : Connecteur 36">
                    <a:extLst>
                      <a:ext uri="{FF2B5EF4-FFF2-40B4-BE49-F238E27FC236}">
                        <a16:creationId xmlns:a16="http://schemas.microsoft.com/office/drawing/2014/main" id="{00000000-0008-0000-0800-000025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2</a:t>
                    </a:fld>
                    <a:endParaRPr lang="fr-FR" sz="1100"/>
                  </a:p>
                </xdr:txBody>
              </xdr:sp>
              <xdr:sp macro="" textlink="$A$35">
                <xdr:nvSpPr>
                  <xdr:cNvPr id="38" name="Organigramme : Connecteur 37">
                    <a:extLst>
                      <a:ext uri="{FF2B5EF4-FFF2-40B4-BE49-F238E27FC236}">
                        <a16:creationId xmlns:a16="http://schemas.microsoft.com/office/drawing/2014/main" id="{00000000-0008-0000-0800-000026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13</a:t>
                    </a:fld>
                    <a:endParaRPr lang="fr-FR" sz="1100"/>
                  </a:p>
                </xdr:txBody>
              </xdr:sp>
              <xdr:sp macro="" textlink="$A$33">
                <xdr:nvSpPr>
                  <xdr:cNvPr id="39" name="Organigramme : Connecteur 38">
                    <a:extLst>
                      <a:ext uri="{FF2B5EF4-FFF2-40B4-BE49-F238E27FC236}">
                        <a16:creationId xmlns:a16="http://schemas.microsoft.com/office/drawing/2014/main" id="{00000000-0008-0000-0800-000027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11</a:t>
                    </a:fld>
                    <a:endParaRPr lang="fr-FR" sz="1100"/>
                  </a:p>
                </xdr:txBody>
              </xdr:sp>
              <xdr:sp macro="" textlink="$A$32">
                <xdr:nvSpPr>
                  <xdr:cNvPr id="40" name="Organigramme : Connecteur 39">
                    <a:extLst>
                      <a:ext uri="{FF2B5EF4-FFF2-40B4-BE49-F238E27FC236}">
                        <a16:creationId xmlns:a16="http://schemas.microsoft.com/office/drawing/2014/main" id="{00000000-0008-0000-0800-000028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10</a:t>
                    </a:fld>
                    <a:endParaRPr lang="fr-FR" sz="1100"/>
                  </a:p>
                </xdr:txBody>
              </xdr:sp>
              <xdr:sp macro="" textlink="$A$30">
                <xdr:nvSpPr>
                  <xdr:cNvPr id="41" name="Organigramme : Connecteur 40">
                    <a:extLst>
                      <a:ext uri="{FF2B5EF4-FFF2-40B4-BE49-F238E27FC236}">
                        <a16:creationId xmlns:a16="http://schemas.microsoft.com/office/drawing/2014/main" id="{00000000-0008-0000-0800-000029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8</a:t>
                    </a:fld>
                    <a:endParaRPr lang="fr-FR" sz="1100"/>
                  </a:p>
                </xdr:txBody>
              </xdr:sp>
              <xdr:sp macro="" textlink="$A$31">
                <xdr:nvSpPr>
                  <xdr:cNvPr id="42" name="Organigramme : Connecteur 41">
                    <a:extLst>
                      <a:ext uri="{FF2B5EF4-FFF2-40B4-BE49-F238E27FC236}">
                        <a16:creationId xmlns:a16="http://schemas.microsoft.com/office/drawing/2014/main" id="{00000000-0008-0000-0800-00002A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9</a:t>
                    </a:fld>
                    <a:endParaRPr lang="fr-FR" sz="1100"/>
                  </a:p>
                </xdr:txBody>
              </xdr:sp>
              <xdr:sp macro="" textlink="$A$29">
                <xdr:nvSpPr>
                  <xdr:cNvPr id="43" name="Organigramme : Connecteur 42">
                    <a:extLst>
                      <a:ext uri="{FF2B5EF4-FFF2-40B4-BE49-F238E27FC236}">
                        <a16:creationId xmlns:a16="http://schemas.microsoft.com/office/drawing/2014/main" id="{00000000-0008-0000-0800-00002B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7</a:t>
                    </a:fld>
                    <a:endParaRPr lang="fr-FR" sz="1100"/>
                  </a:p>
                </xdr:txBody>
              </xdr:sp>
              <xdr:sp macro="" textlink="$A$28">
                <xdr:nvSpPr>
                  <xdr:cNvPr id="44" name="Organigramme : Connecteur 43">
                    <a:extLst>
                      <a:ext uri="{FF2B5EF4-FFF2-40B4-BE49-F238E27FC236}">
                        <a16:creationId xmlns:a16="http://schemas.microsoft.com/office/drawing/2014/main" id="{00000000-0008-0000-0800-00002C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6</a:t>
                    </a:fld>
                    <a:endParaRPr lang="fr-FR" sz="1100"/>
                  </a:p>
                </xdr:txBody>
              </xdr:sp>
              <xdr:sp macro="" textlink="$A$25">
                <xdr:nvSpPr>
                  <xdr:cNvPr id="45" name="Organigramme : Connecteur 44">
                    <a:extLst>
                      <a:ext uri="{FF2B5EF4-FFF2-40B4-BE49-F238E27FC236}">
                        <a16:creationId xmlns:a16="http://schemas.microsoft.com/office/drawing/2014/main" id="{00000000-0008-0000-0800-00002D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3</a:t>
                    </a:fld>
                    <a:endParaRPr lang="fr-FR" sz="1100"/>
                  </a:p>
                </xdr:txBody>
              </xdr:sp>
              <xdr:sp macro="" textlink="$A$26">
                <xdr:nvSpPr>
                  <xdr:cNvPr id="46" name="Organigramme : Connecteur 45">
                    <a:extLst>
                      <a:ext uri="{FF2B5EF4-FFF2-40B4-BE49-F238E27FC236}">
                        <a16:creationId xmlns:a16="http://schemas.microsoft.com/office/drawing/2014/main" id="{00000000-0008-0000-0800-00002E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4</a:t>
                    </a:fld>
                    <a:endParaRPr lang="fr-FR" sz="1100"/>
                  </a:p>
                </xdr:txBody>
              </xdr:sp>
              <xdr:sp macro="" textlink="$A$27">
                <xdr:nvSpPr>
                  <xdr:cNvPr id="47" name="Organigramme : Connecteur 46">
                    <a:extLst>
                      <a:ext uri="{FF2B5EF4-FFF2-40B4-BE49-F238E27FC236}">
                        <a16:creationId xmlns:a16="http://schemas.microsoft.com/office/drawing/2014/main" id="{00000000-0008-0000-0800-00002F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5</a:t>
                    </a:fld>
                    <a:endParaRPr lang="fr-FR" sz="1100"/>
                  </a:p>
                </xdr:txBody>
              </xdr:sp>
            </xdr:grpSp>
          </xdr:grpSp>
          <xdr:sp macro="" textlink="">
            <xdr:nvSpPr>
              <xdr:cNvPr id="32" name="Étoile à 5 branches 158">
                <a:extLst>
                  <a:ext uri="{FF2B5EF4-FFF2-40B4-BE49-F238E27FC236}">
                    <a16:creationId xmlns:a16="http://schemas.microsoft.com/office/drawing/2014/main" id="{00000000-0008-0000-0800-000020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33" name="Organigramme : Connecteur 32">
                <a:extLst>
                  <a:ext uri="{FF2B5EF4-FFF2-40B4-BE49-F238E27FC236}">
                    <a16:creationId xmlns:a16="http://schemas.microsoft.com/office/drawing/2014/main" id="{00000000-0008-0000-0800-000021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12</a:t>
                </a:fld>
                <a:endParaRPr lang="fr-FR" sz="1100"/>
              </a:p>
            </xdr:txBody>
          </xdr:sp>
        </xdr:grpSp>
        <xdr:sp macro="" textlink="B23">
          <xdr:nvSpPr>
            <xdr:cNvPr id="18" name="Organigramme : Connecteur 17">
              <a:extLst>
                <a:ext uri="{FF2B5EF4-FFF2-40B4-BE49-F238E27FC236}">
                  <a16:creationId xmlns:a16="http://schemas.microsoft.com/office/drawing/2014/main" id="{00000000-0008-0000-0800-000012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19" name="Organigramme : Connecteur 18">
              <a:extLst>
                <a:ext uri="{FF2B5EF4-FFF2-40B4-BE49-F238E27FC236}">
                  <a16:creationId xmlns:a16="http://schemas.microsoft.com/office/drawing/2014/main" id="{00000000-0008-0000-0800-000013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20" name="Organigramme : Connecteur 19">
              <a:extLst>
                <a:ext uri="{FF2B5EF4-FFF2-40B4-BE49-F238E27FC236}">
                  <a16:creationId xmlns:a16="http://schemas.microsoft.com/office/drawing/2014/main" id="{00000000-0008-0000-0800-000014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21" name="Organigramme : Connecteur 20">
              <a:extLst>
                <a:ext uri="{FF2B5EF4-FFF2-40B4-BE49-F238E27FC236}">
                  <a16:creationId xmlns:a16="http://schemas.microsoft.com/office/drawing/2014/main" id="{00000000-0008-0000-0800-000015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22" name="Organigramme : Connecteur 21">
              <a:extLst>
                <a:ext uri="{FF2B5EF4-FFF2-40B4-BE49-F238E27FC236}">
                  <a16:creationId xmlns:a16="http://schemas.microsoft.com/office/drawing/2014/main" id="{00000000-0008-0000-0800-000016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23" name="Organigramme : Connecteur 22">
              <a:extLst>
                <a:ext uri="{FF2B5EF4-FFF2-40B4-BE49-F238E27FC236}">
                  <a16:creationId xmlns:a16="http://schemas.microsoft.com/office/drawing/2014/main" id="{00000000-0008-0000-0800-000017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24" name="Organigramme : Connecteur 23">
              <a:extLst>
                <a:ext uri="{FF2B5EF4-FFF2-40B4-BE49-F238E27FC236}">
                  <a16:creationId xmlns:a16="http://schemas.microsoft.com/office/drawing/2014/main" id="{00000000-0008-0000-0800-000018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25" name="Organigramme : Connecteur 24">
              <a:extLst>
                <a:ext uri="{FF2B5EF4-FFF2-40B4-BE49-F238E27FC236}">
                  <a16:creationId xmlns:a16="http://schemas.microsoft.com/office/drawing/2014/main" id="{00000000-0008-0000-0800-000019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26" name="Organigramme : Connecteur 25">
              <a:extLst>
                <a:ext uri="{FF2B5EF4-FFF2-40B4-BE49-F238E27FC236}">
                  <a16:creationId xmlns:a16="http://schemas.microsoft.com/office/drawing/2014/main" id="{00000000-0008-0000-0800-00001A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27" name="Organigramme : Connecteur 26">
              <a:extLst>
                <a:ext uri="{FF2B5EF4-FFF2-40B4-BE49-F238E27FC236}">
                  <a16:creationId xmlns:a16="http://schemas.microsoft.com/office/drawing/2014/main" id="{00000000-0008-0000-0800-00001B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28" name="Organigramme : Connecteur 27">
              <a:extLst>
                <a:ext uri="{FF2B5EF4-FFF2-40B4-BE49-F238E27FC236}">
                  <a16:creationId xmlns:a16="http://schemas.microsoft.com/office/drawing/2014/main" id="{00000000-0008-0000-0800-00001C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9" name="Organigramme : Connecteur 28">
              <a:extLst>
                <a:ext uri="{FF2B5EF4-FFF2-40B4-BE49-F238E27FC236}">
                  <a16:creationId xmlns:a16="http://schemas.microsoft.com/office/drawing/2014/main" id="{00000000-0008-0000-0800-00001D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30" name="Organigramme : Connecteur 29">
              <a:extLst>
                <a:ext uri="{FF2B5EF4-FFF2-40B4-BE49-F238E27FC236}">
                  <a16:creationId xmlns:a16="http://schemas.microsoft.com/office/drawing/2014/main" id="{00000000-0008-0000-0800-00001E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4" name="Organigramme : Connecteur 3">
            <a:extLst>
              <a:ext uri="{FF2B5EF4-FFF2-40B4-BE49-F238E27FC236}">
                <a16:creationId xmlns:a16="http://schemas.microsoft.com/office/drawing/2014/main" id="{00000000-0008-0000-0800-000004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5" name="Organigramme : Connecteur 4">
            <a:extLst>
              <a:ext uri="{FF2B5EF4-FFF2-40B4-BE49-F238E27FC236}">
                <a16:creationId xmlns:a16="http://schemas.microsoft.com/office/drawing/2014/main" id="{00000000-0008-0000-0800-000005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6" name="Organigramme : Connecteur 5">
            <a:extLst>
              <a:ext uri="{FF2B5EF4-FFF2-40B4-BE49-F238E27FC236}">
                <a16:creationId xmlns:a16="http://schemas.microsoft.com/office/drawing/2014/main" id="{00000000-0008-0000-0800-000006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7" name="Organigramme : Connecteur 6">
            <a:extLst>
              <a:ext uri="{FF2B5EF4-FFF2-40B4-BE49-F238E27FC236}">
                <a16:creationId xmlns:a16="http://schemas.microsoft.com/office/drawing/2014/main" id="{00000000-0008-0000-0800-000007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8" name="Organigramme : Connecteur 7">
            <a:extLst>
              <a:ext uri="{FF2B5EF4-FFF2-40B4-BE49-F238E27FC236}">
                <a16:creationId xmlns:a16="http://schemas.microsoft.com/office/drawing/2014/main" id="{00000000-0008-0000-0800-000008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9" name="Organigramme : Connecteur 8">
            <a:extLst>
              <a:ext uri="{FF2B5EF4-FFF2-40B4-BE49-F238E27FC236}">
                <a16:creationId xmlns:a16="http://schemas.microsoft.com/office/drawing/2014/main" id="{00000000-0008-0000-0800-000009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10" name="Organigramme : Connecteur 9">
            <a:extLst>
              <a:ext uri="{FF2B5EF4-FFF2-40B4-BE49-F238E27FC236}">
                <a16:creationId xmlns:a16="http://schemas.microsoft.com/office/drawing/2014/main" id="{00000000-0008-0000-0800-00000A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11" name="Organigramme : Connecteur 10">
            <a:extLst>
              <a:ext uri="{FF2B5EF4-FFF2-40B4-BE49-F238E27FC236}">
                <a16:creationId xmlns:a16="http://schemas.microsoft.com/office/drawing/2014/main" id="{00000000-0008-0000-0800-00000B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12" name="Organigramme : Connecteur 11">
            <a:extLst>
              <a:ext uri="{FF2B5EF4-FFF2-40B4-BE49-F238E27FC236}">
                <a16:creationId xmlns:a16="http://schemas.microsoft.com/office/drawing/2014/main" id="{00000000-0008-0000-0800-00000C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13" name="Organigramme : Connecteur 12">
            <a:extLst>
              <a:ext uri="{FF2B5EF4-FFF2-40B4-BE49-F238E27FC236}">
                <a16:creationId xmlns:a16="http://schemas.microsoft.com/office/drawing/2014/main" id="{00000000-0008-0000-0800-00000D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14" name="Organigramme : Connecteur 13">
            <a:extLst>
              <a:ext uri="{FF2B5EF4-FFF2-40B4-BE49-F238E27FC236}">
                <a16:creationId xmlns:a16="http://schemas.microsoft.com/office/drawing/2014/main" id="{00000000-0008-0000-0800-00000E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15" name="Organigramme : Connecteur 14">
            <a:extLst>
              <a:ext uri="{FF2B5EF4-FFF2-40B4-BE49-F238E27FC236}">
                <a16:creationId xmlns:a16="http://schemas.microsoft.com/office/drawing/2014/main" id="{00000000-0008-0000-0800-00000F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16" name="Organigramme : Connecteur 15">
            <a:extLst>
              <a:ext uri="{FF2B5EF4-FFF2-40B4-BE49-F238E27FC236}">
                <a16:creationId xmlns:a16="http://schemas.microsoft.com/office/drawing/2014/main" id="{00000000-0008-0000-0800-000010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mc:AlternateContent xmlns:mc="http://schemas.openxmlformats.org/markup-compatibility/2006">
    <mc:Choice xmlns:a14="http://schemas.microsoft.com/office/drawing/2010/main" Requires="a14">
      <xdr:twoCellAnchor>
        <xdr:from>
          <xdr:col>7</xdr:col>
          <xdr:colOff>666750</xdr:colOff>
          <xdr:row>5</xdr:row>
          <xdr:rowOff>38100</xdr:rowOff>
        </xdr:from>
        <xdr:to>
          <xdr:col>10</xdr:col>
          <xdr:colOff>781050</xdr:colOff>
          <xdr:row>12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100" b="0" i="0" u="none" strike="noStrike" baseline="0">
                  <a:solidFill>
                    <a:srgbClr val="000000"/>
                  </a:solidFill>
                  <a:latin typeface="Calibri"/>
                  <a:cs typeface="Calibri"/>
                </a:rPr>
                <a:t>Lancer la TUS OMIA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1000124</xdr:colOff>
      <xdr:row>59</xdr:row>
      <xdr:rowOff>0</xdr:rowOff>
    </xdr:from>
    <xdr:to>
      <xdr:col>16</xdr:col>
      <xdr:colOff>285749</xdr:colOff>
      <xdr:row>79</xdr:row>
      <xdr:rowOff>152400</xdr:rowOff>
    </xdr:to>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1000124</xdr:colOff>
      <xdr:row>57</xdr:row>
      <xdr:rowOff>190499</xdr:rowOff>
    </xdr:from>
    <xdr:to>
      <xdr:col>14</xdr:col>
      <xdr:colOff>647699</xdr:colOff>
      <xdr:row>79</xdr:row>
      <xdr:rowOff>66674</xdr:rowOff>
    </xdr:to>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1000124</xdr:colOff>
      <xdr:row>57</xdr:row>
      <xdr:rowOff>190499</xdr:rowOff>
    </xdr:from>
    <xdr:to>
      <xdr:col>14</xdr:col>
      <xdr:colOff>190500</xdr:colOff>
      <xdr:row>78</xdr:row>
      <xdr:rowOff>114300</xdr:rowOff>
    </xdr:to>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15875</xdr:rowOff>
    </xdr:to>
    <xdr:pic>
      <xdr:nvPicPr>
        <xdr:cNvPr id="4" name="Image 3" descr="fregat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129</xdr:row>
      <xdr:rowOff>142875</xdr:rowOff>
    </xdr:from>
    <xdr:to>
      <xdr:col>8</xdr:col>
      <xdr:colOff>273050</xdr:colOff>
      <xdr:row>155</xdr:row>
      <xdr:rowOff>188026</xdr:rowOff>
    </xdr:to>
    <xdr:sp macro="" textlink="">
      <xdr:nvSpPr>
        <xdr:cNvPr id="5" name="Sous-titre 2">
          <a:extLst>
            <a:ext uri="{FF2B5EF4-FFF2-40B4-BE49-F238E27FC236}">
              <a16:creationId xmlns:a16="http://schemas.microsoft.com/office/drawing/2014/main" id="{00000000-0008-0000-0F00-000005000000}"/>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minutes des 9 thermocouples de TUS. Les données de l’enregistreur portable ne sont pas corrigées. Les corrections (voie de l’enregistreur + thermocouple) sont appliquées à postériori. </a:t>
          </a:r>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FREGATE AERO. Le présent rapport présente des valeurs corrigées.</a:t>
          </a:r>
        </a:p>
        <a:p>
          <a:pPr rtl="0" eaLnBrk="1" latinLnBrk="0" hangingPunct="1"/>
          <a:r>
            <a:rPr lang="fr-FR" sz="1800" kern="1200">
              <a:solidFill>
                <a:schemeClr val="tx1"/>
              </a:solidFill>
              <a:effectLst/>
              <a:latin typeface="+mn-lt"/>
              <a:ea typeface="+mn-ea"/>
              <a:cs typeface="+mn-cs"/>
            </a:rPr>
            <a:t>Le contrôle se fait avec 12 thermocouples fixés au moyen de scotch de masquage résistant aux températures de travail. </a:t>
          </a:r>
          <a:endParaRPr lang="fr-FR" sz="2000">
            <a:effectLst/>
          </a:endParaRPr>
        </a:p>
        <a:p>
          <a:pPr rtl="0" eaLnBrk="1" latinLnBrk="0" hangingPunct="1"/>
          <a:r>
            <a:rPr lang="fr-FR" sz="1800" kern="1200">
              <a:solidFill>
                <a:schemeClr val="tx1"/>
              </a:solidFill>
              <a:effectLst/>
              <a:latin typeface="+mn-lt"/>
              <a:ea typeface="+mn-ea"/>
              <a:cs typeface="+mn-cs"/>
            </a:rPr>
            <a:t>Un treizième est installé au plus proche de la sonde de régulation pour réaliser la SAT.</a:t>
          </a:r>
          <a:endParaRPr lang="fr-FR" sz="2000">
            <a:effectLst/>
          </a:endParaRPr>
        </a:p>
        <a:p>
          <a:pPr marL="0" indent="0">
            <a:buNone/>
          </a:pPr>
          <a:endParaRPr lang="fr-FR" sz="2000"/>
        </a:p>
        <a:p>
          <a:pPr marL="0" indent="0">
            <a:buNone/>
          </a:pPr>
          <a:br>
            <a:rPr lang="fr-FR" sz="2000"/>
          </a:br>
          <a:r>
            <a:rPr lang="fr-FR" sz="2000"/>
            <a:t> </a:t>
          </a:r>
        </a:p>
      </xdr:txBody>
    </xdr:sp>
    <xdr:clientData/>
  </xdr:twoCellAnchor>
  <xdr:twoCellAnchor editAs="oneCell">
    <xdr:from>
      <xdr:col>0</xdr:col>
      <xdr:colOff>33227</xdr:colOff>
      <xdr:row>124</xdr:row>
      <xdr:rowOff>11076</xdr:rowOff>
    </xdr:from>
    <xdr:to>
      <xdr:col>1</xdr:col>
      <xdr:colOff>757911</xdr:colOff>
      <xdr:row>128</xdr:row>
      <xdr:rowOff>38396</xdr:rowOff>
    </xdr:to>
    <xdr:pic>
      <xdr:nvPicPr>
        <xdr:cNvPr id="6" name="Image 5" descr="fregat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160</xdr:row>
      <xdr:rowOff>0</xdr:rowOff>
    </xdr:from>
    <xdr:to>
      <xdr:col>0</xdr:col>
      <xdr:colOff>3270251</xdr:colOff>
      <xdr:row>163</xdr:row>
      <xdr:rowOff>174625</xdr:rowOff>
    </xdr:to>
    <xdr:pic>
      <xdr:nvPicPr>
        <xdr:cNvPr id="7" name="Image 6" descr="fregat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192</xdr:row>
      <xdr:rowOff>0</xdr:rowOff>
    </xdr:from>
    <xdr:to>
      <xdr:col>0</xdr:col>
      <xdr:colOff>3238501</xdr:colOff>
      <xdr:row>196</xdr:row>
      <xdr:rowOff>31750</xdr:rowOff>
    </xdr:to>
    <xdr:pic>
      <xdr:nvPicPr>
        <xdr:cNvPr id="8" name="Image 7" descr="fregat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219</xdr:row>
      <xdr:rowOff>190499</xdr:rowOff>
    </xdr:from>
    <xdr:to>
      <xdr:col>0</xdr:col>
      <xdr:colOff>3302001</xdr:colOff>
      <xdr:row>225</xdr:row>
      <xdr:rowOff>79374</xdr:rowOff>
    </xdr:to>
    <xdr:pic>
      <xdr:nvPicPr>
        <xdr:cNvPr id="9" name="Image 8" descr="fregat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252</xdr:row>
      <xdr:rowOff>113187</xdr:rowOff>
    </xdr:from>
    <xdr:to>
      <xdr:col>0</xdr:col>
      <xdr:colOff>3286125</xdr:colOff>
      <xdr:row>256</xdr:row>
      <xdr:rowOff>174625</xdr:rowOff>
    </xdr:to>
    <xdr:pic>
      <xdr:nvPicPr>
        <xdr:cNvPr id="10" name="Image 9" descr="fregat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492</xdr:row>
      <xdr:rowOff>190499</xdr:rowOff>
    </xdr:from>
    <xdr:to>
      <xdr:col>0</xdr:col>
      <xdr:colOff>3222625</xdr:colOff>
      <xdr:row>498</xdr:row>
      <xdr:rowOff>142874</xdr:rowOff>
    </xdr:to>
    <xdr:pic>
      <xdr:nvPicPr>
        <xdr:cNvPr id="11" name="Image 10" descr="fregat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288</xdr:row>
      <xdr:rowOff>0</xdr:rowOff>
    </xdr:from>
    <xdr:to>
      <xdr:col>0</xdr:col>
      <xdr:colOff>3222625</xdr:colOff>
      <xdr:row>293</xdr:row>
      <xdr:rowOff>142875</xdr:rowOff>
    </xdr:to>
    <xdr:pic>
      <xdr:nvPicPr>
        <xdr:cNvPr id="104" name="Image 103" descr="fregate">
          <a:extLst>
            <a:ext uri="{FF2B5EF4-FFF2-40B4-BE49-F238E27FC236}">
              <a16:creationId xmlns:a16="http://schemas.microsoft.com/office/drawing/2014/main" id="{00000000-0008-0000-0F00-00006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317</xdr:row>
      <xdr:rowOff>190499</xdr:rowOff>
    </xdr:from>
    <xdr:ext cx="3302000" cy="1031875"/>
    <xdr:pic>
      <xdr:nvPicPr>
        <xdr:cNvPr id="105" name="Image 104" descr="fregate">
          <a:extLst>
            <a:ext uri="{FF2B5EF4-FFF2-40B4-BE49-F238E27FC236}">
              <a16:creationId xmlns:a16="http://schemas.microsoft.com/office/drawing/2014/main" id="{00000000-0008-0000-0F00-00006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347</xdr:row>
      <xdr:rowOff>17937</xdr:rowOff>
    </xdr:from>
    <xdr:ext cx="3254375" cy="1093313"/>
    <xdr:pic>
      <xdr:nvPicPr>
        <xdr:cNvPr id="106" name="Image 105" descr="fregate">
          <a:extLst>
            <a:ext uri="{FF2B5EF4-FFF2-40B4-BE49-F238E27FC236}">
              <a16:creationId xmlns:a16="http://schemas.microsoft.com/office/drawing/2014/main" id="{00000000-0008-0000-0F00-00006A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452</xdr:row>
      <xdr:rowOff>17937</xdr:rowOff>
    </xdr:from>
    <xdr:ext cx="3254375" cy="1093313"/>
    <xdr:pic>
      <xdr:nvPicPr>
        <xdr:cNvPr id="108" name="Image 107" descr="fregate">
          <a:extLst>
            <a:ext uri="{FF2B5EF4-FFF2-40B4-BE49-F238E27FC236}">
              <a16:creationId xmlns:a16="http://schemas.microsoft.com/office/drawing/2014/main" id="{00000000-0008-0000-0F00-00006C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398</xdr:row>
      <xdr:rowOff>0</xdr:rowOff>
    </xdr:from>
    <xdr:ext cx="3222625" cy="1095375"/>
    <xdr:pic>
      <xdr:nvPicPr>
        <xdr:cNvPr id="110" name="Image 109" descr="fregate">
          <a:extLst>
            <a:ext uri="{FF2B5EF4-FFF2-40B4-BE49-F238E27FC236}">
              <a16:creationId xmlns:a16="http://schemas.microsoft.com/office/drawing/2014/main" id="{00000000-0008-0000-0F00-00006E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426</xdr:row>
      <xdr:rowOff>190499</xdr:rowOff>
    </xdr:from>
    <xdr:ext cx="3302000" cy="1031875"/>
    <xdr:pic>
      <xdr:nvPicPr>
        <xdr:cNvPr id="111" name="Image 110" descr="fregate">
          <a:extLst>
            <a:ext uri="{FF2B5EF4-FFF2-40B4-BE49-F238E27FC236}">
              <a16:creationId xmlns:a16="http://schemas.microsoft.com/office/drawing/2014/main" id="{00000000-0008-0000-0F00-00006F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xdr:from>
      <xdr:col>6</xdr:col>
      <xdr:colOff>898525</xdr:colOff>
      <xdr:row>162</xdr:row>
      <xdr:rowOff>200026</xdr:rowOff>
    </xdr:from>
    <xdr:to>
      <xdr:col>14</xdr:col>
      <xdr:colOff>349225</xdr:colOff>
      <xdr:row>190</xdr:row>
      <xdr:rowOff>57388</xdr:rowOff>
    </xdr:to>
    <xdr:grpSp>
      <xdr:nvGrpSpPr>
        <xdr:cNvPr id="12" name="Groupe 11">
          <a:extLst>
            <a:ext uri="{FF2B5EF4-FFF2-40B4-BE49-F238E27FC236}">
              <a16:creationId xmlns:a16="http://schemas.microsoft.com/office/drawing/2014/main" id="{00000000-0008-0000-0F00-00000C000000}"/>
            </a:ext>
          </a:extLst>
        </xdr:cNvPr>
        <xdr:cNvGrpSpPr/>
      </xdr:nvGrpSpPr>
      <xdr:grpSpPr>
        <a:xfrm>
          <a:off x="15789275" y="36395026"/>
          <a:ext cx="8562950" cy="5492987"/>
          <a:chOff x="11934267" y="3104028"/>
          <a:chExt cx="8562950" cy="5492987"/>
        </a:xfrm>
      </xdr:grpSpPr>
      <xdr:grpSp>
        <xdr:nvGrpSpPr>
          <xdr:cNvPr id="13" name="Groupe 12">
            <a:extLst>
              <a:ext uri="{FF2B5EF4-FFF2-40B4-BE49-F238E27FC236}">
                <a16:creationId xmlns:a16="http://schemas.microsoft.com/office/drawing/2014/main" id="{00000000-0008-0000-0F00-00000D000000}"/>
              </a:ext>
            </a:extLst>
          </xdr:cNvPr>
          <xdr:cNvGrpSpPr/>
        </xdr:nvGrpSpPr>
        <xdr:grpSpPr>
          <a:xfrm>
            <a:off x="11934267" y="3104028"/>
            <a:ext cx="8562950" cy="5492987"/>
            <a:chOff x="11889443" y="3126440"/>
            <a:chExt cx="8562950" cy="5492987"/>
          </a:xfrm>
        </xdr:grpSpPr>
        <xdr:grpSp>
          <xdr:nvGrpSpPr>
            <xdr:cNvPr id="27" name="Groupe 26">
              <a:extLst>
                <a:ext uri="{FF2B5EF4-FFF2-40B4-BE49-F238E27FC236}">
                  <a16:creationId xmlns:a16="http://schemas.microsoft.com/office/drawing/2014/main" id="{00000000-0008-0000-0F00-00001B000000}"/>
                </a:ext>
              </a:extLst>
            </xdr:cNvPr>
            <xdr:cNvGrpSpPr/>
          </xdr:nvGrpSpPr>
          <xdr:grpSpPr>
            <a:xfrm>
              <a:off x="11889443" y="3126440"/>
              <a:ext cx="8562950" cy="5492987"/>
              <a:chOff x="11889443" y="3126440"/>
              <a:chExt cx="8562950" cy="5492987"/>
            </a:xfrm>
          </xdr:grpSpPr>
          <xdr:grpSp>
            <xdr:nvGrpSpPr>
              <xdr:cNvPr id="205" name="Groupe 204">
                <a:extLst>
                  <a:ext uri="{FF2B5EF4-FFF2-40B4-BE49-F238E27FC236}">
                    <a16:creationId xmlns:a16="http://schemas.microsoft.com/office/drawing/2014/main" id="{00000000-0008-0000-0F00-0000CD000000}"/>
                  </a:ext>
                </a:extLst>
              </xdr:cNvPr>
              <xdr:cNvGrpSpPr/>
            </xdr:nvGrpSpPr>
            <xdr:grpSpPr>
              <a:xfrm>
                <a:off x="11889443" y="3126440"/>
                <a:ext cx="8562950" cy="5492987"/>
                <a:chOff x="11889443" y="3126440"/>
                <a:chExt cx="8562950" cy="5492987"/>
              </a:xfrm>
            </xdr:grpSpPr>
            <xdr:sp macro="" textlink="$A$23">
              <xdr:nvSpPr>
                <xdr:cNvPr id="208" name="Organigramme : Connecteur 207">
                  <a:extLst>
                    <a:ext uri="{FF2B5EF4-FFF2-40B4-BE49-F238E27FC236}">
                      <a16:creationId xmlns:a16="http://schemas.microsoft.com/office/drawing/2014/main" id="{00000000-0008-0000-0F00-0000D0000000}"/>
                    </a:ext>
                  </a:extLst>
                </xdr:cNvPr>
                <xdr:cNvSpPr/>
              </xdr:nvSpPr>
              <xdr:spPr>
                <a:xfrm>
                  <a:off x="13447059" y="3473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1E0097F-C78A-4F15-8876-4430671F7BA2}" type="TxLink">
                    <a:rPr lang="en-US" sz="1100" b="0" i="0" u="none" strike="noStrike">
                      <a:solidFill>
                        <a:srgbClr val="000000"/>
                      </a:solidFill>
                      <a:latin typeface="Calibri"/>
                      <a:cs typeface="Calibri"/>
                    </a:rPr>
                    <a:pPr algn="ctr"/>
                    <a:t> </a:t>
                  </a:fld>
                  <a:endParaRPr lang="fr-FR" sz="1100"/>
                </a:p>
              </xdr:txBody>
            </xdr:sp>
            <xdr:grpSp>
              <xdr:nvGrpSpPr>
                <xdr:cNvPr id="209" name="Groupe 208">
                  <a:extLst>
                    <a:ext uri="{FF2B5EF4-FFF2-40B4-BE49-F238E27FC236}">
                      <a16:creationId xmlns:a16="http://schemas.microsoft.com/office/drawing/2014/main" id="{00000000-0008-0000-0F00-0000D1000000}"/>
                    </a:ext>
                  </a:extLst>
                </xdr:cNvPr>
                <xdr:cNvGrpSpPr/>
              </xdr:nvGrpSpPr>
              <xdr:grpSpPr>
                <a:xfrm>
                  <a:off x="11889443" y="3126440"/>
                  <a:ext cx="8562950" cy="5492987"/>
                  <a:chOff x="11889443" y="3126440"/>
                  <a:chExt cx="8562950" cy="5492987"/>
                </a:xfrm>
              </xdr:grpSpPr>
              <xdr:grpSp>
                <xdr:nvGrpSpPr>
                  <xdr:cNvPr id="210" name="Groupe 209">
                    <a:extLst>
                      <a:ext uri="{FF2B5EF4-FFF2-40B4-BE49-F238E27FC236}">
                        <a16:creationId xmlns:a16="http://schemas.microsoft.com/office/drawing/2014/main" id="{00000000-0008-0000-0F00-0000D2000000}"/>
                      </a:ext>
                    </a:extLst>
                  </xdr:cNvPr>
                  <xdr:cNvGrpSpPr/>
                </xdr:nvGrpSpPr>
                <xdr:grpSpPr>
                  <a:xfrm>
                    <a:off x="11889443" y="3126440"/>
                    <a:ext cx="8562950" cy="5492987"/>
                    <a:chOff x="3803125" y="991161"/>
                    <a:chExt cx="8562950" cy="5492987"/>
                  </a:xfrm>
                </xdr:grpSpPr>
                <xdr:grpSp>
                  <xdr:nvGrpSpPr>
                    <xdr:cNvPr id="222" name="Groupe 221">
                      <a:extLst>
                        <a:ext uri="{FF2B5EF4-FFF2-40B4-BE49-F238E27FC236}">
                          <a16:creationId xmlns:a16="http://schemas.microsoft.com/office/drawing/2014/main" id="{00000000-0008-0000-0F00-0000DE000000}"/>
                        </a:ext>
                      </a:extLst>
                    </xdr:cNvPr>
                    <xdr:cNvGrpSpPr/>
                  </xdr:nvGrpSpPr>
                  <xdr:grpSpPr>
                    <a:xfrm>
                      <a:off x="3803125" y="991161"/>
                      <a:ext cx="8562950" cy="5492987"/>
                      <a:chOff x="3803125" y="991161"/>
                      <a:chExt cx="8562950" cy="5492987"/>
                    </a:xfrm>
                  </xdr:grpSpPr>
                  <xdr:grpSp>
                    <xdr:nvGrpSpPr>
                      <xdr:cNvPr id="224" name="Groupe 223">
                        <a:extLst>
                          <a:ext uri="{FF2B5EF4-FFF2-40B4-BE49-F238E27FC236}">
                            <a16:creationId xmlns:a16="http://schemas.microsoft.com/office/drawing/2014/main" id="{00000000-0008-0000-0F00-0000E0000000}"/>
                          </a:ext>
                        </a:extLst>
                      </xdr:cNvPr>
                      <xdr:cNvGrpSpPr/>
                    </xdr:nvGrpSpPr>
                    <xdr:grpSpPr>
                      <a:xfrm>
                        <a:off x="3803125" y="991161"/>
                        <a:ext cx="8562950" cy="5492987"/>
                        <a:chOff x="3803125" y="991161"/>
                        <a:chExt cx="8562950" cy="5492987"/>
                      </a:xfrm>
                    </xdr:grpSpPr>
                    <xdr:grpSp>
                      <xdr:nvGrpSpPr>
                        <xdr:cNvPr id="226" name="Groupe 225">
                          <a:extLst>
                            <a:ext uri="{FF2B5EF4-FFF2-40B4-BE49-F238E27FC236}">
                              <a16:creationId xmlns:a16="http://schemas.microsoft.com/office/drawing/2014/main" id="{00000000-0008-0000-0F00-0000E2000000}"/>
                            </a:ext>
                          </a:extLst>
                        </xdr:cNvPr>
                        <xdr:cNvGrpSpPr/>
                      </xdr:nvGrpSpPr>
                      <xdr:grpSpPr>
                        <a:xfrm>
                          <a:off x="3803125" y="991161"/>
                          <a:ext cx="8562950" cy="5427822"/>
                          <a:chOff x="3808707" y="1009604"/>
                          <a:chExt cx="8515205" cy="5409743"/>
                        </a:xfrm>
                      </xdr:grpSpPr>
                      <xdr:sp macro="" textlink="">
                        <xdr:nvSpPr>
                          <xdr:cNvPr id="230" name="ZoneTexte 100">
                            <a:extLst>
                              <a:ext uri="{FF2B5EF4-FFF2-40B4-BE49-F238E27FC236}">
                                <a16:creationId xmlns:a16="http://schemas.microsoft.com/office/drawing/2014/main" id="{00000000-0008-0000-0F00-0000E6000000}"/>
                              </a:ext>
                            </a:extLst>
                          </xdr:cNvPr>
                          <xdr:cNvSpPr txBox="1"/>
                        </xdr:nvSpPr>
                        <xdr:spPr>
                          <a:xfrm>
                            <a:off x="11473012" y="2645958"/>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Sortie cabine  </a:t>
                            </a:r>
                          </a:p>
                        </xdr:txBody>
                      </xdr:sp>
                      <xdr:grpSp>
                        <xdr:nvGrpSpPr>
                          <xdr:cNvPr id="231" name="Groupe 230">
                            <a:extLst>
                              <a:ext uri="{FF2B5EF4-FFF2-40B4-BE49-F238E27FC236}">
                                <a16:creationId xmlns:a16="http://schemas.microsoft.com/office/drawing/2014/main" id="{00000000-0008-0000-0F00-0000E7000000}"/>
                              </a:ext>
                            </a:extLst>
                          </xdr:cNvPr>
                          <xdr:cNvGrpSpPr/>
                        </xdr:nvGrpSpPr>
                        <xdr:grpSpPr>
                          <a:xfrm>
                            <a:off x="3808707" y="1009604"/>
                            <a:ext cx="8147475" cy="5409743"/>
                            <a:chOff x="3725512" y="966495"/>
                            <a:chExt cx="8147475" cy="5409743"/>
                          </a:xfrm>
                        </xdr:grpSpPr>
                        <xdr:grpSp>
                          <xdr:nvGrpSpPr>
                            <xdr:cNvPr id="232" name="Groupe 231">
                              <a:extLst>
                                <a:ext uri="{FF2B5EF4-FFF2-40B4-BE49-F238E27FC236}">
                                  <a16:creationId xmlns:a16="http://schemas.microsoft.com/office/drawing/2014/main" id="{00000000-0008-0000-0F00-0000E8000000}"/>
                                </a:ext>
                              </a:extLst>
                            </xdr:cNvPr>
                            <xdr:cNvGrpSpPr/>
                          </xdr:nvGrpSpPr>
                          <xdr:grpSpPr>
                            <a:xfrm>
                              <a:off x="4933713" y="1131498"/>
                              <a:ext cx="6410485" cy="4278824"/>
                              <a:chOff x="1814285" y="989862"/>
                              <a:chExt cx="6410485" cy="4278824"/>
                            </a:xfrm>
                          </xdr:grpSpPr>
                          <xdr:sp macro="" textlink="">
                            <xdr:nvSpPr>
                              <xdr:cNvPr id="260" name="Rectangle 259">
                                <a:extLst>
                                  <a:ext uri="{FF2B5EF4-FFF2-40B4-BE49-F238E27FC236}">
                                    <a16:creationId xmlns:a16="http://schemas.microsoft.com/office/drawing/2014/main" id="{00000000-0008-0000-0F00-000004010000}"/>
                                  </a:ext>
                                </a:extLst>
                              </xdr:cNvPr>
                              <xdr:cNvSpPr/>
                            </xdr:nvSpPr>
                            <xdr:spPr>
                              <a:xfrm>
                                <a:off x="1857828" y="1059543"/>
                                <a:ext cx="6300540" cy="4209143"/>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1" name="Rectangle 260">
                                <a:extLst>
                                  <a:ext uri="{FF2B5EF4-FFF2-40B4-BE49-F238E27FC236}">
                                    <a16:creationId xmlns:a16="http://schemas.microsoft.com/office/drawing/2014/main" id="{00000000-0008-0000-0F00-000005010000}"/>
                                  </a:ext>
                                </a:extLst>
                              </xdr:cNvPr>
                              <xdr:cNvSpPr/>
                            </xdr:nvSpPr>
                            <xdr:spPr>
                              <a:xfrm flipH="1">
                                <a:off x="1814285" y="1524000"/>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62" name="Rectangle 261">
                                <a:extLst>
                                  <a:ext uri="{FF2B5EF4-FFF2-40B4-BE49-F238E27FC236}">
                                    <a16:creationId xmlns:a16="http://schemas.microsoft.com/office/drawing/2014/main" id="{00000000-0008-0000-0F00-000006010000}"/>
                                  </a:ext>
                                </a:extLst>
                              </xdr:cNvPr>
                              <xdr:cNvSpPr/>
                            </xdr:nvSpPr>
                            <xdr:spPr>
                              <a:xfrm flipH="1">
                                <a:off x="8179051" y="1625599"/>
                                <a:ext cx="45719" cy="307702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cxnSp macro="">
                            <xdr:nvCxnSpPr>
                              <xdr:cNvPr id="263" name="Connecteur droit 262">
                                <a:extLst>
                                  <a:ext uri="{FF2B5EF4-FFF2-40B4-BE49-F238E27FC236}">
                                    <a16:creationId xmlns:a16="http://schemas.microsoft.com/office/drawing/2014/main" id="{00000000-0008-0000-0F00-000007010000}"/>
                                  </a:ext>
                                </a:extLst>
                              </xdr:cNvPr>
                              <xdr:cNvCxnSpPr/>
                            </xdr:nvCxnSpPr>
                            <xdr:spPr>
                              <a:xfrm>
                                <a:off x="4089400"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4" name="Connecteur droit 263">
                                <a:extLst>
                                  <a:ext uri="{FF2B5EF4-FFF2-40B4-BE49-F238E27FC236}">
                                    <a16:creationId xmlns:a16="http://schemas.microsoft.com/office/drawing/2014/main" id="{00000000-0008-0000-0F00-000008010000}"/>
                                  </a:ext>
                                </a:extLst>
                              </xdr:cNvPr>
                              <xdr:cNvCxnSpPr/>
                            </xdr:nvCxnSpPr>
                            <xdr:spPr>
                              <a:xfrm>
                                <a:off x="2238828" y="995136"/>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5" name="Connecteur droit 264">
                                <a:extLst>
                                  <a:ext uri="{FF2B5EF4-FFF2-40B4-BE49-F238E27FC236}">
                                    <a16:creationId xmlns:a16="http://schemas.microsoft.com/office/drawing/2014/main" id="{00000000-0008-0000-0F00-000009010000}"/>
                                  </a:ext>
                                </a:extLst>
                              </xdr:cNvPr>
                              <xdr:cNvCxnSpPr/>
                            </xdr:nvCxnSpPr>
                            <xdr:spPr>
                              <a:xfrm>
                                <a:off x="5952672" y="1030004"/>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cxnSp macro="">
                            <xdr:nvCxnSpPr>
                              <xdr:cNvPr id="266" name="Connecteur droit 265">
                                <a:extLst>
                                  <a:ext uri="{FF2B5EF4-FFF2-40B4-BE49-F238E27FC236}">
                                    <a16:creationId xmlns:a16="http://schemas.microsoft.com/office/drawing/2014/main" id="{00000000-0008-0000-0F00-00000A010000}"/>
                                  </a:ext>
                                </a:extLst>
                              </xdr:cNvPr>
                              <xdr:cNvCxnSpPr/>
                            </xdr:nvCxnSpPr>
                            <xdr:spPr>
                              <a:xfrm>
                                <a:off x="7803244" y="989862"/>
                                <a:ext cx="0" cy="109651"/>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sp macro="" textlink="">
                          <xdr:nvSpPr>
                            <xdr:cNvPr id="233" name="Ellipse 232">
                              <a:extLst>
                                <a:ext uri="{FF2B5EF4-FFF2-40B4-BE49-F238E27FC236}">
                                  <a16:creationId xmlns:a16="http://schemas.microsoft.com/office/drawing/2014/main" id="{00000000-0008-0000-0F00-0000E9000000}"/>
                                </a:ext>
                              </a:extLst>
                            </xdr:cNvPr>
                            <xdr:cNvSpPr/>
                          </xdr:nvSpPr>
                          <xdr:spPr>
                            <a:xfrm>
                              <a:off x="9073551" y="4997027"/>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4" name="Ellipse 233">
                              <a:extLst>
                                <a:ext uri="{FF2B5EF4-FFF2-40B4-BE49-F238E27FC236}">
                                  <a16:creationId xmlns:a16="http://schemas.microsoft.com/office/drawing/2014/main" id="{00000000-0008-0000-0F00-0000EA000000}"/>
                                </a:ext>
                              </a:extLst>
                            </xdr:cNvPr>
                            <xdr:cNvSpPr/>
                          </xdr:nvSpPr>
                          <xdr:spPr>
                            <a:xfrm>
                              <a:off x="10903075" y="5031415"/>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5" name="Ellipse 234">
                              <a:extLst>
                                <a:ext uri="{FF2B5EF4-FFF2-40B4-BE49-F238E27FC236}">
                                  <a16:creationId xmlns:a16="http://schemas.microsoft.com/office/drawing/2014/main" id="{00000000-0008-0000-0F00-0000EB000000}"/>
                                </a:ext>
                              </a:extLst>
                            </xdr:cNvPr>
                            <xdr:cNvSpPr/>
                          </xdr:nvSpPr>
                          <xdr:spPr>
                            <a:xfrm>
                              <a:off x="10846832" y="4984327"/>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6" name="Ellipse 235">
                              <a:extLst>
                                <a:ext uri="{FF2B5EF4-FFF2-40B4-BE49-F238E27FC236}">
                                  <a16:creationId xmlns:a16="http://schemas.microsoft.com/office/drawing/2014/main" id="{00000000-0008-0000-0F00-0000EC000000}"/>
                                </a:ext>
                              </a:extLst>
                            </xdr:cNvPr>
                            <xdr:cNvSpPr/>
                          </xdr:nvSpPr>
                          <xdr:spPr>
                            <a:xfrm>
                              <a:off x="10528608" y="330574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7" name="Ellipse 236">
                              <a:extLst>
                                <a:ext uri="{FF2B5EF4-FFF2-40B4-BE49-F238E27FC236}">
                                  <a16:creationId xmlns:a16="http://schemas.microsoft.com/office/drawing/2014/main" id="{00000000-0008-0000-0F00-0000ED000000}"/>
                                </a:ext>
                              </a:extLst>
                            </xdr:cNvPr>
                            <xdr:cNvSpPr/>
                          </xdr:nvSpPr>
                          <xdr:spPr>
                            <a:xfrm>
                              <a:off x="9256878" y="3502859"/>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8" name="Ellipse 237">
                              <a:extLst>
                                <a:ext uri="{FF2B5EF4-FFF2-40B4-BE49-F238E27FC236}">
                                  <a16:creationId xmlns:a16="http://schemas.microsoft.com/office/drawing/2014/main" id="{00000000-0008-0000-0F00-0000EE000000}"/>
                                </a:ext>
                              </a:extLst>
                            </xdr:cNvPr>
                            <xdr:cNvSpPr/>
                          </xdr:nvSpPr>
                          <xdr:spPr>
                            <a:xfrm>
                              <a:off x="5379564" y="496408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39" name="Ellipse 238">
                              <a:extLst>
                                <a:ext uri="{FF2B5EF4-FFF2-40B4-BE49-F238E27FC236}">
                                  <a16:creationId xmlns:a16="http://schemas.microsoft.com/office/drawing/2014/main" id="{00000000-0008-0000-0F00-0000EF000000}"/>
                                </a:ext>
                              </a:extLst>
                            </xdr:cNvPr>
                            <xdr:cNvSpPr/>
                          </xdr:nvSpPr>
                          <xdr:spPr>
                            <a:xfrm>
                              <a:off x="7152845" y="4951380"/>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0" name="Ellipse 239">
                              <a:extLst>
                                <a:ext uri="{FF2B5EF4-FFF2-40B4-BE49-F238E27FC236}">
                                  <a16:creationId xmlns:a16="http://schemas.microsoft.com/office/drawing/2014/main" id="{00000000-0008-0000-0F00-0000F0000000}"/>
                                </a:ext>
                              </a:extLst>
                            </xdr:cNvPr>
                            <xdr:cNvSpPr/>
                          </xdr:nvSpPr>
                          <xdr:spPr>
                            <a:xfrm>
                              <a:off x="5354164" y="1588940"/>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41" name="ZoneTexte 122">
                              <a:extLst>
                                <a:ext uri="{FF2B5EF4-FFF2-40B4-BE49-F238E27FC236}">
                                  <a16:creationId xmlns:a16="http://schemas.microsoft.com/office/drawing/2014/main" id="{00000000-0008-0000-0F00-0000F1000000}"/>
                                </a:ext>
                              </a:extLst>
                            </xdr:cNvPr>
                            <xdr:cNvSpPr txBox="1"/>
                          </xdr:nvSpPr>
                          <xdr:spPr>
                            <a:xfrm>
                              <a:off x="4956572" y="96649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sp macro="" textlink="">
                          <xdr:nvSpPr>
                            <xdr:cNvPr id="242" name="ZoneTexte 123">
                              <a:extLst>
                                <a:ext uri="{FF2B5EF4-FFF2-40B4-BE49-F238E27FC236}">
                                  <a16:creationId xmlns:a16="http://schemas.microsoft.com/office/drawing/2014/main" id="{00000000-0008-0000-0F00-0000F2000000}"/>
                                </a:ext>
                              </a:extLst>
                            </xdr:cNvPr>
                            <xdr:cNvSpPr txBox="1"/>
                          </xdr:nvSpPr>
                          <xdr:spPr>
                            <a:xfrm>
                              <a:off x="5997595"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3" name="ZoneTexte 124">
                              <a:extLst>
                                <a:ext uri="{FF2B5EF4-FFF2-40B4-BE49-F238E27FC236}">
                                  <a16:creationId xmlns:a16="http://schemas.microsoft.com/office/drawing/2014/main" id="{00000000-0008-0000-0F00-0000F3000000}"/>
                                </a:ext>
                              </a:extLst>
                            </xdr:cNvPr>
                            <xdr:cNvSpPr txBox="1"/>
                          </xdr:nvSpPr>
                          <xdr:spPr>
                            <a:xfrm>
                              <a:off x="7871743" y="992998"/>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4" name="ZoneTexte 125">
                              <a:extLst>
                                <a:ext uri="{FF2B5EF4-FFF2-40B4-BE49-F238E27FC236}">
                                  <a16:creationId xmlns:a16="http://schemas.microsoft.com/office/drawing/2014/main" id="{00000000-0008-0000-0F00-0000F4000000}"/>
                                </a:ext>
                              </a:extLst>
                            </xdr:cNvPr>
                            <xdr:cNvSpPr txBox="1"/>
                          </xdr:nvSpPr>
                          <xdr:spPr>
                            <a:xfrm>
                              <a:off x="9795902" y="97685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110</a:t>
                              </a:r>
                            </a:p>
                          </xdr:txBody>
                        </xdr:sp>
                        <xdr:sp macro="" textlink="">
                          <xdr:nvSpPr>
                            <xdr:cNvPr id="245" name="ZoneTexte 126">
                              <a:extLst>
                                <a:ext uri="{FF2B5EF4-FFF2-40B4-BE49-F238E27FC236}">
                                  <a16:creationId xmlns:a16="http://schemas.microsoft.com/office/drawing/2014/main" id="{00000000-0008-0000-0F00-0000F5000000}"/>
                                </a:ext>
                              </a:extLst>
                            </xdr:cNvPr>
                            <xdr:cNvSpPr txBox="1"/>
                          </xdr:nvSpPr>
                          <xdr:spPr>
                            <a:xfrm>
                              <a:off x="11011155" y="973911"/>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6" name="Connecteur droit 245">
                              <a:extLst>
                                <a:ext uri="{FF2B5EF4-FFF2-40B4-BE49-F238E27FC236}">
                                  <a16:creationId xmlns:a16="http://schemas.microsoft.com/office/drawing/2014/main" id="{00000000-0008-0000-0F00-0000F6000000}"/>
                                </a:ext>
                              </a:extLst>
                            </xdr:cNvPr>
                            <xdr:cNvCxnSpPr>
                              <a:cxnSpLocks/>
                              <a:stCxn id="260" idx="2"/>
                            </xdr:cNvCxnSpPr>
                          </xdr:nvCxnSpPr>
                          <xdr:spPr>
                            <a:xfrm flipV="1">
                              <a:off x="8127526" y="1281291"/>
                              <a:ext cx="5106" cy="4129031"/>
                            </a:xfrm>
                            <a:prstGeom prst="line">
                              <a:avLst/>
                            </a:prstGeom>
                            <a:ln w="1270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247" name="ZoneTexte 128">
                              <a:extLst>
                                <a:ext uri="{FF2B5EF4-FFF2-40B4-BE49-F238E27FC236}">
                                  <a16:creationId xmlns:a16="http://schemas.microsoft.com/office/drawing/2014/main" id="{00000000-0008-0000-0F00-0000F7000000}"/>
                                </a:ext>
                              </a:extLst>
                            </xdr:cNvPr>
                            <xdr:cNvSpPr txBox="1"/>
                          </xdr:nvSpPr>
                          <xdr:spPr>
                            <a:xfrm>
                              <a:off x="3974035" y="2699475"/>
                              <a:ext cx="850900" cy="646331"/>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i="1"/>
                                <a:t>Entrée sas </a:t>
                              </a:r>
                            </a:p>
                          </xdr:txBody>
                        </xdr:sp>
                        <xdr:sp macro="" textlink="">
                          <xdr:nvSpPr>
                            <xdr:cNvPr id="248" name="ZoneTexte 129">
                              <a:extLst>
                                <a:ext uri="{FF2B5EF4-FFF2-40B4-BE49-F238E27FC236}">
                                  <a16:creationId xmlns:a16="http://schemas.microsoft.com/office/drawing/2014/main" id="{00000000-0008-0000-0F00-0000F8000000}"/>
                                </a:ext>
                              </a:extLst>
                            </xdr:cNvPr>
                            <xdr:cNvSpPr txBox="1"/>
                          </xdr:nvSpPr>
                          <xdr:spPr>
                            <a:xfrm>
                              <a:off x="11272044" y="1226465"/>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49" name="Connecteur droit 248">
                              <a:extLst>
                                <a:ext uri="{FF2B5EF4-FFF2-40B4-BE49-F238E27FC236}">
                                  <a16:creationId xmlns:a16="http://schemas.microsoft.com/office/drawing/2014/main" id="{00000000-0008-0000-0F00-0000F9000000}"/>
                                </a:ext>
                              </a:extLst>
                            </xdr:cNvPr>
                            <xdr:cNvCxnSpPr/>
                          </xdr:nvCxnSpPr>
                          <xdr:spPr>
                            <a:xfrm flipH="1">
                              <a:off x="11196167" y="1583242"/>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sp macro="" textlink="">
                          <xdr:nvSpPr>
                            <xdr:cNvPr id="250" name="Ellipse 249">
                              <a:extLst>
                                <a:ext uri="{FF2B5EF4-FFF2-40B4-BE49-F238E27FC236}">
                                  <a16:creationId xmlns:a16="http://schemas.microsoft.com/office/drawing/2014/main" id="{00000000-0008-0000-0F00-0000FA000000}"/>
                                </a:ext>
                              </a:extLst>
                            </xdr:cNvPr>
                            <xdr:cNvSpPr/>
                          </xdr:nvSpPr>
                          <xdr:spPr>
                            <a:xfrm>
                              <a:off x="10833030" y="1584899"/>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nvGrpSpPr>
                            <xdr:cNvPr id="251" name="Groupe 250">
                              <a:extLst>
                                <a:ext uri="{FF2B5EF4-FFF2-40B4-BE49-F238E27FC236}">
                                  <a16:creationId xmlns:a16="http://schemas.microsoft.com/office/drawing/2014/main" id="{00000000-0008-0000-0F00-0000FB000000}"/>
                                </a:ext>
                              </a:extLst>
                            </xdr:cNvPr>
                            <xdr:cNvGrpSpPr/>
                          </xdr:nvGrpSpPr>
                          <xdr:grpSpPr>
                            <a:xfrm>
                              <a:off x="9023280" y="1584899"/>
                              <a:ext cx="165827" cy="126059"/>
                              <a:chOff x="3146989" y="1579602"/>
                              <a:chExt cx="165827" cy="126059"/>
                            </a:xfrm>
                          </xdr:grpSpPr>
                          <xdr:sp macro="" textlink="">
                            <xdr:nvSpPr>
                              <xdr:cNvPr id="258" name="Ellipse 257">
                                <a:extLst>
                                  <a:ext uri="{FF2B5EF4-FFF2-40B4-BE49-F238E27FC236}">
                                    <a16:creationId xmlns:a16="http://schemas.microsoft.com/office/drawing/2014/main" id="{00000000-0008-0000-0F00-000002010000}"/>
                                  </a:ext>
                                </a:extLst>
                              </xdr:cNvPr>
                              <xdr:cNvSpPr/>
                            </xdr:nvSpPr>
                            <xdr:spPr>
                              <a:xfrm>
                                <a:off x="3203232" y="1621841"/>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9" name="Ellipse 258">
                                <a:extLst>
                                  <a:ext uri="{FF2B5EF4-FFF2-40B4-BE49-F238E27FC236}">
                                    <a16:creationId xmlns:a16="http://schemas.microsoft.com/office/drawing/2014/main" id="{00000000-0008-0000-0F00-000003010000}"/>
                                  </a:ext>
                                </a:extLst>
                              </xdr:cNvPr>
                              <xdr:cNvSpPr/>
                            </xdr:nvSpPr>
                            <xdr:spPr>
                              <a:xfrm>
                                <a:off x="3146989" y="1579602"/>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
                          <xdr:nvSpPr>
                            <xdr:cNvPr id="252" name="Ellipse 251">
                              <a:extLst>
                                <a:ext uri="{FF2B5EF4-FFF2-40B4-BE49-F238E27FC236}">
                                  <a16:creationId xmlns:a16="http://schemas.microsoft.com/office/drawing/2014/main" id="{00000000-0008-0000-0F00-0000FC000000}"/>
                                </a:ext>
                              </a:extLst>
                            </xdr:cNvPr>
                            <xdr:cNvSpPr/>
                          </xdr:nvSpPr>
                          <xdr:spPr>
                            <a:xfrm>
                              <a:off x="7166073" y="1642583"/>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3" name="Ellipse 252">
                              <a:extLst>
                                <a:ext uri="{FF2B5EF4-FFF2-40B4-BE49-F238E27FC236}">
                                  <a16:creationId xmlns:a16="http://schemas.microsoft.com/office/drawing/2014/main" id="{00000000-0008-0000-0F00-0000FD000000}"/>
                                </a:ext>
                              </a:extLst>
                            </xdr:cNvPr>
                            <xdr:cNvSpPr/>
                          </xdr:nvSpPr>
                          <xdr:spPr>
                            <a:xfrm>
                              <a:off x="3725512" y="5408498"/>
                              <a:ext cx="109584" cy="8382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4" name="Ellipse 253">
                              <a:extLst>
                                <a:ext uri="{FF2B5EF4-FFF2-40B4-BE49-F238E27FC236}">
                                  <a16:creationId xmlns:a16="http://schemas.microsoft.com/office/drawing/2014/main" id="{00000000-0008-0000-0F00-0000FE000000}"/>
                                </a:ext>
                              </a:extLst>
                            </xdr:cNvPr>
                            <xdr:cNvSpPr/>
                          </xdr:nvSpPr>
                          <xdr:spPr>
                            <a:xfrm>
                              <a:off x="3725512" y="5808548"/>
                              <a:ext cx="109584" cy="838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5" name="Ellipse 254">
                              <a:extLst>
                                <a:ext uri="{FF2B5EF4-FFF2-40B4-BE49-F238E27FC236}">
                                  <a16:creationId xmlns:a16="http://schemas.microsoft.com/office/drawing/2014/main" id="{00000000-0008-0000-0F00-0000FF000000}"/>
                                </a:ext>
                              </a:extLst>
                            </xdr:cNvPr>
                            <xdr:cNvSpPr/>
                          </xdr:nvSpPr>
                          <xdr:spPr>
                            <a:xfrm>
                              <a:off x="3730553" y="6292418"/>
                              <a:ext cx="109584" cy="83820"/>
                            </a:xfrm>
                            <a:prstGeom prst="ellipse">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
                          <xdr:nvSpPr>
                            <xdr:cNvPr id="256" name="ZoneTexte 138">
                              <a:extLst>
                                <a:ext uri="{FF2B5EF4-FFF2-40B4-BE49-F238E27FC236}">
                                  <a16:creationId xmlns:a16="http://schemas.microsoft.com/office/drawing/2014/main" id="{00000000-0008-0000-0F00-000000010000}"/>
                                </a:ext>
                              </a:extLst>
                            </xdr:cNvPr>
                            <xdr:cNvSpPr txBox="1"/>
                          </xdr:nvSpPr>
                          <xdr:spPr>
                            <a:xfrm>
                              <a:off x="4681273" y="1200530"/>
                              <a:ext cx="600943" cy="276999"/>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sz="1200"/>
                                <a:t>50</a:t>
                              </a:r>
                            </a:p>
                          </xdr:txBody>
                        </xdr:sp>
                        <xdr:cxnSp macro="">
                          <xdr:nvCxnSpPr>
                            <xdr:cNvPr id="257" name="Connecteur droit 256">
                              <a:extLst>
                                <a:ext uri="{FF2B5EF4-FFF2-40B4-BE49-F238E27FC236}">
                                  <a16:creationId xmlns:a16="http://schemas.microsoft.com/office/drawing/2014/main" id="{00000000-0008-0000-0F00-000001010000}"/>
                                </a:ext>
                              </a:extLst>
                            </xdr:cNvPr>
                            <xdr:cNvCxnSpPr/>
                          </xdr:nvCxnSpPr>
                          <xdr:spPr>
                            <a:xfrm flipH="1">
                              <a:off x="4905644" y="1502715"/>
                              <a:ext cx="192228" cy="0"/>
                            </a:xfrm>
                            <a:prstGeom prst="line">
                              <a:avLst/>
                            </a:prstGeom>
                            <a:ln w="38100"/>
                          </xdr:spPr>
                          <xdr:style>
                            <a:lnRef idx="1">
                              <a:schemeClr val="accent1"/>
                            </a:lnRef>
                            <a:fillRef idx="0">
                              <a:schemeClr val="accent1"/>
                            </a:fillRef>
                            <a:effectRef idx="0">
                              <a:schemeClr val="accent1"/>
                            </a:effectRef>
                            <a:fontRef idx="minor">
                              <a:schemeClr val="tx1"/>
                            </a:fontRef>
                          </xdr:style>
                        </xdr:cxnSp>
                      </xdr:grpSp>
                    </xdr:grpSp>
                    <xdr:sp macro="" textlink="">
                      <xdr:nvSpPr>
                        <xdr:cNvPr id="227" name="ZoneTexte 149">
                          <a:extLst>
                            <a:ext uri="{FF2B5EF4-FFF2-40B4-BE49-F238E27FC236}">
                              <a16:creationId xmlns:a16="http://schemas.microsoft.com/office/drawing/2014/main" id="{00000000-0008-0000-0F00-0000E3000000}"/>
                            </a:ext>
                          </a:extLst>
                        </xdr:cNvPr>
                        <xdr:cNvSpPr txBox="1"/>
                      </xdr:nvSpPr>
                      <xdr:spPr>
                        <a:xfrm>
                          <a:off x="3835096" y="5246672"/>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40cm</a:t>
                          </a:r>
                        </a:p>
                      </xdr:txBody>
                    </xdr:sp>
                    <xdr:sp macro="" textlink="">
                      <xdr:nvSpPr>
                        <xdr:cNvPr id="228" name="ZoneTexte 150">
                          <a:extLst>
                            <a:ext uri="{FF2B5EF4-FFF2-40B4-BE49-F238E27FC236}">
                              <a16:creationId xmlns:a16="http://schemas.microsoft.com/office/drawing/2014/main" id="{00000000-0008-0000-0F00-0000E4000000}"/>
                            </a:ext>
                          </a:extLst>
                        </xdr:cNvPr>
                        <xdr:cNvSpPr txBox="1"/>
                      </xdr:nvSpPr>
                      <xdr:spPr>
                        <a:xfrm>
                          <a:off x="3835096" y="5690599"/>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200cm</a:t>
                          </a:r>
                        </a:p>
                      </xdr:txBody>
                    </xdr:sp>
                    <xdr:sp macro="" textlink="">
                      <xdr:nvSpPr>
                        <xdr:cNvPr id="229" name="ZoneTexte 151">
                          <a:extLst>
                            <a:ext uri="{FF2B5EF4-FFF2-40B4-BE49-F238E27FC236}">
                              <a16:creationId xmlns:a16="http://schemas.microsoft.com/office/drawing/2014/main" id="{00000000-0008-0000-0F00-0000E5000000}"/>
                            </a:ext>
                          </a:extLst>
                        </xdr:cNvPr>
                        <xdr:cNvSpPr txBox="1"/>
                      </xdr:nvSpPr>
                      <xdr:spPr>
                        <a:xfrm>
                          <a:off x="3835096" y="6114816"/>
                          <a:ext cx="855274"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130cm</a:t>
                          </a:r>
                        </a:p>
                      </xdr:txBody>
                    </xdr:sp>
                  </xdr:grpSp>
                  <xdr:sp macro="" textlink="">
                    <xdr:nvSpPr>
                      <xdr:cNvPr id="225" name="ZoneTexte 152">
                        <a:extLst>
                          <a:ext uri="{FF2B5EF4-FFF2-40B4-BE49-F238E27FC236}">
                            <a16:creationId xmlns:a16="http://schemas.microsoft.com/office/drawing/2014/main" id="{00000000-0008-0000-0F00-0000E1000000}"/>
                          </a:ext>
                        </a:extLst>
                      </xdr:cNvPr>
                      <xdr:cNvSpPr txBox="1"/>
                    </xdr:nvSpPr>
                    <xdr:spPr>
                      <a:xfrm>
                        <a:off x="5188876" y="5938369"/>
                        <a:ext cx="5397788" cy="369332"/>
                      </a:xfrm>
                      <a:prstGeom prst="rect">
                        <a:avLst/>
                      </a:prstGeom>
                      <a:noFill/>
                    </xdr:spPr>
                    <xdr:txBody>
                      <a:bodyPr wrap="square" rtlCol="0">
                        <a:sp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fr-FR"/>
                          <a:t>Thermocouple de régulation</a:t>
                        </a:r>
                      </a:p>
                    </xdr:txBody>
                  </xdr:sp>
                </xdr:grpSp>
                <xdr:sp macro="" textlink="">
                  <xdr:nvSpPr>
                    <xdr:cNvPr id="223" name="Étoile à 5 branches 158">
                      <a:extLst>
                        <a:ext uri="{FF2B5EF4-FFF2-40B4-BE49-F238E27FC236}">
                          <a16:creationId xmlns:a16="http://schemas.microsoft.com/office/drawing/2014/main" id="{00000000-0008-0000-0F00-0000DF000000}"/>
                        </a:ext>
                      </a:extLst>
                    </xdr:cNvPr>
                    <xdr:cNvSpPr/>
                  </xdr:nvSpPr>
                  <xdr:spPr>
                    <a:xfrm>
                      <a:off x="5049826" y="603441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sp macro="" textlink="$A$24">
                <xdr:nvSpPr>
                  <xdr:cNvPr id="211" name="Organigramme : Connecteur 210">
                    <a:extLst>
                      <a:ext uri="{FF2B5EF4-FFF2-40B4-BE49-F238E27FC236}">
                        <a16:creationId xmlns:a16="http://schemas.microsoft.com/office/drawing/2014/main" id="{00000000-0008-0000-0F00-0000D3000000}"/>
                      </a:ext>
                    </a:extLst>
                  </xdr:cNvPr>
                  <xdr:cNvSpPr/>
                </xdr:nvSpPr>
                <xdr:spPr>
                  <a:xfrm>
                    <a:off x="15284824" y="3518647"/>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288A1A5-1039-4B71-889E-B822C70982DB}" type="TxLink">
                      <a:rPr lang="en-US" sz="1100" b="0" i="0" u="none" strike="noStrike">
                        <a:solidFill>
                          <a:srgbClr val="000000"/>
                        </a:solidFill>
                        <a:latin typeface="Calibri"/>
                        <a:cs typeface="Calibri"/>
                      </a:rPr>
                      <a:pPr algn="ctr"/>
                      <a:t> </a:t>
                    </a:fld>
                    <a:endParaRPr lang="fr-FR" sz="1100"/>
                  </a:p>
                </xdr:txBody>
              </xdr:sp>
              <xdr:sp macro="" textlink="$A$35">
                <xdr:nvSpPr>
                  <xdr:cNvPr id="212" name="Organigramme : Connecteur 211">
                    <a:extLst>
                      <a:ext uri="{FF2B5EF4-FFF2-40B4-BE49-F238E27FC236}">
                        <a16:creationId xmlns:a16="http://schemas.microsoft.com/office/drawing/2014/main" id="{00000000-0008-0000-0F00-0000D4000000}"/>
                      </a:ext>
                    </a:extLst>
                  </xdr:cNvPr>
                  <xdr:cNvSpPr/>
                </xdr:nvSpPr>
                <xdr:spPr>
                  <a:xfrm>
                    <a:off x="13469471" y="68580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5AB0FA5-5CF7-4536-B81F-DB8FE3AC4FF3}" type="TxLink">
                      <a:rPr lang="en-US" sz="1100" b="0" i="0" u="none" strike="noStrike">
                        <a:solidFill>
                          <a:srgbClr val="000000"/>
                        </a:solidFill>
                        <a:latin typeface="Calibri"/>
                        <a:cs typeface="Calibri"/>
                      </a:rPr>
                      <a:pPr algn="ctr"/>
                      <a:t> </a:t>
                    </a:fld>
                    <a:endParaRPr lang="fr-FR" sz="1100"/>
                  </a:p>
                </xdr:txBody>
              </xdr:sp>
              <xdr:sp macro="" textlink="$A$33">
                <xdr:nvSpPr>
                  <xdr:cNvPr id="213" name="Organigramme : Connecteur 212">
                    <a:extLst>
                      <a:ext uri="{FF2B5EF4-FFF2-40B4-BE49-F238E27FC236}">
                        <a16:creationId xmlns:a16="http://schemas.microsoft.com/office/drawing/2014/main" id="{00000000-0008-0000-0F00-0000D5000000}"/>
                      </a:ext>
                    </a:extLst>
                  </xdr:cNvPr>
                  <xdr:cNvSpPr/>
                </xdr:nvSpPr>
                <xdr:spPr>
                  <a:xfrm>
                    <a:off x="15251206" y="680197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2EA777-4CD9-4CC8-B620-DFBD9632012D}" type="TxLink">
                      <a:rPr lang="en-US" sz="1100" b="0" i="0" u="none" strike="noStrike">
                        <a:solidFill>
                          <a:srgbClr val="000000"/>
                        </a:solidFill>
                        <a:latin typeface="Calibri"/>
                        <a:cs typeface="Calibri"/>
                      </a:rPr>
                      <a:pPr algn="ctr"/>
                      <a:t> </a:t>
                    </a:fld>
                    <a:endParaRPr lang="fr-FR" sz="1100"/>
                  </a:p>
                </xdr:txBody>
              </xdr:sp>
              <xdr:sp macro="" textlink="$A$32">
                <xdr:nvSpPr>
                  <xdr:cNvPr id="214" name="Organigramme : Connecteur 213">
                    <a:extLst>
                      <a:ext uri="{FF2B5EF4-FFF2-40B4-BE49-F238E27FC236}">
                        <a16:creationId xmlns:a16="http://schemas.microsoft.com/office/drawing/2014/main" id="{00000000-0008-0000-0F00-0000D6000000}"/>
                      </a:ext>
                    </a:extLst>
                  </xdr:cNvPr>
                  <xdr:cNvSpPr/>
                </xdr:nvSpPr>
                <xdr:spPr>
                  <a:xfrm>
                    <a:off x="17178618" y="6902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B0F734D-01A6-4431-BE62-5EB3BB58EA8C}" type="TxLink">
                      <a:rPr lang="en-US" sz="1100" b="0" i="0" u="none" strike="noStrike">
                        <a:solidFill>
                          <a:srgbClr val="000000"/>
                        </a:solidFill>
                        <a:latin typeface="Calibri"/>
                        <a:cs typeface="Calibri"/>
                      </a:rPr>
                      <a:pPr algn="ctr"/>
                      <a:t> </a:t>
                    </a:fld>
                    <a:endParaRPr lang="fr-FR" sz="1100"/>
                  </a:p>
                </xdr:txBody>
              </xdr:sp>
              <xdr:sp macro="" textlink="$A$30">
                <xdr:nvSpPr>
                  <xdr:cNvPr id="215" name="Organigramme : Connecteur 214">
                    <a:extLst>
                      <a:ext uri="{FF2B5EF4-FFF2-40B4-BE49-F238E27FC236}">
                        <a16:creationId xmlns:a16="http://schemas.microsoft.com/office/drawing/2014/main" id="{00000000-0008-0000-0F00-0000D7000000}"/>
                      </a:ext>
                    </a:extLst>
                  </xdr:cNvPr>
                  <xdr:cNvSpPr/>
                </xdr:nvSpPr>
                <xdr:spPr>
                  <a:xfrm>
                    <a:off x="18893118" y="6902824"/>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964360F-AED2-4E5C-B8C4-236CCAB99F13}" type="TxLink">
                      <a:rPr lang="en-US" sz="1100" b="0" i="0" u="none" strike="noStrike">
                        <a:solidFill>
                          <a:srgbClr val="000000"/>
                        </a:solidFill>
                        <a:latin typeface="Calibri"/>
                        <a:cs typeface="Calibri"/>
                      </a:rPr>
                      <a:pPr algn="ctr"/>
                      <a:t>Ce rapport présente les résultats et les conclusions de l’essai du contrôle d’homogénéité thermique de l’étuve de polymérisation de peinture Omia sur le site de La Voulte.
Les résultats de la SAT sont également formalisés dans ce rapport (contrôle de déri</a:t>
                    </a:fld>
                    <a:endParaRPr lang="fr-FR" sz="1100"/>
                  </a:p>
                </xdr:txBody>
              </xdr:sp>
              <xdr:sp macro="" textlink="$A$31">
                <xdr:nvSpPr>
                  <xdr:cNvPr id="216" name="Organigramme : Connecteur 215">
                    <a:extLst>
                      <a:ext uri="{FF2B5EF4-FFF2-40B4-BE49-F238E27FC236}">
                        <a16:creationId xmlns:a16="http://schemas.microsoft.com/office/drawing/2014/main" id="{00000000-0008-0000-0F00-0000D8000000}"/>
                      </a:ext>
                    </a:extLst>
                  </xdr:cNvPr>
                  <xdr:cNvSpPr/>
                </xdr:nvSpPr>
                <xdr:spPr>
                  <a:xfrm>
                    <a:off x="19251706" y="7126941"/>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ABB3A99-1F19-44BD-84C5-BB26CBF11D94}" type="TxLink">
                      <a:rPr lang="en-US" sz="1100" b="0" i="0" u="none" strike="noStrike">
                        <a:solidFill>
                          <a:srgbClr val="000000"/>
                        </a:solidFill>
                        <a:latin typeface="Calibri"/>
                        <a:cs typeface="Calibri"/>
                      </a:rPr>
                      <a:pPr algn="ctr"/>
                      <a:t> </a:t>
                    </a:fld>
                    <a:endParaRPr lang="fr-FR" sz="1100"/>
                  </a:p>
                </xdr:txBody>
              </xdr:sp>
              <xdr:sp macro="" textlink="$A$29">
                <xdr:nvSpPr>
                  <xdr:cNvPr id="217" name="Organigramme : Connecteur 216">
                    <a:extLst>
                      <a:ext uri="{FF2B5EF4-FFF2-40B4-BE49-F238E27FC236}">
                        <a16:creationId xmlns:a16="http://schemas.microsoft.com/office/drawing/2014/main" id="{00000000-0008-0000-0F00-0000D9000000}"/>
                      </a:ext>
                    </a:extLst>
                  </xdr:cNvPr>
                  <xdr:cNvSpPr/>
                </xdr:nvSpPr>
                <xdr:spPr>
                  <a:xfrm>
                    <a:off x="17369118" y="539003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C11EBBB-0921-4B82-A8BF-AB6D96BE3DF5}" type="TxLink">
                      <a:rPr lang="en-US" sz="1100" b="0" i="0" u="none" strike="noStrike">
                        <a:solidFill>
                          <a:srgbClr val="000000"/>
                        </a:solidFill>
                        <a:latin typeface="Calibri"/>
                        <a:cs typeface="Calibri"/>
                      </a:rPr>
                      <a:pPr algn="ctr"/>
                      <a:t> </a:t>
                    </a:fld>
                    <a:endParaRPr lang="fr-FR" sz="1100"/>
                  </a:p>
                </xdr:txBody>
              </xdr:sp>
              <xdr:sp macro="" textlink="$A$28">
                <xdr:nvSpPr>
                  <xdr:cNvPr id="218" name="Organigramme : Connecteur 217">
                    <a:extLst>
                      <a:ext uri="{FF2B5EF4-FFF2-40B4-BE49-F238E27FC236}">
                        <a16:creationId xmlns:a16="http://schemas.microsoft.com/office/drawing/2014/main" id="{00000000-0008-0000-0F00-0000DA000000}"/>
                      </a:ext>
                    </a:extLst>
                  </xdr:cNvPr>
                  <xdr:cNvSpPr/>
                </xdr:nvSpPr>
                <xdr:spPr>
                  <a:xfrm>
                    <a:off x="18635382" y="5143500"/>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E9B59B6-CE81-43E1-A619-95FDC6992E0A}" type="TxLink">
                      <a:rPr lang="en-US" sz="1100" b="0" i="0" u="none" strike="noStrike">
                        <a:solidFill>
                          <a:srgbClr val="000000"/>
                        </a:solidFill>
                        <a:latin typeface="Calibri"/>
                        <a:cs typeface="Calibri"/>
                      </a:rPr>
                      <a:pPr algn="ctr"/>
                      <a:t>1. Objet</a:t>
                    </a:fld>
                    <a:endParaRPr lang="fr-FR" sz="1100"/>
                  </a:p>
                </xdr:txBody>
              </xdr:sp>
              <xdr:sp macro="" textlink="$A$25">
                <xdr:nvSpPr>
                  <xdr:cNvPr id="219" name="Organigramme : Connecteur 218">
                    <a:extLst>
                      <a:ext uri="{FF2B5EF4-FFF2-40B4-BE49-F238E27FC236}">
                        <a16:creationId xmlns:a16="http://schemas.microsoft.com/office/drawing/2014/main" id="{00000000-0008-0000-0F00-0000DB000000}"/>
                      </a:ext>
                    </a:extLst>
                  </xdr:cNvPr>
                  <xdr:cNvSpPr/>
                </xdr:nvSpPr>
                <xdr:spPr>
                  <a:xfrm>
                    <a:off x="17077765" y="3473823"/>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BBB066-6B56-431A-A8D0-580774F2365F}" type="TxLink">
                      <a:rPr lang="en-US" sz="1100" b="0" i="0" u="none" strike="noStrike">
                        <a:solidFill>
                          <a:srgbClr val="000000"/>
                        </a:solidFill>
                        <a:latin typeface="Calibri"/>
                        <a:cs typeface="Calibri"/>
                      </a:rPr>
                      <a:pPr algn="ctr"/>
                      <a:t> </a:t>
                    </a:fld>
                    <a:endParaRPr lang="fr-FR" sz="1100"/>
                  </a:p>
                </xdr:txBody>
              </xdr:sp>
              <xdr:sp macro="" textlink="$A$26">
                <xdr:nvSpPr>
                  <xdr:cNvPr id="220" name="Organigramme : Connecteur 219">
                    <a:extLst>
                      <a:ext uri="{FF2B5EF4-FFF2-40B4-BE49-F238E27FC236}">
                        <a16:creationId xmlns:a16="http://schemas.microsoft.com/office/drawing/2014/main" id="{00000000-0008-0000-0F00-0000DC000000}"/>
                      </a:ext>
                    </a:extLst>
                  </xdr:cNvPr>
                  <xdr:cNvSpPr/>
                </xdr:nvSpPr>
                <xdr:spPr>
                  <a:xfrm>
                    <a:off x="17402735" y="3776382"/>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4F93EAA-4F76-408A-8944-9C7A9DCC48D8}" type="TxLink">
                      <a:rPr lang="en-US" sz="1100" b="0" i="0" u="none" strike="noStrike">
                        <a:solidFill>
                          <a:srgbClr val="000000"/>
                        </a:solidFill>
                        <a:latin typeface="Calibri"/>
                        <a:cs typeface="Calibri"/>
                      </a:rPr>
                      <a:pPr algn="ctr"/>
                      <a:t> </a:t>
                    </a:fld>
                    <a:endParaRPr lang="fr-FR" sz="1100"/>
                  </a:p>
                </xdr:txBody>
              </xdr:sp>
              <xdr:sp macro="" textlink="$A$27">
                <xdr:nvSpPr>
                  <xdr:cNvPr id="221" name="Organigramme : Connecteur 220">
                    <a:extLst>
                      <a:ext uri="{FF2B5EF4-FFF2-40B4-BE49-F238E27FC236}">
                        <a16:creationId xmlns:a16="http://schemas.microsoft.com/office/drawing/2014/main" id="{00000000-0008-0000-0F00-0000DD000000}"/>
                      </a:ext>
                    </a:extLst>
                  </xdr:cNvPr>
                  <xdr:cNvSpPr/>
                </xdr:nvSpPr>
                <xdr:spPr>
                  <a:xfrm>
                    <a:off x="18949146" y="3462618"/>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99F2DFE-7CF2-445C-BC7D-B36452A8C263}" type="TxLink">
                      <a:rPr lang="en-US" sz="1100" b="0" i="0" u="none" strike="noStrike">
                        <a:solidFill>
                          <a:srgbClr val="000000"/>
                        </a:solidFill>
                        <a:latin typeface="Calibri"/>
                        <a:cs typeface="Calibri"/>
                      </a:rPr>
                      <a:pPr algn="ctr"/>
                      <a:t> </a:t>
                    </a:fld>
                    <a:endParaRPr lang="fr-FR" sz="1100"/>
                  </a:p>
                </xdr:txBody>
              </xdr:sp>
            </xdr:grpSp>
          </xdr:grpSp>
          <xdr:sp macro="" textlink="">
            <xdr:nvSpPr>
              <xdr:cNvPr id="206" name="Étoile à 5 branches 158">
                <a:extLst>
                  <a:ext uri="{FF2B5EF4-FFF2-40B4-BE49-F238E27FC236}">
                    <a16:creationId xmlns:a16="http://schemas.microsoft.com/office/drawing/2014/main" id="{00000000-0008-0000-0F00-0000CE000000}"/>
                  </a:ext>
                </a:extLst>
              </xdr:cNvPr>
              <xdr:cNvSpPr/>
            </xdr:nvSpPr>
            <xdr:spPr>
              <a:xfrm>
                <a:off x="14444383" y="7250205"/>
                <a:ext cx="175779" cy="153009"/>
              </a:xfrm>
              <a:prstGeom prst="star5">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sp macro="" textlink="$A$34">
            <xdr:nvSpPr>
              <xdr:cNvPr id="207" name="Organigramme : Connecteur 206">
                <a:extLst>
                  <a:ext uri="{FF2B5EF4-FFF2-40B4-BE49-F238E27FC236}">
                    <a16:creationId xmlns:a16="http://schemas.microsoft.com/office/drawing/2014/main" id="{00000000-0008-0000-0F00-0000CF000000}"/>
                  </a:ext>
                </a:extLst>
              </xdr:cNvPr>
              <xdr:cNvSpPr/>
            </xdr:nvSpPr>
            <xdr:spPr>
              <a:xfrm>
                <a:off x="14377147" y="6981265"/>
                <a:ext cx="268942" cy="246529"/>
              </a:xfrm>
              <a:prstGeom prst="flowChartConnector">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361A2EE-2B99-49FA-BE04-5E1DC10F641A}" type="TxLink">
                  <a:rPr lang="en-US" sz="1100" b="0" i="0" u="none" strike="noStrike">
                    <a:solidFill>
                      <a:srgbClr val="000000"/>
                    </a:solidFill>
                    <a:latin typeface="Calibri"/>
                    <a:cs typeface="Calibri"/>
                  </a:rPr>
                  <a:pPr algn="ctr"/>
                  <a:t> </a:t>
                </a:fld>
                <a:endParaRPr lang="fr-FR" sz="1100"/>
              </a:p>
            </xdr:txBody>
          </xdr:sp>
        </xdr:grpSp>
        <xdr:sp macro="" textlink="B23">
          <xdr:nvSpPr>
            <xdr:cNvPr id="28" name="Organigramme : Connecteur 27">
              <a:extLst>
                <a:ext uri="{FF2B5EF4-FFF2-40B4-BE49-F238E27FC236}">
                  <a16:creationId xmlns:a16="http://schemas.microsoft.com/office/drawing/2014/main" id="{00000000-0008-0000-0F00-00001C000000}"/>
                </a:ext>
              </a:extLst>
            </xdr:cNvPr>
            <xdr:cNvSpPr/>
          </xdr:nvSpPr>
          <xdr:spPr>
            <a:xfrm>
              <a:off x="13693589" y="3731559"/>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437C332-BA2E-48C4-8A5B-E7FF8282060F}" type="TxLink">
                <a:rPr lang="en-US" sz="1100" b="0" i="0" u="none" strike="noStrike">
                  <a:solidFill>
                    <a:srgbClr val="000000"/>
                  </a:solidFill>
                  <a:latin typeface="Calibri"/>
                  <a:cs typeface="Calibri"/>
                </a:rPr>
                <a:pPr algn="ctr"/>
                <a:t> </a:t>
              </a:fld>
              <a:endParaRPr lang="fr-FR" sz="1100"/>
            </a:p>
          </xdr:txBody>
        </xdr:sp>
        <xdr:sp macro="" textlink="B24">
          <xdr:nvSpPr>
            <xdr:cNvPr id="29" name="Organigramme : Connecteur 28">
              <a:extLst>
                <a:ext uri="{FF2B5EF4-FFF2-40B4-BE49-F238E27FC236}">
                  <a16:creationId xmlns:a16="http://schemas.microsoft.com/office/drawing/2014/main" id="{00000000-0008-0000-0F00-00001D000000}"/>
                </a:ext>
              </a:extLst>
            </xdr:cNvPr>
            <xdr:cNvSpPr/>
          </xdr:nvSpPr>
          <xdr:spPr>
            <a:xfrm>
              <a:off x="15038294" y="389964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844A3AA-65BB-42B8-9798-C07704265705}" type="TxLink">
                <a:rPr lang="en-US" sz="1100" b="0" i="0" u="none" strike="noStrike">
                  <a:solidFill>
                    <a:srgbClr val="000000"/>
                  </a:solidFill>
                  <a:latin typeface="Calibri"/>
                  <a:cs typeface="Calibri"/>
                </a:rPr>
                <a:pPr algn="ctr"/>
                <a:t> </a:t>
              </a:fld>
              <a:endParaRPr lang="fr-FR" sz="1100"/>
            </a:p>
          </xdr:txBody>
        </xdr:sp>
        <xdr:sp macro="" textlink="B25">
          <xdr:nvSpPr>
            <xdr:cNvPr id="30" name="Organigramme : Connecteur 29">
              <a:extLst>
                <a:ext uri="{FF2B5EF4-FFF2-40B4-BE49-F238E27FC236}">
                  <a16:creationId xmlns:a16="http://schemas.microsoft.com/office/drawing/2014/main" id="{00000000-0008-0000-0F00-00001E000000}"/>
                </a:ext>
              </a:extLst>
            </xdr:cNvPr>
            <xdr:cNvSpPr/>
          </xdr:nvSpPr>
          <xdr:spPr>
            <a:xfrm>
              <a:off x="16495059" y="3641912"/>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FE3314A-40D6-48DF-BAFA-549DB73EBBB3}" type="TxLink">
                <a:rPr lang="en-US" sz="1100" b="0" i="0" u="none" strike="noStrike">
                  <a:solidFill>
                    <a:srgbClr val="000000"/>
                  </a:solidFill>
                  <a:latin typeface="Calibri"/>
                  <a:cs typeface="Calibri"/>
                </a:rPr>
                <a:pPr algn="ctr"/>
                <a:t> </a:t>
              </a:fld>
              <a:endParaRPr lang="fr-FR" sz="1100"/>
            </a:p>
          </xdr:txBody>
        </xdr:sp>
        <xdr:sp macro="" textlink="B26">
          <xdr:nvSpPr>
            <xdr:cNvPr id="31" name="Organigramme : Connecteur 30">
              <a:extLst>
                <a:ext uri="{FF2B5EF4-FFF2-40B4-BE49-F238E27FC236}">
                  <a16:creationId xmlns:a16="http://schemas.microsoft.com/office/drawing/2014/main" id="{00000000-0008-0000-0F00-00001F000000}"/>
                </a:ext>
              </a:extLst>
            </xdr:cNvPr>
            <xdr:cNvSpPr/>
          </xdr:nvSpPr>
          <xdr:spPr>
            <a:xfrm>
              <a:off x="17223441" y="4045323"/>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6BE2CE7-E1D7-4BDD-9E5E-E6DDE1ED8474}" type="TxLink">
                <a:rPr lang="en-US" sz="1100" b="0" i="0" u="none" strike="noStrike">
                  <a:solidFill>
                    <a:srgbClr val="000000"/>
                  </a:solidFill>
                  <a:latin typeface="Calibri"/>
                  <a:cs typeface="Calibri"/>
                </a:rPr>
                <a:pPr algn="ctr"/>
                <a:t> </a:t>
              </a:fld>
              <a:endParaRPr lang="fr-FR" sz="1100"/>
            </a:p>
          </xdr:txBody>
        </xdr:sp>
        <xdr:sp macro="" textlink="B27">
          <xdr:nvSpPr>
            <xdr:cNvPr id="96" name="Organigramme : Connecteur 95">
              <a:extLst>
                <a:ext uri="{FF2B5EF4-FFF2-40B4-BE49-F238E27FC236}">
                  <a16:creationId xmlns:a16="http://schemas.microsoft.com/office/drawing/2014/main" id="{00000000-0008-0000-0F00-000060000000}"/>
                </a:ext>
              </a:extLst>
            </xdr:cNvPr>
            <xdr:cNvSpPr/>
          </xdr:nvSpPr>
          <xdr:spPr>
            <a:xfrm>
              <a:off x="18422470" y="36195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E20B6BC1-9A8D-4EE1-ABB3-7E21FAAA3741}" type="TxLink">
                <a:rPr lang="en-US" sz="1100" b="0" i="0" u="none" strike="noStrike">
                  <a:solidFill>
                    <a:srgbClr val="000000"/>
                  </a:solidFill>
                  <a:latin typeface="Calibri"/>
                  <a:cs typeface="Calibri"/>
                </a:rPr>
                <a:pPr algn="ctr"/>
                <a:t> </a:t>
              </a:fld>
              <a:endParaRPr lang="fr-FR" sz="1100"/>
            </a:p>
          </xdr:txBody>
        </xdr:sp>
        <xdr:sp macro="" textlink="B28">
          <xdr:nvSpPr>
            <xdr:cNvPr id="97" name="Organigramme : Connecteur 96">
              <a:extLst>
                <a:ext uri="{FF2B5EF4-FFF2-40B4-BE49-F238E27FC236}">
                  <a16:creationId xmlns:a16="http://schemas.microsoft.com/office/drawing/2014/main" id="{00000000-0008-0000-0F00-000061000000}"/>
                </a:ext>
              </a:extLst>
            </xdr:cNvPr>
            <xdr:cNvSpPr/>
          </xdr:nvSpPr>
          <xdr:spPr>
            <a:xfrm>
              <a:off x="18478500" y="55581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980FFCD-9748-426C-B9F5-1A9DFE3336D6}" type="TxLink">
                <a:rPr lang="en-US" sz="1100" b="0" i="0" u="none" strike="noStrike">
                  <a:solidFill>
                    <a:srgbClr val="000000"/>
                  </a:solidFill>
                  <a:latin typeface="Calibri"/>
                  <a:cs typeface="Calibri"/>
                </a:rPr>
                <a:pPr algn="ctr"/>
                <a:t> </a:t>
              </a:fld>
              <a:endParaRPr lang="fr-FR" sz="1100"/>
            </a:p>
          </xdr:txBody>
        </xdr:sp>
        <xdr:sp macro="" textlink="B29">
          <xdr:nvSpPr>
            <xdr:cNvPr id="98" name="Organigramme : Connecteur 97">
              <a:extLst>
                <a:ext uri="{FF2B5EF4-FFF2-40B4-BE49-F238E27FC236}">
                  <a16:creationId xmlns:a16="http://schemas.microsoft.com/office/drawing/2014/main" id="{00000000-0008-0000-0F00-000062000000}"/>
                </a:ext>
              </a:extLst>
            </xdr:cNvPr>
            <xdr:cNvSpPr/>
          </xdr:nvSpPr>
          <xdr:spPr>
            <a:xfrm>
              <a:off x="17055353" y="577103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B9E95C48-31F1-4060-AEF8-7A27D17FE4F5}" type="TxLink">
                <a:rPr lang="en-US" sz="1100" b="0" i="0" u="none" strike="noStrike">
                  <a:solidFill>
                    <a:srgbClr val="000000"/>
                  </a:solidFill>
                  <a:latin typeface="Calibri"/>
                  <a:cs typeface="Calibri"/>
                </a:rPr>
                <a:pPr algn="ctr"/>
                <a:t> </a:t>
              </a:fld>
              <a:endParaRPr lang="fr-FR" sz="1100"/>
            </a:p>
          </xdr:txBody>
        </xdr:sp>
        <xdr:sp macro="" textlink="B30">
          <xdr:nvSpPr>
            <xdr:cNvPr id="99" name="Organigramme : Connecteur 98">
              <a:extLst>
                <a:ext uri="{FF2B5EF4-FFF2-40B4-BE49-F238E27FC236}">
                  <a16:creationId xmlns:a16="http://schemas.microsoft.com/office/drawing/2014/main" id="{00000000-0008-0000-0F00-000063000000}"/>
                </a:ext>
              </a:extLst>
            </xdr:cNvPr>
            <xdr:cNvSpPr/>
          </xdr:nvSpPr>
          <xdr:spPr>
            <a:xfrm>
              <a:off x="18299206" y="6925235"/>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21BFDE8-90FA-4246-9375-6874F37F3ABE}" type="TxLink">
                <a:rPr lang="en-US" sz="1100" b="0" i="0" u="none" strike="noStrike">
                  <a:solidFill>
                    <a:srgbClr val="000000"/>
                  </a:solidFill>
                  <a:latin typeface="Calibri"/>
                  <a:cs typeface="Calibri"/>
                </a:rPr>
                <a:pPr algn="ctr"/>
                <a:t> </a:t>
              </a:fld>
              <a:endParaRPr lang="fr-FR" sz="1100"/>
            </a:p>
          </xdr:txBody>
        </xdr:sp>
        <xdr:sp macro="" textlink="B31">
          <xdr:nvSpPr>
            <xdr:cNvPr id="100" name="Organigramme : Connecteur 99">
              <a:extLst>
                <a:ext uri="{FF2B5EF4-FFF2-40B4-BE49-F238E27FC236}">
                  <a16:creationId xmlns:a16="http://schemas.microsoft.com/office/drawing/2014/main" id="{00000000-0008-0000-0F00-000064000000}"/>
                </a:ext>
              </a:extLst>
            </xdr:cNvPr>
            <xdr:cNvSpPr/>
          </xdr:nvSpPr>
          <xdr:spPr>
            <a:xfrm>
              <a:off x="18725031" y="735105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F6771A49-85D3-41F3-BA61-166F3358E9AB}" type="TxLink">
                <a:rPr lang="en-US" sz="1100" b="0" i="0" u="none" strike="noStrike">
                  <a:solidFill>
                    <a:srgbClr val="000000"/>
                  </a:solidFill>
                  <a:latin typeface="Calibri"/>
                  <a:cs typeface="Calibri"/>
                </a:rPr>
                <a:pPr algn="ctr"/>
                <a:t> </a:t>
              </a:fld>
              <a:endParaRPr lang="fr-FR" sz="1100"/>
            </a:p>
          </xdr:txBody>
        </xdr:sp>
        <xdr:sp macro="" textlink="B32">
          <xdr:nvSpPr>
            <xdr:cNvPr id="101" name="Organigramme : Connecteur 100">
              <a:extLst>
                <a:ext uri="{FF2B5EF4-FFF2-40B4-BE49-F238E27FC236}">
                  <a16:creationId xmlns:a16="http://schemas.microsoft.com/office/drawing/2014/main" id="{00000000-0008-0000-0F00-000065000000}"/>
                </a:ext>
              </a:extLst>
            </xdr:cNvPr>
            <xdr:cNvSpPr/>
          </xdr:nvSpPr>
          <xdr:spPr>
            <a:xfrm>
              <a:off x="16842441" y="7272617"/>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A40F35F-CD4B-47B5-938D-9F90A7F44ADA}" type="TxLink">
                <a:rPr lang="en-US" sz="1100" b="0" i="0" u="none" strike="noStrike">
                  <a:solidFill>
                    <a:srgbClr val="000000"/>
                  </a:solidFill>
                  <a:latin typeface="Calibri"/>
                  <a:cs typeface="Calibri"/>
                </a:rPr>
                <a:pPr algn="ctr"/>
                <a:t> </a:t>
              </a:fld>
              <a:endParaRPr lang="fr-FR" sz="1100"/>
            </a:p>
          </xdr:txBody>
        </xdr:sp>
        <xdr:sp macro="" textlink="B33">
          <xdr:nvSpPr>
            <xdr:cNvPr id="102" name="Organigramme : Connecteur 101">
              <a:extLst>
                <a:ext uri="{FF2B5EF4-FFF2-40B4-BE49-F238E27FC236}">
                  <a16:creationId xmlns:a16="http://schemas.microsoft.com/office/drawing/2014/main" id="{00000000-0008-0000-0F00-000066000000}"/>
                </a:ext>
              </a:extLst>
            </xdr:cNvPr>
            <xdr:cNvSpPr/>
          </xdr:nvSpPr>
          <xdr:spPr>
            <a:xfrm>
              <a:off x="15083118" y="7272618"/>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1194EA0A-7DF4-4C26-B96C-3167F8CF7252}" type="TxLink">
                <a:rPr lang="en-US" sz="1100" b="0" i="0" u="none" strike="noStrike">
                  <a:solidFill>
                    <a:srgbClr val="000000"/>
                  </a:solidFill>
                  <a:latin typeface="Calibri"/>
                  <a:cs typeface="Calibri"/>
                </a:rPr>
                <a:pPr algn="ctr"/>
                <a:t> </a:t>
              </a:fld>
              <a:endParaRPr lang="fr-FR" sz="1100"/>
            </a:p>
          </xdr:txBody>
        </xdr:sp>
        <xdr:sp macro="" textlink="B34">
          <xdr:nvSpPr>
            <xdr:cNvPr id="203" name="Organigramme : Connecteur 202">
              <a:extLst>
                <a:ext uri="{FF2B5EF4-FFF2-40B4-BE49-F238E27FC236}">
                  <a16:creationId xmlns:a16="http://schemas.microsoft.com/office/drawing/2014/main" id="{00000000-0008-0000-0F00-0000CB000000}"/>
                </a:ext>
              </a:extLst>
            </xdr:cNvPr>
            <xdr:cNvSpPr/>
          </xdr:nvSpPr>
          <xdr:spPr>
            <a:xfrm>
              <a:off x="13951325" y="7384676"/>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66B87E-0F12-4377-8624-254081015152}" type="TxLink">
                <a:rPr lang="en-US" sz="1100" b="0" i="0" u="none" strike="noStrike">
                  <a:solidFill>
                    <a:srgbClr val="000000"/>
                  </a:solidFill>
                  <a:latin typeface="Calibri"/>
                  <a:cs typeface="Calibri"/>
                </a:rPr>
                <a:pPr algn="ctr"/>
                <a:t> </a:t>
              </a:fld>
              <a:endParaRPr lang="fr-FR" sz="1100"/>
            </a:p>
          </xdr:txBody>
        </xdr:sp>
        <xdr:sp macro="" textlink="B35">
          <xdr:nvSpPr>
            <xdr:cNvPr id="204" name="Organigramme : Connecteur 203">
              <a:extLst>
                <a:ext uri="{FF2B5EF4-FFF2-40B4-BE49-F238E27FC236}">
                  <a16:creationId xmlns:a16="http://schemas.microsoft.com/office/drawing/2014/main" id="{00000000-0008-0000-0F00-0000CC000000}"/>
                </a:ext>
              </a:extLst>
            </xdr:cNvPr>
            <xdr:cNvSpPr/>
          </xdr:nvSpPr>
          <xdr:spPr>
            <a:xfrm>
              <a:off x="13133294" y="7239000"/>
              <a:ext cx="268942" cy="246529"/>
            </a:xfrm>
            <a:prstGeom prst="flowChartConnector">
              <a:avLst/>
            </a:prstGeom>
            <a:solidFill>
              <a:schemeClr val="accent6">
                <a:lumMod val="75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DD020D7-142B-4817-8707-BA2E6423B523}" type="TxLink">
                <a:rPr lang="en-US" sz="1100" b="0" i="0" u="none" strike="noStrike">
                  <a:solidFill>
                    <a:srgbClr val="000000"/>
                  </a:solidFill>
                  <a:latin typeface="Calibri"/>
                  <a:cs typeface="Calibri"/>
                </a:rPr>
                <a:pPr algn="ctr"/>
                <a:t> </a:t>
              </a:fld>
              <a:endParaRPr lang="fr-FR" sz="1100"/>
            </a:p>
          </xdr:txBody>
        </xdr:sp>
      </xdr:grpSp>
      <xdr:sp macro="" textlink="C23">
        <xdr:nvSpPr>
          <xdr:cNvPr id="14" name="Organigramme : Connecteur 13">
            <a:extLst>
              <a:ext uri="{FF2B5EF4-FFF2-40B4-BE49-F238E27FC236}">
                <a16:creationId xmlns:a16="http://schemas.microsoft.com/office/drawing/2014/main" id="{00000000-0008-0000-0F00-00000E000000}"/>
              </a:ext>
            </a:extLst>
          </xdr:cNvPr>
          <xdr:cNvSpPr/>
        </xdr:nvSpPr>
        <xdr:spPr>
          <a:xfrm>
            <a:off x="14029766" y="369794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D926A18-7F95-4346-93C9-CC648065F837}" type="TxLink">
              <a:rPr lang="en-US" sz="1100" b="0" i="0" u="none" strike="noStrike">
                <a:solidFill>
                  <a:srgbClr val="000000"/>
                </a:solidFill>
                <a:latin typeface="Calibri"/>
                <a:cs typeface="Calibri"/>
              </a:rPr>
              <a:pPr algn="ctr"/>
              <a:t> </a:t>
            </a:fld>
            <a:endParaRPr lang="fr-FR" sz="1100"/>
          </a:p>
        </xdr:txBody>
      </xdr:sp>
      <xdr:sp macro="" textlink="C24">
        <xdr:nvSpPr>
          <xdr:cNvPr id="15" name="Organigramme : Connecteur 14">
            <a:extLst>
              <a:ext uri="{FF2B5EF4-FFF2-40B4-BE49-F238E27FC236}">
                <a16:creationId xmlns:a16="http://schemas.microsoft.com/office/drawing/2014/main" id="{00000000-0008-0000-0F00-00000F000000}"/>
              </a:ext>
            </a:extLst>
          </xdr:cNvPr>
          <xdr:cNvSpPr/>
        </xdr:nvSpPr>
        <xdr:spPr>
          <a:xfrm>
            <a:off x="15385677" y="3877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79D8392-F4F7-4BB4-8402-58A6615ADA95}" type="TxLink">
              <a:rPr lang="en-US" sz="1100" b="0" i="0" u="none" strike="noStrike">
                <a:solidFill>
                  <a:srgbClr val="000000"/>
                </a:solidFill>
                <a:latin typeface="Calibri"/>
                <a:cs typeface="Calibri"/>
              </a:rPr>
              <a:pPr algn="ctr"/>
              <a:t> </a:t>
            </a:fld>
            <a:endParaRPr lang="fr-FR" sz="1100"/>
          </a:p>
        </xdr:txBody>
      </xdr:sp>
      <xdr:sp macro="" textlink="C25">
        <xdr:nvSpPr>
          <xdr:cNvPr id="16" name="Organigramme : Connecteur 15">
            <a:extLst>
              <a:ext uri="{FF2B5EF4-FFF2-40B4-BE49-F238E27FC236}">
                <a16:creationId xmlns:a16="http://schemas.microsoft.com/office/drawing/2014/main" id="{00000000-0008-0000-0F00-000010000000}"/>
              </a:ext>
            </a:extLst>
          </xdr:cNvPr>
          <xdr:cNvSpPr/>
        </xdr:nvSpPr>
        <xdr:spPr>
          <a:xfrm>
            <a:off x="16831236" y="36195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98777A48-E617-46D6-A6F1-D40A2FCE1694}" type="TxLink">
              <a:rPr lang="en-US" sz="1100" b="0" i="0" u="none" strike="noStrike">
                <a:solidFill>
                  <a:srgbClr val="000000"/>
                </a:solidFill>
                <a:latin typeface="Calibri"/>
                <a:cs typeface="Calibri"/>
              </a:rPr>
              <a:pPr algn="ctr"/>
              <a:t> </a:t>
            </a:fld>
            <a:endParaRPr lang="fr-FR" sz="1100"/>
          </a:p>
        </xdr:txBody>
      </xdr:sp>
      <xdr:sp macro="" textlink="C26">
        <xdr:nvSpPr>
          <xdr:cNvPr id="17" name="Organigramme : Connecteur 16">
            <a:extLst>
              <a:ext uri="{FF2B5EF4-FFF2-40B4-BE49-F238E27FC236}">
                <a16:creationId xmlns:a16="http://schemas.microsoft.com/office/drawing/2014/main" id="{00000000-0008-0000-0F00-000011000000}"/>
              </a:ext>
            </a:extLst>
          </xdr:cNvPr>
          <xdr:cNvSpPr/>
        </xdr:nvSpPr>
        <xdr:spPr>
          <a:xfrm>
            <a:off x="17548412" y="403411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29D0BE07-F53E-466D-85B1-3700D641F1A5}" type="TxLink">
              <a:rPr lang="en-US" sz="1100" b="0" i="0" u="none" strike="noStrike">
                <a:solidFill>
                  <a:srgbClr val="000000"/>
                </a:solidFill>
                <a:latin typeface="Calibri"/>
                <a:cs typeface="Calibri"/>
              </a:rPr>
              <a:pPr algn="ctr"/>
              <a:t> </a:t>
            </a:fld>
            <a:endParaRPr lang="fr-FR" sz="1100"/>
          </a:p>
        </xdr:txBody>
      </xdr:sp>
      <xdr:sp macro="" textlink="C27">
        <xdr:nvSpPr>
          <xdr:cNvPr id="18" name="Organigramme : Connecteur 17">
            <a:extLst>
              <a:ext uri="{FF2B5EF4-FFF2-40B4-BE49-F238E27FC236}">
                <a16:creationId xmlns:a16="http://schemas.microsoft.com/office/drawing/2014/main" id="{00000000-0008-0000-0F00-000012000000}"/>
              </a:ext>
            </a:extLst>
          </xdr:cNvPr>
          <xdr:cNvSpPr/>
        </xdr:nvSpPr>
        <xdr:spPr>
          <a:xfrm>
            <a:off x="18758647" y="3597088"/>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B235E82-23E6-4BFB-9957-67689BC78F59}" type="TxLink">
              <a:rPr lang="en-US" sz="1100" b="0" i="0" u="none" strike="noStrike">
                <a:solidFill>
                  <a:srgbClr val="000000"/>
                </a:solidFill>
                <a:latin typeface="Calibri"/>
                <a:cs typeface="Calibri"/>
              </a:rPr>
              <a:pPr algn="ctr"/>
              <a:t> </a:t>
            </a:fld>
            <a:endParaRPr lang="fr-FR" sz="1100"/>
          </a:p>
        </xdr:txBody>
      </xdr:sp>
      <xdr:sp macro="" textlink="C29">
        <xdr:nvSpPr>
          <xdr:cNvPr id="19" name="Organigramme : Connecteur 18">
            <a:extLst>
              <a:ext uri="{FF2B5EF4-FFF2-40B4-BE49-F238E27FC236}">
                <a16:creationId xmlns:a16="http://schemas.microsoft.com/office/drawing/2014/main" id="{00000000-0008-0000-0F00-000013000000}"/>
              </a:ext>
            </a:extLst>
          </xdr:cNvPr>
          <xdr:cNvSpPr/>
        </xdr:nvSpPr>
        <xdr:spPr>
          <a:xfrm>
            <a:off x="17402735" y="5748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57DD9C3A-1E9B-4897-ACB5-5C8CF84A4D45}" type="TxLink">
              <a:rPr lang="en-US" sz="1100" b="0" i="0" u="none" strike="noStrike">
                <a:solidFill>
                  <a:srgbClr val="000000"/>
                </a:solidFill>
                <a:latin typeface="Calibri"/>
                <a:cs typeface="Calibri"/>
              </a:rPr>
              <a:pPr algn="ctr"/>
              <a:t> </a:t>
            </a:fld>
            <a:endParaRPr lang="fr-FR" sz="1100"/>
          </a:p>
        </xdr:txBody>
      </xdr:sp>
      <xdr:sp macro="" textlink="C28">
        <xdr:nvSpPr>
          <xdr:cNvPr id="20" name="Organigramme : Connecteur 19">
            <a:extLst>
              <a:ext uri="{FF2B5EF4-FFF2-40B4-BE49-F238E27FC236}">
                <a16:creationId xmlns:a16="http://schemas.microsoft.com/office/drawing/2014/main" id="{00000000-0008-0000-0F00-000014000000}"/>
              </a:ext>
            </a:extLst>
          </xdr:cNvPr>
          <xdr:cNvSpPr/>
        </xdr:nvSpPr>
        <xdr:spPr>
          <a:xfrm>
            <a:off x="18792264" y="5546911"/>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611974CD-E0C2-4ADB-AE9C-EFE859B733BA}" type="TxLink">
              <a:rPr lang="en-US" sz="1100" b="0" i="0" u="none" strike="noStrike">
                <a:solidFill>
                  <a:srgbClr val="000000"/>
                </a:solidFill>
                <a:latin typeface="Calibri"/>
                <a:cs typeface="Calibri"/>
              </a:rPr>
              <a:pPr algn="ctr"/>
              <a:t> </a:t>
            </a:fld>
            <a:endParaRPr lang="fr-FR" sz="1100"/>
          </a:p>
        </xdr:txBody>
      </xdr:sp>
      <xdr:sp macro="" textlink="C31">
        <xdr:nvSpPr>
          <xdr:cNvPr id="21" name="Organigramme : Connecteur 20">
            <a:extLst>
              <a:ext uri="{FF2B5EF4-FFF2-40B4-BE49-F238E27FC236}">
                <a16:creationId xmlns:a16="http://schemas.microsoft.com/office/drawing/2014/main" id="{00000000-0008-0000-0F00-000015000000}"/>
              </a:ext>
            </a:extLst>
          </xdr:cNvPr>
          <xdr:cNvSpPr/>
        </xdr:nvSpPr>
        <xdr:spPr>
          <a:xfrm>
            <a:off x="19038794" y="7306235"/>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3276F56E-4A18-4B84-9A44-8F77124894DD}" type="TxLink">
              <a:rPr lang="en-US" sz="1100" b="0" i="0" u="none" strike="noStrike">
                <a:solidFill>
                  <a:srgbClr val="000000"/>
                </a:solidFill>
                <a:latin typeface="Calibri"/>
                <a:cs typeface="Calibri"/>
              </a:rPr>
              <a:pPr algn="ctr"/>
              <a:t> </a:t>
            </a:fld>
            <a:endParaRPr lang="fr-FR" sz="1100"/>
          </a:p>
        </xdr:txBody>
      </xdr:sp>
      <xdr:sp macro="" textlink="C30">
        <xdr:nvSpPr>
          <xdr:cNvPr id="22" name="Organigramme : Connecteur 21">
            <a:extLst>
              <a:ext uri="{FF2B5EF4-FFF2-40B4-BE49-F238E27FC236}">
                <a16:creationId xmlns:a16="http://schemas.microsoft.com/office/drawing/2014/main" id="{00000000-0008-0000-0F00-000016000000}"/>
              </a:ext>
            </a:extLst>
          </xdr:cNvPr>
          <xdr:cNvSpPr/>
        </xdr:nvSpPr>
        <xdr:spPr>
          <a:xfrm>
            <a:off x="18624176" y="6891617"/>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8E2B51D9-2B49-40CB-AB7C-CE3065868CFA}" type="TxLink">
              <a:rPr lang="en-US" sz="1100" b="0" i="0" u="none" strike="noStrike">
                <a:solidFill>
                  <a:srgbClr val="000000"/>
                </a:solidFill>
                <a:latin typeface="Calibri"/>
                <a:cs typeface="Calibri"/>
              </a:rPr>
              <a:pPr algn="ctr"/>
              <a:t> </a:t>
            </a:fld>
            <a:endParaRPr lang="fr-FR" sz="1100"/>
          </a:p>
        </xdr:txBody>
      </xdr:sp>
      <xdr:sp macro="" textlink="C32">
        <xdr:nvSpPr>
          <xdr:cNvPr id="23" name="Organigramme : Connecteur 22">
            <a:extLst>
              <a:ext uri="{FF2B5EF4-FFF2-40B4-BE49-F238E27FC236}">
                <a16:creationId xmlns:a16="http://schemas.microsoft.com/office/drawing/2014/main" id="{00000000-0008-0000-0F00-000017000000}"/>
              </a:ext>
            </a:extLst>
          </xdr:cNvPr>
          <xdr:cNvSpPr/>
        </xdr:nvSpPr>
        <xdr:spPr>
          <a:xfrm>
            <a:off x="17189824" y="7261412"/>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A6358EA8-7311-4EB5-B828-3D3E8B9BFA0D}" type="TxLink">
              <a:rPr lang="en-US" sz="1100" b="0" i="0" u="none" strike="noStrike">
                <a:solidFill>
                  <a:srgbClr val="000000"/>
                </a:solidFill>
                <a:latin typeface="Calibri"/>
                <a:cs typeface="Calibri"/>
              </a:rPr>
              <a:pPr algn="ctr"/>
              <a:t> </a:t>
            </a:fld>
            <a:endParaRPr lang="fr-FR" sz="1100"/>
          </a:p>
        </xdr:txBody>
      </xdr:sp>
      <xdr:sp macro="" textlink="C33">
        <xdr:nvSpPr>
          <xdr:cNvPr id="24" name="Organigramme : Connecteur 23">
            <a:extLst>
              <a:ext uri="{FF2B5EF4-FFF2-40B4-BE49-F238E27FC236}">
                <a16:creationId xmlns:a16="http://schemas.microsoft.com/office/drawing/2014/main" id="{00000000-0008-0000-0F00-000018000000}"/>
              </a:ext>
            </a:extLst>
          </xdr:cNvPr>
          <xdr:cNvSpPr/>
        </xdr:nvSpPr>
        <xdr:spPr>
          <a:xfrm>
            <a:off x="15419294" y="7239000"/>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D4E86367-D28D-43ED-864B-F75815B4D238}" type="TxLink">
              <a:rPr lang="en-US" sz="1100" b="0" i="0" u="none" strike="noStrike">
                <a:solidFill>
                  <a:srgbClr val="000000"/>
                </a:solidFill>
                <a:latin typeface="Calibri"/>
                <a:cs typeface="Calibri"/>
              </a:rPr>
              <a:pPr algn="ctr"/>
              <a:t> </a:t>
            </a:fld>
            <a:endParaRPr lang="fr-FR" sz="1100"/>
          </a:p>
        </xdr:txBody>
      </xdr:sp>
      <xdr:sp macro="" textlink="C34">
        <xdr:nvSpPr>
          <xdr:cNvPr id="25" name="Organigramme : Connecteur 24">
            <a:extLst>
              <a:ext uri="{FF2B5EF4-FFF2-40B4-BE49-F238E27FC236}">
                <a16:creationId xmlns:a16="http://schemas.microsoft.com/office/drawing/2014/main" id="{00000000-0008-0000-0F00-000019000000}"/>
              </a:ext>
            </a:extLst>
          </xdr:cNvPr>
          <xdr:cNvSpPr/>
        </xdr:nvSpPr>
        <xdr:spPr>
          <a:xfrm>
            <a:off x="14265088" y="736226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017D4129-4FD4-4DF0-8DA4-012220560E9B}" type="TxLink">
              <a:rPr lang="en-US" sz="1100" b="0" i="0" u="none" strike="noStrike">
                <a:solidFill>
                  <a:srgbClr val="000000"/>
                </a:solidFill>
                <a:latin typeface="Calibri"/>
                <a:cs typeface="Calibri"/>
              </a:rPr>
              <a:pPr algn="ctr"/>
              <a:t> </a:t>
            </a:fld>
            <a:endParaRPr lang="fr-FR" sz="1100"/>
          </a:p>
        </xdr:txBody>
      </xdr:sp>
      <xdr:sp macro="" textlink="C35">
        <xdr:nvSpPr>
          <xdr:cNvPr id="26" name="Organigramme : Connecteur 25">
            <a:extLst>
              <a:ext uri="{FF2B5EF4-FFF2-40B4-BE49-F238E27FC236}">
                <a16:creationId xmlns:a16="http://schemas.microsoft.com/office/drawing/2014/main" id="{00000000-0008-0000-0F00-00001A000000}"/>
              </a:ext>
            </a:extLst>
          </xdr:cNvPr>
          <xdr:cNvSpPr/>
        </xdr:nvSpPr>
        <xdr:spPr>
          <a:xfrm>
            <a:off x="13458265" y="7227794"/>
            <a:ext cx="268942" cy="246529"/>
          </a:xfrm>
          <a:prstGeom prst="flowChartConnector">
            <a:avLst/>
          </a:prstGeom>
          <a:solidFill>
            <a:schemeClr val="accent6">
              <a:lumMod val="40000"/>
              <a:lumOff val="60000"/>
            </a:schemeClr>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lIns="0" tIns="0" rIns="0" bIns="0" rtlCol="0" anchor="t"/>
          <a:lstStyle/>
          <a:p>
            <a:pPr algn="ctr"/>
            <a:fld id="{4E6BFA42-C5DB-4314-A660-DD97D35A01A9}" type="TxLink">
              <a:rPr lang="en-US" sz="1100" b="0" i="0" u="none" strike="noStrike">
                <a:solidFill>
                  <a:srgbClr val="000000"/>
                </a:solidFill>
                <a:latin typeface="Calibri"/>
                <a:cs typeface="Calibri"/>
              </a:rPr>
              <a:pPr algn="ctr"/>
              <a:t> </a:t>
            </a:fld>
            <a:endParaRPr lang="fr-FR" sz="1100"/>
          </a:p>
        </xdr:txBody>
      </xdr:sp>
    </xdr:grpSp>
    <xdr:clientData/>
  </xdr:twoCellAnchor>
  <xdr:twoCellAnchor>
    <xdr:from>
      <xdr:col>1</xdr:col>
      <xdr:colOff>0</xdr:colOff>
      <xdr:row>257</xdr:row>
      <xdr:rowOff>190499</xdr:rowOff>
    </xdr:from>
    <xdr:to>
      <xdr:col>13</xdr:col>
      <xdr:colOff>555625</xdr:colOff>
      <xdr:row>286</xdr:row>
      <xdr:rowOff>111125</xdr:rowOff>
    </xdr:to>
    <xdr:graphicFrame macro="">
      <xdr:nvGraphicFramePr>
        <xdr:cNvPr id="267" name="Graphique 266">
          <a:extLst>
            <a:ext uri="{FF2B5EF4-FFF2-40B4-BE49-F238E27FC236}">
              <a16:creationId xmlns:a16="http://schemas.microsoft.com/office/drawing/2014/main" id="{00000000-0008-0000-0F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354</xdr:row>
      <xdr:rowOff>0</xdr:rowOff>
    </xdr:from>
    <xdr:to>
      <xdr:col>12</xdr:col>
      <xdr:colOff>301625</xdr:colOff>
      <xdr:row>390</xdr:row>
      <xdr:rowOff>63500</xdr:rowOff>
    </xdr:to>
    <xdr:graphicFrame macro="">
      <xdr:nvGraphicFramePr>
        <xdr:cNvPr id="268" name="Graphique 267">
          <a:extLst>
            <a:ext uri="{FF2B5EF4-FFF2-40B4-BE49-F238E27FC236}">
              <a16:creationId xmlns:a16="http://schemas.microsoft.com/office/drawing/2014/main" id="{00000000-0008-0000-0F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3317874</xdr:colOff>
      <xdr:row>459</xdr:row>
      <xdr:rowOff>0</xdr:rowOff>
    </xdr:from>
    <xdr:to>
      <xdr:col>12</xdr:col>
      <xdr:colOff>444499</xdr:colOff>
      <xdr:row>489</xdr:row>
      <xdr:rowOff>0</xdr:rowOff>
    </xdr:to>
    <xdr:graphicFrame macro="">
      <xdr:nvGraphicFramePr>
        <xdr:cNvPr id="269" name="Graphique 268">
          <a:extLst>
            <a:ext uri="{FF2B5EF4-FFF2-40B4-BE49-F238E27FC236}">
              <a16:creationId xmlns:a16="http://schemas.microsoft.com/office/drawing/2014/main" id="{00000000-0008-0000-0F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295275</xdr:colOff>
          <xdr:row>6</xdr:row>
          <xdr:rowOff>47625</xdr:rowOff>
        </xdr:from>
        <xdr:to>
          <xdr:col>13</xdr:col>
          <xdr:colOff>400050</xdr:colOff>
          <xdr:row>12</xdr:row>
          <xdr:rowOff>28575</xdr:rowOff>
        </xdr:to>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1000-000006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Lancer la TUS DOVER</a:t>
              </a:r>
            </a:p>
          </xdr:txBody>
        </xdr:sp>
        <xdr:clientData fPrintsWithSheet="0"/>
      </xdr:twoCellAnchor>
    </mc:Choice>
    <mc:Fallback/>
  </mc:AlternateContent>
  <xdr:twoCellAnchor>
    <xdr:from>
      <xdr:col>12</xdr:col>
      <xdr:colOff>99393</xdr:colOff>
      <xdr:row>21</xdr:row>
      <xdr:rowOff>405847</xdr:rowOff>
    </xdr:from>
    <xdr:to>
      <xdr:col>12</xdr:col>
      <xdr:colOff>381001</xdr:colOff>
      <xdr:row>21</xdr:row>
      <xdr:rowOff>670891</xdr:rowOff>
    </xdr:to>
    <xdr:sp macro="" textlink="">
      <xdr:nvSpPr>
        <xdr:cNvPr id="17425" name="Étoile : 5 branches 17424">
          <a:extLst>
            <a:ext uri="{FF2B5EF4-FFF2-40B4-BE49-F238E27FC236}">
              <a16:creationId xmlns:a16="http://schemas.microsoft.com/office/drawing/2014/main" id="{200E3062-5B03-0E3F-24D7-8BFEEB92426D}"/>
            </a:ext>
          </a:extLst>
        </xdr:cNvPr>
        <xdr:cNvSpPr/>
      </xdr:nvSpPr>
      <xdr:spPr>
        <a:xfrm>
          <a:off x="11479697" y="4944717"/>
          <a:ext cx="281608" cy="265044"/>
        </a:xfrm>
        <a:prstGeom prst="star5">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4</a:t>
          </a:r>
        </a:p>
      </xdr:txBody>
    </xdr:sp>
    <xdr:clientData/>
  </xdr:twoCellAnchor>
  <xdr:twoCellAnchor>
    <xdr:from>
      <xdr:col>9</xdr:col>
      <xdr:colOff>571500</xdr:colOff>
      <xdr:row>15</xdr:row>
      <xdr:rowOff>16565</xdr:rowOff>
    </xdr:from>
    <xdr:to>
      <xdr:col>12</xdr:col>
      <xdr:colOff>1399761</xdr:colOff>
      <xdr:row>34</xdr:row>
      <xdr:rowOff>41412</xdr:rowOff>
    </xdr:to>
    <xdr:grpSp>
      <xdr:nvGrpSpPr>
        <xdr:cNvPr id="17431" name="Groupe 17430">
          <a:extLst>
            <a:ext uri="{FF2B5EF4-FFF2-40B4-BE49-F238E27FC236}">
              <a16:creationId xmlns:a16="http://schemas.microsoft.com/office/drawing/2014/main" id="{798DD3F1-26B4-BB85-0B0F-20711E556F9F}"/>
            </a:ext>
          </a:extLst>
        </xdr:cNvPr>
        <xdr:cNvGrpSpPr/>
      </xdr:nvGrpSpPr>
      <xdr:grpSpPr>
        <a:xfrm>
          <a:off x="10527196" y="3404152"/>
          <a:ext cx="4174435" cy="4232412"/>
          <a:chOff x="8605630" y="3404152"/>
          <a:chExt cx="4174435" cy="4232412"/>
        </a:xfrm>
      </xdr:grpSpPr>
      <xdr:sp macro="" textlink="">
        <xdr:nvSpPr>
          <xdr:cNvPr id="17427" name="Organigramme : Connecteur 17426">
            <a:extLst>
              <a:ext uri="{FF2B5EF4-FFF2-40B4-BE49-F238E27FC236}">
                <a16:creationId xmlns:a16="http://schemas.microsoft.com/office/drawing/2014/main" id="{8CA7F33A-3509-4EBA-969B-3A3B110ECA67}"/>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7430" name="Groupe 17429">
            <a:extLst>
              <a:ext uri="{FF2B5EF4-FFF2-40B4-BE49-F238E27FC236}">
                <a16:creationId xmlns:a16="http://schemas.microsoft.com/office/drawing/2014/main" id="{5D505E62-A0CE-5E39-BBC7-AD8D46B478D4}"/>
              </a:ext>
            </a:extLst>
          </xdr:cNvPr>
          <xdr:cNvGrpSpPr/>
        </xdr:nvGrpSpPr>
        <xdr:grpSpPr>
          <a:xfrm>
            <a:off x="8605630" y="3404152"/>
            <a:ext cx="4174435" cy="4232412"/>
            <a:chOff x="8605630" y="3404152"/>
            <a:chExt cx="4174435" cy="4232412"/>
          </a:xfrm>
        </xdr:grpSpPr>
        <xdr:grpSp>
          <xdr:nvGrpSpPr>
            <xdr:cNvPr id="17424" name="Groupe 17423">
              <a:extLst>
                <a:ext uri="{FF2B5EF4-FFF2-40B4-BE49-F238E27FC236}">
                  <a16:creationId xmlns:a16="http://schemas.microsoft.com/office/drawing/2014/main" id="{474FD34D-ACDC-CC92-C8DC-8DF2B45531B3}"/>
                </a:ext>
              </a:extLst>
            </xdr:cNvPr>
            <xdr:cNvGrpSpPr/>
          </xdr:nvGrpSpPr>
          <xdr:grpSpPr>
            <a:xfrm>
              <a:off x="9316277" y="3404152"/>
              <a:ext cx="3463788" cy="3327953"/>
              <a:chOff x="9092647" y="3420717"/>
              <a:chExt cx="3463788" cy="3327953"/>
            </a:xfrm>
          </xdr:grpSpPr>
          <xdr:sp macro="" textlink="">
            <xdr:nvSpPr>
              <xdr:cNvPr id="15" name="Organigramme : Connecteur 14">
                <a:extLst>
                  <a:ext uri="{FF2B5EF4-FFF2-40B4-BE49-F238E27FC236}">
                    <a16:creationId xmlns:a16="http://schemas.microsoft.com/office/drawing/2014/main" id="{920793FC-894A-E6DC-A673-0A63B8899FB0}"/>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8" name="Organigramme : Connecteur 17">
                <a:extLst>
                  <a:ext uri="{FF2B5EF4-FFF2-40B4-BE49-F238E27FC236}">
                    <a16:creationId xmlns:a16="http://schemas.microsoft.com/office/drawing/2014/main" id="{E9EB43E9-F1A3-44FE-AA1E-64E815E8F1BE}"/>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20" name="Organigramme : Connecteur 19">
                <a:extLst>
                  <a:ext uri="{FF2B5EF4-FFF2-40B4-BE49-F238E27FC236}">
                    <a16:creationId xmlns:a16="http://schemas.microsoft.com/office/drawing/2014/main" id="{6A20DDFF-CE74-4AFE-BD4E-941491C9C942}"/>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21" name="Organigramme : Connecteur 20">
                <a:extLst>
                  <a:ext uri="{FF2B5EF4-FFF2-40B4-BE49-F238E27FC236}">
                    <a16:creationId xmlns:a16="http://schemas.microsoft.com/office/drawing/2014/main" id="{C841B300-3D31-4A97-9BC7-901B131B446F}"/>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22" name="Organigramme : Connecteur 21">
                <a:extLst>
                  <a:ext uri="{FF2B5EF4-FFF2-40B4-BE49-F238E27FC236}">
                    <a16:creationId xmlns:a16="http://schemas.microsoft.com/office/drawing/2014/main" id="{A317726B-7B62-483D-9101-4C5C8A4CB711}"/>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23" name="Organigramme : Connecteur 22">
                <a:extLst>
                  <a:ext uri="{FF2B5EF4-FFF2-40B4-BE49-F238E27FC236}">
                    <a16:creationId xmlns:a16="http://schemas.microsoft.com/office/drawing/2014/main" id="{05A7E670-C750-49F1-9A26-46F56DA13B0C}"/>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7423" name="Groupe 17422">
                <a:extLst>
                  <a:ext uri="{FF2B5EF4-FFF2-40B4-BE49-F238E27FC236}">
                    <a16:creationId xmlns:a16="http://schemas.microsoft.com/office/drawing/2014/main" id="{98EFEDDA-6DC2-80AA-9E06-6EF9649374E2}"/>
                  </a:ext>
                </a:extLst>
              </xdr:cNvPr>
              <xdr:cNvGrpSpPr/>
            </xdr:nvGrpSpPr>
            <xdr:grpSpPr>
              <a:xfrm>
                <a:off x="9092647" y="3592995"/>
                <a:ext cx="3463788" cy="3155675"/>
                <a:chOff x="9092647" y="3592995"/>
                <a:chExt cx="3463788" cy="3155675"/>
              </a:xfrm>
            </xdr:grpSpPr>
            <xdr:sp macro="" textlink="">
              <xdr:nvSpPr>
                <xdr:cNvPr id="17" name="Organigramme : Connecteur 16">
                  <a:extLst>
                    <a:ext uri="{FF2B5EF4-FFF2-40B4-BE49-F238E27FC236}">
                      <a16:creationId xmlns:a16="http://schemas.microsoft.com/office/drawing/2014/main" id="{392070CC-9C89-484B-945F-DB4EC8ADCBF4}"/>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9" name="Organigramme : Connecteur 18">
                  <a:extLst>
                    <a:ext uri="{FF2B5EF4-FFF2-40B4-BE49-F238E27FC236}">
                      <a16:creationId xmlns:a16="http://schemas.microsoft.com/office/drawing/2014/main" id="{A6B1C568-9137-4A27-9E18-843659B6119D}"/>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29" name="Organigramme : Connecteur 28">
                  <a:extLst>
                    <a:ext uri="{FF2B5EF4-FFF2-40B4-BE49-F238E27FC236}">
                      <a16:creationId xmlns:a16="http://schemas.microsoft.com/office/drawing/2014/main" id="{C3CA62AF-C75F-4973-BDCD-0D23750B5D61}"/>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t> </a:t>
                  </a:fld>
                  <a:endParaRPr lang="fr-FR" sz="1100"/>
                </a:p>
              </xdr:txBody>
            </xdr:sp>
            <xdr:sp macro="" textlink="$B$26">
              <xdr:nvSpPr>
                <xdr:cNvPr id="30" name="Organigramme : Connecteur 29">
                  <a:extLst>
                    <a:ext uri="{FF2B5EF4-FFF2-40B4-BE49-F238E27FC236}">
                      <a16:creationId xmlns:a16="http://schemas.microsoft.com/office/drawing/2014/main" id="{F3DDEC9E-8FD9-4E3B-A82C-23B9EBD250E7}"/>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t> </a:t>
                  </a:fld>
                  <a:endParaRPr lang="fr-FR" sz="1100"/>
                </a:p>
              </xdr:txBody>
            </xdr:sp>
            <xdr:sp macro="" textlink="$B$28">
              <xdr:nvSpPr>
                <xdr:cNvPr id="17408" name="Organigramme : Connecteur 17407">
                  <a:extLst>
                    <a:ext uri="{FF2B5EF4-FFF2-40B4-BE49-F238E27FC236}">
                      <a16:creationId xmlns:a16="http://schemas.microsoft.com/office/drawing/2014/main" id="{38A726EA-988E-4771-9B3B-E4A06350604C}"/>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t> </a:t>
                  </a:fld>
                  <a:endParaRPr lang="fr-FR" sz="1100"/>
                </a:p>
              </xdr:txBody>
            </xdr:sp>
            <xdr:sp macro="" textlink="$B$30">
              <xdr:nvSpPr>
                <xdr:cNvPr id="17410" name="Organigramme : Connecteur 17409">
                  <a:extLst>
                    <a:ext uri="{FF2B5EF4-FFF2-40B4-BE49-F238E27FC236}">
                      <a16:creationId xmlns:a16="http://schemas.microsoft.com/office/drawing/2014/main" id="{68B6703D-76FA-4DBC-9B6F-59E0CD99F4CB}"/>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t> </a:t>
                  </a:fld>
                  <a:endParaRPr lang="fr-FR" sz="1100"/>
                </a:p>
              </xdr:txBody>
            </xdr:sp>
            <xdr:sp macro="" textlink="$B$29">
              <xdr:nvSpPr>
                <xdr:cNvPr id="17412" name="Organigramme : Connecteur 17411">
                  <a:extLst>
                    <a:ext uri="{FF2B5EF4-FFF2-40B4-BE49-F238E27FC236}">
                      <a16:creationId xmlns:a16="http://schemas.microsoft.com/office/drawing/2014/main" id="{CB923D85-070E-4C35-961B-7FCDC72B8535}"/>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t> </a:t>
                  </a:fld>
                  <a:endParaRPr lang="fr-FR" sz="1100"/>
                </a:p>
              </xdr:txBody>
            </xdr:sp>
            <xdr:sp macro="" textlink="$C$30">
              <xdr:nvSpPr>
                <xdr:cNvPr id="17413" name="Organigramme : Connecteur 17412">
                  <a:extLst>
                    <a:ext uri="{FF2B5EF4-FFF2-40B4-BE49-F238E27FC236}">
                      <a16:creationId xmlns:a16="http://schemas.microsoft.com/office/drawing/2014/main" id="{CD3C0F98-BC65-49CD-8135-E7E04CD8B16F}"/>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t> </a:t>
                  </a:fld>
                  <a:endParaRPr lang="fr-FR" sz="1100"/>
                </a:p>
              </xdr:txBody>
            </xdr:sp>
            <xdr:sp macro="" textlink="$C$25">
              <xdr:nvSpPr>
                <xdr:cNvPr id="17416" name="Organigramme : Connecteur 17415">
                  <a:extLst>
                    <a:ext uri="{FF2B5EF4-FFF2-40B4-BE49-F238E27FC236}">
                      <a16:creationId xmlns:a16="http://schemas.microsoft.com/office/drawing/2014/main" id="{1BA5769A-15D0-4D0E-BCBC-C1ADE82BC578}"/>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t> </a:t>
                  </a:fld>
                  <a:endParaRPr lang="fr-FR" sz="1100"/>
                </a:p>
              </xdr:txBody>
            </xdr:sp>
            <xdr:sp macro="" textlink="$C$29">
              <xdr:nvSpPr>
                <xdr:cNvPr id="17417" name="Organigramme : Connecteur 17416">
                  <a:extLst>
                    <a:ext uri="{FF2B5EF4-FFF2-40B4-BE49-F238E27FC236}">
                      <a16:creationId xmlns:a16="http://schemas.microsoft.com/office/drawing/2014/main" id="{6B3F28C0-903A-4621-AFDA-BAE19A178FE6}"/>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t> </a:t>
                  </a:fld>
                  <a:endParaRPr lang="fr-FR" sz="1100"/>
                </a:p>
              </xdr:txBody>
            </xdr:sp>
            <xdr:sp macro="" textlink="$C$28">
              <xdr:nvSpPr>
                <xdr:cNvPr id="17418" name="Organigramme : Connecteur 17417">
                  <a:extLst>
                    <a:ext uri="{FF2B5EF4-FFF2-40B4-BE49-F238E27FC236}">
                      <a16:creationId xmlns:a16="http://schemas.microsoft.com/office/drawing/2014/main" id="{E12728CA-72C3-4DC0-A86A-D7367B90B0C4}"/>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t> </a:t>
                  </a:fld>
                  <a:endParaRPr lang="fr-FR" sz="1100"/>
                </a:p>
              </xdr:txBody>
            </xdr:sp>
            <xdr:sp macro="" textlink="$C$26">
              <xdr:nvSpPr>
                <xdr:cNvPr id="17420" name="Organigramme : Connecteur 17419">
                  <a:extLst>
                    <a:ext uri="{FF2B5EF4-FFF2-40B4-BE49-F238E27FC236}">
                      <a16:creationId xmlns:a16="http://schemas.microsoft.com/office/drawing/2014/main" id="{D8185D44-5903-4CB1-9E24-856ECEE5BD27}"/>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t> </a:t>
                  </a:fld>
                  <a:endParaRPr lang="fr-FR" sz="1100"/>
                </a:p>
              </xdr:txBody>
            </xdr:sp>
            <xdr:grpSp>
              <xdr:nvGrpSpPr>
                <xdr:cNvPr id="17422" name="Groupe 17421">
                  <a:extLst>
                    <a:ext uri="{FF2B5EF4-FFF2-40B4-BE49-F238E27FC236}">
                      <a16:creationId xmlns:a16="http://schemas.microsoft.com/office/drawing/2014/main" id="{574D9117-FE4F-B7FC-E3D8-A6E79127838E}"/>
                    </a:ext>
                  </a:extLst>
                </xdr:cNvPr>
                <xdr:cNvGrpSpPr/>
              </xdr:nvGrpSpPr>
              <xdr:grpSpPr>
                <a:xfrm>
                  <a:off x="9230139" y="3592995"/>
                  <a:ext cx="3326296" cy="2792482"/>
                  <a:chOff x="9230139" y="3592995"/>
                  <a:chExt cx="3326296" cy="2792482"/>
                </a:xfrm>
              </xdr:grpSpPr>
              <xdr:grpSp>
                <xdr:nvGrpSpPr>
                  <xdr:cNvPr id="14" name="Groupe 13">
                    <a:extLst>
                      <a:ext uri="{FF2B5EF4-FFF2-40B4-BE49-F238E27FC236}">
                        <a16:creationId xmlns:a16="http://schemas.microsoft.com/office/drawing/2014/main" id="{979D5F57-02B8-98DD-28DA-71B47CB47C31}"/>
                      </a:ext>
                    </a:extLst>
                  </xdr:cNvPr>
                  <xdr:cNvGrpSpPr/>
                </xdr:nvGrpSpPr>
                <xdr:grpSpPr>
                  <a:xfrm>
                    <a:off x="9310480" y="3635237"/>
                    <a:ext cx="2949367" cy="2750240"/>
                    <a:chOff x="9320893" y="3638550"/>
                    <a:chExt cx="2950550" cy="2755446"/>
                  </a:xfrm>
                </xdr:grpSpPr>
                <xdr:sp macro="" textlink="">
                  <xdr:nvSpPr>
                    <xdr:cNvPr id="4" name="Cube 3">
                      <a:extLst>
                        <a:ext uri="{FF2B5EF4-FFF2-40B4-BE49-F238E27FC236}">
                          <a16:creationId xmlns:a16="http://schemas.microsoft.com/office/drawing/2014/main" id="{66EC30C3-6EB7-2F1E-F408-F3B39B393D06}"/>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6" name="Connecteur droit 5">
                      <a:extLst>
                        <a:ext uri="{FF2B5EF4-FFF2-40B4-BE49-F238E27FC236}">
                          <a16:creationId xmlns:a16="http://schemas.microsoft.com/office/drawing/2014/main" id="{FEC71B88-567E-2250-823B-FC842196103E}"/>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a:extLst>
                        <a:ext uri="{FF2B5EF4-FFF2-40B4-BE49-F238E27FC236}">
                          <a16:creationId xmlns:a16="http://schemas.microsoft.com/office/drawing/2014/main" id="{D6C4B306-D5C3-EA0F-2307-8C46FF351712}"/>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3" name="Connecteur droit 12">
                      <a:extLst>
                        <a:ext uri="{FF2B5EF4-FFF2-40B4-BE49-F238E27FC236}">
                          <a16:creationId xmlns:a16="http://schemas.microsoft.com/office/drawing/2014/main" id="{42E6FC2F-08F1-7F00-C9E3-7E28F5CCF1AC}"/>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24" name="Organigramme : Connecteur 23">
                    <a:extLst>
                      <a:ext uri="{FF2B5EF4-FFF2-40B4-BE49-F238E27FC236}">
                        <a16:creationId xmlns:a16="http://schemas.microsoft.com/office/drawing/2014/main" id="{CC028535-9FE7-4BBA-9BAB-108D1086FD53}"/>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t> </a:t>
                    </a:fld>
                    <a:endParaRPr lang="fr-FR" sz="1100"/>
                  </a:p>
                </xdr:txBody>
              </xdr:sp>
              <xdr:sp macro="" textlink="$C$23">
                <xdr:nvSpPr>
                  <xdr:cNvPr id="25" name="Organigramme : Connecteur 24">
                    <a:extLst>
                      <a:ext uri="{FF2B5EF4-FFF2-40B4-BE49-F238E27FC236}">
                        <a16:creationId xmlns:a16="http://schemas.microsoft.com/office/drawing/2014/main" id="{17BCEA97-B11E-4131-A2D9-B5322F5E88BF}"/>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t> </a:t>
                    </a:fld>
                    <a:endParaRPr lang="fr-FR" sz="1100"/>
                  </a:p>
                </xdr:txBody>
              </xdr:sp>
              <xdr:sp macro="" textlink="$B$24">
                <xdr:nvSpPr>
                  <xdr:cNvPr id="28" name="Organigramme : Connecteur 27">
                    <a:extLst>
                      <a:ext uri="{FF2B5EF4-FFF2-40B4-BE49-F238E27FC236}">
                        <a16:creationId xmlns:a16="http://schemas.microsoft.com/office/drawing/2014/main" id="{B1C90D0E-3360-4866-9B07-A7209871354B}"/>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t> </a:t>
                    </a:fld>
                    <a:endParaRPr lang="fr-FR" sz="1100"/>
                  </a:p>
                </xdr:txBody>
              </xdr:sp>
              <xdr:sp macro="" textlink="$B$27">
                <xdr:nvSpPr>
                  <xdr:cNvPr id="31" name="Organigramme : Connecteur 30">
                    <a:extLst>
                      <a:ext uri="{FF2B5EF4-FFF2-40B4-BE49-F238E27FC236}">
                        <a16:creationId xmlns:a16="http://schemas.microsoft.com/office/drawing/2014/main" id="{5CF321B2-F66A-47E6-A512-76F8FB5B895F}"/>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t> </a:t>
                    </a:fld>
                    <a:endParaRPr lang="fr-FR" sz="1100"/>
                  </a:p>
                </xdr:txBody>
              </xdr:sp>
              <xdr:sp macro="" textlink="$B$31">
                <xdr:nvSpPr>
                  <xdr:cNvPr id="17411" name="Organigramme : Connecteur 17410">
                    <a:extLst>
                      <a:ext uri="{FF2B5EF4-FFF2-40B4-BE49-F238E27FC236}">
                        <a16:creationId xmlns:a16="http://schemas.microsoft.com/office/drawing/2014/main" id="{B02FB9A1-63CC-4F3A-9CB7-A5C9DDDCEAEF}"/>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t> </a:t>
                    </a:fld>
                    <a:endParaRPr lang="fr-FR" sz="1100" b="0" i="0" u="none" strike="noStrike">
                      <a:solidFill>
                        <a:srgbClr val="000000"/>
                      </a:solidFill>
                      <a:latin typeface="Calibri"/>
                      <a:ea typeface="+mn-ea"/>
                      <a:cs typeface="Calibri"/>
                    </a:endParaRPr>
                  </a:p>
                </xdr:txBody>
              </xdr:sp>
              <xdr:sp macro="" textlink="$C$31">
                <xdr:nvSpPr>
                  <xdr:cNvPr id="17415" name="Organigramme : Connecteur 17414">
                    <a:extLst>
                      <a:ext uri="{FF2B5EF4-FFF2-40B4-BE49-F238E27FC236}">
                        <a16:creationId xmlns:a16="http://schemas.microsoft.com/office/drawing/2014/main" id="{3C923391-DBB7-4645-B9FF-F34D8AD55910}"/>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t> </a:t>
                    </a:fld>
                    <a:endParaRPr lang="fr-FR" sz="1100"/>
                  </a:p>
                </xdr:txBody>
              </xdr:sp>
              <xdr:sp macro="" textlink="$C$27">
                <xdr:nvSpPr>
                  <xdr:cNvPr id="17419" name="Organigramme : Connecteur 17418">
                    <a:extLst>
                      <a:ext uri="{FF2B5EF4-FFF2-40B4-BE49-F238E27FC236}">
                        <a16:creationId xmlns:a16="http://schemas.microsoft.com/office/drawing/2014/main" id="{F8E05729-7510-41D5-91F5-BC76F7F8D8C0}"/>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t> </a:t>
                    </a:fld>
                    <a:endParaRPr lang="fr-FR" sz="1100"/>
                  </a:p>
                </xdr:txBody>
              </xdr:sp>
              <xdr:sp macro="" textlink="$C$24">
                <xdr:nvSpPr>
                  <xdr:cNvPr id="17421" name="Organigramme : Connecteur 17420">
                    <a:extLst>
                      <a:ext uri="{FF2B5EF4-FFF2-40B4-BE49-F238E27FC236}">
                        <a16:creationId xmlns:a16="http://schemas.microsoft.com/office/drawing/2014/main" id="{7FA63463-7DBD-489D-AB72-E17BCA7CA540}"/>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t> </a:t>
                    </a:fld>
                    <a:endParaRPr lang="fr-FR" sz="1100"/>
                  </a:p>
                </xdr:txBody>
              </xdr:sp>
            </xdr:grpSp>
          </xdr:grpSp>
        </xdr:grpSp>
        <xdr:sp macro="" textlink="$B$23">
          <xdr:nvSpPr>
            <xdr:cNvPr id="17426" name="Organigramme : Connecteur 17425">
              <a:extLst>
                <a:ext uri="{FF2B5EF4-FFF2-40B4-BE49-F238E27FC236}">
                  <a16:creationId xmlns:a16="http://schemas.microsoft.com/office/drawing/2014/main" id="{E95CC7C0-8460-4C2F-B49C-A2E840E093B1}"/>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t> </a:t>
              </a:fld>
              <a:endParaRPr lang="fr-FR" sz="1100"/>
            </a:p>
          </xdr:txBody>
        </xdr:sp>
        <xdr:sp macro="" textlink="$C$23">
          <xdr:nvSpPr>
            <xdr:cNvPr id="17428" name="Organigramme : Connecteur 17427">
              <a:extLst>
                <a:ext uri="{FF2B5EF4-FFF2-40B4-BE49-F238E27FC236}">
                  <a16:creationId xmlns:a16="http://schemas.microsoft.com/office/drawing/2014/main" id="{48B779AC-BB43-4B42-8506-B98507B5925C}"/>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t> </a:t>
              </a:fld>
              <a:endParaRPr lang="fr-FR" sz="1100"/>
            </a:p>
          </xdr:txBody>
        </xdr:sp>
        <xdr:sp macro="" textlink="">
          <xdr:nvSpPr>
            <xdr:cNvPr id="17429" name="ZoneTexte 17428">
              <a:extLst>
                <a:ext uri="{FF2B5EF4-FFF2-40B4-BE49-F238E27FC236}">
                  <a16:creationId xmlns:a16="http://schemas.microsoft.com/office/drawing/2014/main" id="{4ADB1365-949F-81ED-C620-84278CD70E07}"/>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58</xdr:row>
      <xdr:rowOff>0</xdr:rowOff>
    </xdr:from>
    <xdr:to>
      <xdr:col>12</xdr:col>
      <xdr:colOff>0</xdr:colOff>
      <xdr:row>75</xdr:row>
      <xdr:rowOff>57150</xdr:rowOff>
    </xdr:to>
    <xdr:graphicFrame macro="">
      <xdr:nvGraphicFramePr>
        <xdr:cNvPr id="2" name="Graphique 1">
          <a:extLst>
            <a:ext uri="{FF2B5EF4-FFF2-40B4-BE49-F238E27FC236}">
              <a16:creationId xmlns:a16="http://schemas.microsoft.com/office/drawing/2014/main" id="{376EC6E0-E09B-4CE5-9785-B4218D3FF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1000124</xdr:colOff>
      <xdr:row>59</xdr:row>
      <xdr:rowOff>0</xdr:rowOff>
    </xdr:from>
    <xdr:to>
      <xdr:col>13</xdr:col>
      <xdr:colOff>971549</xdr:colOff>
      <xdr:row>76</xdr:row>
      <xdr:rowOff>38100</xdr:rowOff>
    </xdr:to>
    <xdr:graphicFrame macro="">
      <xdr:nvGraphicFramePr>
        <xdr:cNvPr id="2" name="Graphique 1">
          <a:extLst>
            <a:ext uri="{FF2B5EF4-FFF2-40B4-BE49-F238E27FC236}">
              <a16:creationId xmlns:a16="http://schemas.microsoft.com/office/drawing/2014/main" id="{F11BACC2-8AA9-4E53-8094-5D07FF3555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0</xdr:colOff>
      <xdr:row>57</xdr:row>
      <xdr:rowOff>0</xdr:rowOff>
    </xdr:from>
    <xdr:to>
      <xdr:col>13</xdr:col>
      <xdr:colOff>714375</xdr:colOff>
      <xdr:row>75</xdr:row>
      <xdr:rowOff>95250</xdr:rowOff>
    </xdr:to>
    <xdr:graphicFrame macro="">
      <xdr:nvGraphicFramePr>
        <xdr:cNvPr id="2" name="Graphique 1">
          <a:extLst>
            <a:ext uri="{FF2B5EF4-FFF2-40B4-BE49-F238E27FC236}">
              <a16:creationId xmlns:a16="http://schemas.microsoft.com/office/drawing/2014/main" id="{F0DF98D0-E97C-4926-871D-3190CEAEBE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3195087</xdr:colOff>
      <xdr:row>4</xdr:row>
      <xdr:rowOff>238124</xdr:rowOff>
    </xdr:to>
    <xdr:pic>
      <xdr:nvPicPr>
        <xdr:cNvPr id="2" name="Image 1">
          <a:extLst>
            <a:ext uri="{FF2B5EF4-FFF2-40B4-BE49-F238E27FC236}">
              <a16:creationId xmlns:a16="http://schemas.microsoft.com/office/drawing/2014/main" id="{43172CD8-565E-4E54-B7AF-A28E2546F8B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95087" cy="1000124"/>
        </a:xfrm>
        <a:prstGeom prst="rect">
          <a:avLst/>
        </a:prstGeom>
      </xdr:spPr>
    </xdr:pic>
    <xdr:clientData/>
  </xdr:twoCellAnchor>
  <xdr:twoCellAnchor editAs="oneCell">
    <xdr:from>
      <xdr:col>0</xdr:col>
      <xdr:colOff>1</xdr:colOff>
      <xdr:row>46</xdr:row>
      <xdr:rowOff>190499</xdr:rowOff>
    </xdr:from>
    <xdr:to>
      <xdr:col>0</xdr:col>
      <xdr:colOff>3270251</xdr:colOff>
      <xdr:row>52</xdr:row>
      <xdr:rowOff>3174</xdr:rowOff>
    </xdr:to>
    <xdr:pic>
      <xdr:nvPicPr>
        <xdr:cNvPr id="3" name="Image 2">
          <a:extLst>
            <a:ext uri="{FF2B5EF4-FFF2-40B4-BE49-F238E27FC236}">
              <a16:creationId xmlns:a16="http://schemas.microsoft.com/office/drawing/2014/main" id="{2F375AE3-824B-4D6F-975A-E490569CFA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0153649"/>
          <a:ext cx="3270250" cy="1250950"/>
        </a:xfrm>
        <a:prstGeom prst="rect">
          <a:avLst/>
        </a:prstGeom>
      </xdr:spPr>
    </xdr:pic>
    <xdr:clientData/>
  </xdr:twoCellAnchor>
  <xdr:twoCellAnchor editAs="oneCell">
    <xdr:from>
      <xdr:col>0</xdr:col>
      <xdr:colOff>1</xdr:colOff>
      <xdr:row>81</xdr:row>
      <xdr:rowOff>0</xdr:rowOff>
    </xdr:from>
    <xdr:to>
      <xdr:col>0</xdr:col>
      <xdr:colOff>3302001</xdr:colOff>
      <xdr:row>86</xdr:row>
      <xdr:rowOff>15874</xdr:rowOff>
    </xdr:to>
    <xdr:pic>
      <xdr:nvPicPr>
        <xdr:cNvPr id="4" name="Image 3" descr="fregate">
          <a:extLst>
            <a:ext uri="{FF2B5EF4-FFF2-40B4-BE49-F238E27FC236}">
              <a16:creationId xmlns:a16="http://schemas.microsoft.com/office/drawing/2014/main" id="{996A19F2-DF26-401C-B2EE-2A27E60308DA}"/>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17897475"/>
          <a:ext cx="3302000" cy="1235075"/>
        </a:xfrm>
        <a:prstGeom prst="rect">
          <a:avLst/>
        </a:prstGeom>
        <a:noFill/>
        <a:ln>
          <a:noFill/>
        </a:ln>
      </xdr:spPr>
    </xdr:pic>
    <xdr:clientData/>
  </xdr:twoCellAnchor>
  <xdr:twoCellAnchor>
    <xdr:from>
      <xdr:col>1</xdr:col>
      <xdr:colOff>190500</xdr:colOff>
      <xdr:row>125</xdr:row>
      <xdr:rowOff>142875</xdr:rowOff>
    </xdr:from>
    <xdr:to>
      <xdr:col>8</xdr:col>
      <xdr:colOff>273050</xdr:colOff>
      <xdr:row>151</xdr:row>
      <xdr:rowOff>188026</xdr:rowOff>
    </xdr:to>
    <xdr:sp macro="" textlink="">
      <xdr:nvSpPr>
        <xdr:cNvPr id="5" name="Sous-titre 2">
          <a:extLst>
            <a:ext uri="{FF2B5EF4-FFF2-40B4-BE49-F238E27FC236}">
              <a16:creationId xmlns:a16="http://schemas.microsoft.com/office/drawing/2014/main" id="{E17BF782-2ADA-4CD6-A2F5-1133B423658C}"/>
            </a:ext>
          </a:extLst>
        </xdr:cNvPr>
        <xdr:cNvSpPr txBox="1">
          <a:spLocks/>
        </xdr:cNvSpPr>
      </xdr:nvSpPr>
      <xdr:spPr>
        <a:xfrm>
          <a:off x="3514725" y="29822775"/>
          <a:ext cx="14674850" cy="4998151"/>
        </a:xfrm>
        <a:prstGeom prst="rect">
          <a:avLst/>
        </a:prstGeom>
      </xdr:spPr>
      <xdr:txBody>
        <a:bodyPr vert="horz" wrap="square" lIns="91440" tIns="45720" rIns="91440" bIns="45720" numCol="1" rtlCol="0">
          <a:noAutofit/>
        </a:bodyPr>
        <a:lstStyle>
          <a:defPPr>
            <a:defRPr lang="fr-F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indent="0" algn="just">
            <a:buNone/>
          </a:pPr>
          <a:r>
            <a:rPr lang="fr-FR" sz="2000"/>
            <a:t>L’enregistreur portable est programmé pour obtenir un enregistrement toutes les 10 secondes des 9 thermocouples de TUS. Les données de l’enregistreur portable ne sont pas corrigées. Les corrections (voie de l’enregistreur + thermocouple) sont appliquées à postériori. </a:t>
          </a:r>
        </a:p>
        <a:p>
          <a:pPr marL="0" indent="0" algn="just">
            <a:buNone/>
          </a:pPr>
          <a:endParaRPr lang="fr-FR" sz="2000"/>
        </a:p>
        <a:p>
          <a:pPr marL="0" indent="0" algn="just">
            <a:buNone/>
          </a:pPr>
          <a:r>
            <a:rPr lang="fr-FR" sz="2000"/>
            <a:t>Les données de l’enregistreur sont transférées sur le réseau sous format .uhh, elles sont ensuite converties et mises dans un fichier Excel. Les corrections sont appliquées via le fichier Excel. Celui-ci est disponible sur le serveur de Frégate. Le présent rapport présente des valeurs corrigées.</a:t>
          </a:r>
        </a:p>
        <a:p>
          <a:pPr marL="0" indent="0" algn="just">
            <a:buNone/>
          </a:pPr>
          <a:endParaRPr lang="fr-FR" sz="2000"/>
        </a:p>
        <a:p>
          <a:pPr marL="0" indent="0" algn="just">
            <a:buNone/>
          </a:pPr>
          <a:r>
            <a:rPr lang="fr-FR" sz="2000"/>
            <a:t>Les valeurs de l’enregistreur du four sont également transférées sur le réseau sous format .uhh puis jointes au même fichier Excel.</a:t>
          </a:r>
        </a:p>
        <a:p>
          <a:pPr marL="0" indent="0" algn="just">
            <a:buNone/>
          </a:pPr>
          <a:endParaRPr lang="fr-FR" sz="2000"/>
        </a:p>
        <a:p>
          <a:pPr marL="0" indent="0" algn="just">
            <a:buNone/>
          </a:pPr>
          <a:r>
            <a:rPr lang="fr-FR" sz="2000"/>
            <a:t>Les 9 capteurs de contrôle sont positionnés sur une structure sans charge représentant le volume utile du four à contrôler conformément au schéma de la page suivante.  </a:t>
          </a:r>
        </a:p>
        <a:p>
          <a:pPr marL="0" indent="0" algn="just">
            <a:buNone/>
          </a:pPr>
          <a:endParaRPr lang="fr-FR" sz="2000"/>
        </a:p>
        <a:p>
          <a:pPr marL="0" indent="0" algn="just">
            <a:buNone/>
          </a:pPr>
          <a:r>
            <a:rPr lang="fr-FR" sz="2000"/>
            <a:t>Démarrage de la cartographie à température ambiante, enfournage à chaud par le bas du four pour chaque palier de température.</a:t>
          </a:r>
        </a:p>
        <a:p>
          <a:pPr marL="0" indent="0" algn="just">
            <a:buNone/>
          </a:pPr>
          <a:endParaRPr lang="fr-FR" sz="2000"/>
        </a:p>
        <a:p>
          <a:pPr marL="0" indent="0" algn="just">
            <a:buNone/>
          </a:pPr>
          <a:r>
            <a:rPr lang="fr-FR" sz="2000"/>
            <a:t>Les fichiers informatiques des données créés par les enregistreurs sous format .uhh ne sont pas modifiables.</a:t>
          </a:r>
        </a:p>
        <a:p>
          <a:pPr marL="0" indent="0" algn="just">
            <a:buNone/>
          </a:pPr>
          <a:endParaRPr lang="fr-FR" sz="2000"/>
        </a:p>
        <a:p>
          <a:pPr marL="0" indent="0" algn="just">
            <a:buNone/>
          </a:pPr>
          <a:endParaRPr lang="fr-FR" sz="2000"/>
        </a:p>
        <a:p>
          <a:pPr marL="0" indent="0" algn="just">
            <a:buNone/>
          </a:pPr>
          <a:endParaRPr lang="fr-FR" sz="2000"/>
        </a:p>
      </xdr:txBody>
    </xdr:sp>
    <xdr:clientData/>
  </xdr:twoCellAnchor>
  <xdr:twoCellAnchor editAs="oneCell">
    <xdr:from>
      <xdr:col>0</xdr:col>
      <xdr:colOff>33227</xdr:colOff>
      <xdr:row>120</xdr:row>
      <xdr:rowOff>11076</xdr:rowOff>
    </xdr:from>
    <xdr:to>
      <xdr:col>1</xdr:col>
      <xdr:colOff>757911</xdr:colOff>
      <xdr:row>124</xdr:row>
      <xdr:rowOff>38397</xdr:rowOff>
    </xdr:to>
    <xdr:pic>
      <xdr:nvPicPr>
        <xdr:cNvPr id="6" name="Image 5" descr="fregate">
          <a:extLst>
            <a:ext uri="{FF2B5EF4-FFF2-40B4-BE49-F238E27FC236}">
              <a16:creationId xmlns:a16="http://schemas.microsoft.com/office/drawing/2014/main" id="{CD5AD526-06D4-4340-AA22-15D6F0F8A787}"/>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27" y="28205076"/>
          <a:ext cx="4048909" cy="1322720"/>
        </a:xfrm>
        <a:prstGeom prst="rect">
          <a:avLst/>
        </a:prstGeom>
        <a:noFill/>
        <a:ln>
          <a:noFill/>
        </a:ln>
      </xdr:spPr>
    </xdr:pic>
    <xdr:clientData/>
  </xdr:twoCellAnchor>
  <xdr:twoCellAnchor editAs="oneCell">
    <xdr:from>
      <xdr:col>0</xdr:col>
      <xdr:colOff>1</xdr:colOff>
      <xdr:row>156</xdr:row>
      <xdr:rowOff>0</xdr:rowOff>
    </xdr:from>
    <xdr:to>
      <xdr:col>0</xdr:col>
      <xdr:colOff>3270251</xdr:colOff>
      <xdr:row>159</xdr:row>
      <xdr:rowOff>174624</xdr:rowOff>
    </xdr:to>
    <xdr:pic>
      <xdr:nvPicPr>
        <xdr:cNvPr id="7" name="Image 6" descr="fregate">
          <a:extLst>
            <a:ext uri="{FF2B5EF4-FFF2-40B4-BE49-F238E27FC236}">
              <a16:creationId xmlns:a16="http://schemas.microsoft.com/office/drawing/2014/main" id="{A46E9ECC-980D-4C71-996B-45DE7938434F}"/>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35585400"/>
          <a:ext cx="3270250" cy="1012825"/>
        </a:xfrm>
        <a:prstGeom prst="rect">
          <a:avLst/>
        </a:prstGeom>
        <a:noFill/>
        <a:ln>
          <a:noFill/>
        </a:ln>
      </xdr:spPr>
    </xdr:pic>
    <xdr:clientData/>
  </xdr:twoCellAnchor>
  <xdr:twoCellAnchor editAs="oneCell">
    <xdr:from>
      <xdr:col>0</xdr:col>
      <xdr:colOff>1</xdr:colOff>
      <xdr:row>184</xdr:row>
      <xdr:rowOff>0</xdr:rowOff>
    </xdr:from>
    <xdr:to>
      <xdr:col>0</xdr:col>
      <xdr:colOff>3238501</xdr:colOff>
      <xdr:row>188</xdr:row>
      <xdr:rowOff>31749</xdr:rowOff>
    </xdr:to>
    <xdr:pic>
      <xdr:nvPicPr>
        <xdr:cNvPr id="8" name="Image 7" descr="fregate">
          <a:extLst>
            <a:ext uri="{FF2B5EF4-FFF2-40B4-BE49-F238E27FC236}">
              <a16:creationId xmlns:a16="http://schemas.microsoft.com/office/drawing/2014/main" id="{CA4409A0-DA8C-4C76-B0B4-26FB413C7487}"/>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1967150"/>
          <a:ext cx="3238500" cy="1060450"/>
        </a:xfrm>
        <a:prstGeom prst="rect">
          <a:avLst/>
        </a:prstGeom>
        <a:noFill/>
        <a:ln>
          <a:noFill/>
        </a:ln>
      </xdr:spPr>
    </xdr:pic>
    <xdr:clientData/>
  </xdr:twoCellAnchor>
  <xdr:twoCellAnchor editAs="oneCell">
    <xdr:from>
      <xdr:col>0</xdr:col>
      <xdr:colOff>1</xdr:colOff>
      <xdr:row>211</xdr:row>
      <xdr:rowOff>190499</xdr:rowOff>
    </xdr:from>
    <xdr:to>
      <xdr:col>0</xdr:col>
      <xdr:colOff>3302001</xdr:colOff>
      <xdr:row>217</xdr:row>
      <xdr:rowOff>79374</xdr:rowOff>
    </xdr:to>
    <xdr:pic>
      <xdr:nvPicPr>
        <xdr:cNvPr id="9" name="Image 8" descr="fregate">
          <a:extLst>
            <a:ext uri="{FF2B5EF4-FFF2-40B4-BE49-F238E27FC236}">
              <a16:creationId xmlns:a16="http://schemas.microsoft.com/office/drawing/2014/main" id="{8E07B048-CA41-4DB0-B2AB-D308E14CA0E9}"/>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47863124"/>
          <a:ext cx="3302000" cy="1031875"/>
        </a:xfrm>
        <a:prstGeom prst="rect">
          <a:avLst/>
        </a:prstGeom>
        <a:noFill/>
        <a:ln>
          <a:noFill/>
        </a:ln>
      </xdr:spPr>
    </xdr:pic>
    <xdr:clientData/>
  </xdr:twoCellAnchor>
  <xdr:twoCellAnchor editAs="oneCell">
    <xdr:from>
      <xdr:col>0</xdr:col>
      <xdr:colOff>31750</xdr:colOff>
      <xdr:row>244</xdr:row>
      <xdr:rowOff>113187</xdr:rowOff>
    </xdr:from>
    <xdr:to>
      <xdr:col>0</xdr:col>
      <xdr:colOff>3286125</xdr:colOff>
      <xdr:row>248</xdr:row>
      <xdr:rowOff>174625</xdr:rowOff>
    </xdr:to>
    <xdr:pic>
      <xdr:nvPicPr>
        <xdr:cNvPr id="10" name="Image 9" descr="fregate">
          <a:extLst>
            <a:ext uri="{FF2B5EF4-FFF2-40B4-BE49-F238E27FC236}">
              <a16:creationId xmlns:a16="http://schemas.microsoft.com/office/drawing/2014/main" id="{0E6EA903-B06A-4C8F-9098-BA6365C08006}"/>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54339012"/>
          <a:ext cx="3254375" cy="1090138"/>
        </a:xfrm>
        <a:prstGeom prst="rect">
          <a:avLst/>
        </a:prstGeom>
        <a:noFill/>
        <a:ln>
          <a:noFill/>
        </a:ln>
      </xdr:spPr>
    </xdr:pic>
    <xdr:clientData/>
  </xdr:twoCellAnchor>
  <xdr:twoCellAnchor editAs="oneCell">
    <xdr:from>
      <xdr:col>0</xdr:col>
      <xdr:colOff>0</xdr:colOff>
      <xdr:row>484</xdr:row>
      <xdr:rowOff>190499</xdr:rowOff>
    </xdr:from>
    <xdr:to>
      <xdr:col>0</xdr:col>
      <xdr:colOff>3222625</xdr:colOff>
      <xdr:row>490</xdr:row>
      <xdr:rowOff>142874</xdr:rowOff>
    </xdr:to>
    <xdr:pic>
      <xdr:nvPicPr>
        <xdr:cNvPr id="11" name="Image 10" descr="fregate">
          <a:extLst>
            <a:ext uri="{FF2B5EF4-FFF2-40B4-BE49-F238E27FC236}">
              <a16:creationId xmlns:a16="http://schemas.microsoft.com/office/drawing/2014/main" id="{0B3B9E48-D765-4B6A-B615-58D0B99D8BAC}"/>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2060374"/>
          <a:ext cx="3222625" cy="1095375"/>
        </a:xfrm>
        <a:prstGeom prst="rect">
          <a:avLst/>
        </a:prstGeom>
        <a:noFill/>
        <a:ln>
          <a:noFill/>
        </a:ln>
      </xdr:spPr>
    </xdr:pic>
    <xdr:clientData/>
  </xdr:twoCellAnchor>
  <xdr:twoCellAnchor editAs="oneCell">
    <xdr:from>
      <xdr:col>0</xdr:col>
      <xdr:colOff>0</xdr:colOff>
      <xdr:row>280</xdr:row>
      <xdr:rowOff>0</xdr:rowOff>
    </xdr:from>
    <xdr:to>
      <xdr:col>0</xdr:col>
      <xdr:colOff>3222625</xdr:colOff>
      <xdr:row>285</xdr:row>
      <xdr:rowOff>142875</xdr:rowOff>
    </xdr:to>
    <xdr:pic>
      <xdr:nvPicPr>
        <xdr:cNvPr id="12" name="Image 11" descr="fregate">
          <a:extLst>
            <a:ext uri="{FF2B5EF4-FFF2-40B4-BE49-F238E27FC236}">
              <a16:creationId xmlns:a16="http://schemas.microsoft.com/office/drawing/2014/main" id="{7F3A4BBE-7967-4799-931F-894FF5ACB794}"/>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1350525"/>
          <a:ext cx="3222625" cy="1095375"/>
        </a:xfrm>
        <a:prstGeom prst="rect">
          <a:avLst/>
        </a:prstGeom>
        <a:noFill/>
        <a:ln>
          <a:noFill/>
        </a:ln>
      </xdr:spPr>
    </xdr:pic>
    <xdr:clientData/>
  </xdr:twoCellAnchor>
  <xdr:oneCellAnchor>
    <xdr:from>
      <xdr:col>0</xdr:col>
      <xdr:colOff>1</xdr:colOff>
      <xdr:row>309</xdr:row>
      <xdr:rowOff>190499</xdr:rowOff>
    </xdr:from>
    <xdr:ext cx="3302000" cy="1031875"/>
    <xdr:pic>
      <xdr:nvPicPr>
        <xdr:cNvPr id="13" name="Image 12" descr="fregate">
          <a:extLst>
            <a:ext uri="{FF2B5EF4-FFF2-40B4-BE49-F238E27FC236}">
              <a16:creationId xmlns:a16="http://schemas.microsoft.com/office/drawing/2014/main" id="{63BCF2EF-A9D8-4449-9C39-E68756C9C2DF}"/>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67360799"/>
          <a:ext cx="3302000" cy="1031875"/>
        </a:xfrm>
        <a:prstGeom prst="rect">
          <a:avLst/>
        </a:prstGeom>
        <a:noFill/>
        <a:ln>
          <a:noFill/>
        </a:ln>
      </xdr:spPr>
    </xdr:pic>
    <xdr:clientData/>
  </xdr:oneCellAnchor>
  <xdr:oneCellAnchor>
    <xdr:from>
      <xdr:col>0</xdr:col>
      <xdr:colOff>31750</xdr:colOff>
      <xdr:row>339</xdr:row>
      <xdr:rowOff>17937</xdr:rowOff>
    </xdr:from>
    <xdr:ext cx="3254375" cy="1093313"/>
    <xdr:pic>
      <xdr:nvPicPr>
        <xdr:cNvPr id="14" name="Image 13" descr="fregate">
          <a:extLst>
            <a:ext uri="{FF2B5EF4-FFF2-40B4-BE49-F238E27FC236}">
              <a16:creationId xmlns:a16="http://schemas.microsoft.com/office/drawing/2014/main" id="{3D371EBB-F43D-4C0D-B91B-D7C0A83E38D4}"/>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73169937"/>
          <a:ext cx="3254375" cy="1093313"/>
        </a:xfrm>
        <a:prstGeom prst="rect">
          <a:avLst/>
        </a:prstGeom>
        <a:noFill/>
        <a:ln>
          <a:noFill/>
        </a:ln>
      </xdr:spPr>
    </xdr:pic>
    <xdr:clientData/>
  </xdr:oneCellAnchor>
  <xdr:oneCellAnchor>
    <xdr:from>
      <xdr:col>0</xdr:col>
      <xdr:colOff>31750</xdr:colOff>
      <xdr:row>444</xdr:row>
      <xdr:rowOff>17937</xdr:rowOff>
    </xdr:from>
    <xdr:ext cx="3254375" cy="1093313"/>
    <xdr:pic>
      <xdr:nvPicPr>
        <xdr:cNvPr id="15" name="Image 14" descr="fregate">
          <a:extLst>
            <a:ext uri="{FF2B5EF4-FFF2-40B4-BE49-F238E27FC236}">
              <a16:creationId xmlns:a16="http://schemas.microsoft.com/office/drawing/2014/main" id="{C1480EA5-586E-4644-83C9-94D3E40B5FFB}"/>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750" y="94001112"/>
          <a:ext cx="3254375" cy="1093313"/>
        </a:xfrm>
        <a:prstGeom prst="rect">
          <a:avLst/>
        </a:prstGeom>
        <a:noFill/>
        <a:ln>
          <a:noFill/>
        </a:ln>
      </xdr:spPr>
    </xdr:pic>
    <xdr:clientData/>
  </xdr:oneCellAnchor>
  <xdr:oneCellAnchor>
    <xdr:from>
      <xdr:col>0</xdr:col>
      <xdr:colOff>0</xdr:colOff>
      <xdr:row>390</xdr:row>
      <xdr:rowOff>0</xdr:rowOff>
    </xdr:from>
    <xdr:ext cx="3222625" cy="1095375"/>
    <xdr:pic>
      <xdr:nvPicPr>
        <xdr:cNvPr id="16" name="Image 15" descr="fregate">
          <a:extLst>
            <a:ext uri="{FF2B5EF4-FFF2-40B4-BE49-F238E27FC236}">
              <a16:creationId xmlns:a16="http://schemas.microsoft.com/office/drawing/2014/main" id="{6705E79F-0742-4978-94CD-1C4868A9703D}"/>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134200"/>
          <a:ext cx="3222625" cy="1095375"/>
        </a:xfrm>
        <a:prstGeom prst="rect">
          <a:avLst/>
        </a:prstGeom>
        <a:noFill/>
        <a:ln>
          <a:noFill/>
        </a:ln>
      </xdr:spPr>
    </xdr:pic>
    <xdr:clientData/>
  </xdr:oneCellAnchor>
  <xdr:oneCellAnchor>
    <xdr:from>
      <xdr:col>0</xdr:col>
      <xdr:colOff>1</xdr:colOff>
      <xdr:row>418</xdr:row>
      <xdr:rowOff>190499</xdr:rowOff>
    </xdr:from>
    <xdr:ext cx="3302000" cy="1031875"/>
    <xdr:pic>
      <xdr:nvPicPr>
        <xdr:cNvPr id="17" name="Image 16" descr="fregate">
          <a:extLst>
            <a:ext uri="{FF2B5EF4-FFF2-40B4-BE49-F238E27FC236}">
              <a16:creationId xmlns:a16="http://schemas.microsoft.com/office/drawing/2014/main" id="{E296BFEA-EDE3-481F-96A6-1097EE72A853}"/>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 y="88953974"/>
          <a:ext cx="3302000" cy="1031875"/>
        </a:xfrm>
        <a:prstGeom prst="rect">
          <a:avLst/>
        </a:prstGeom>
        <a:noFill/>
        <a:ln>
          <a:noFill/>
        </a:ln>
      </xdr:spPr>
    </xdr:pic>
    <xdr:clientData/>
  </xdr:oneCellAnchor>
  <xdr:twoCellAnchor editAs="oneCell">
    <xdr:from>
      <xdr:col>4</xdr:col>
      <xdr:colOff>502227</xdr:colOff>
      <xdr:row>59</xdr:row>
      <xdr:rowOff>51955</xdr:rowOff>
    </xdr:from>
    <xdr:to>
      <xdr:col>6</xdr:col>
      <xdr:colOff>999524</xdr:colOff>
      <xdr:row>79</xdr:row>
      <xdr:rowOff>133535</xdr:rowOff>
    </xdr:to>
    <xdr:pic>
      <xdr:nvPicPr>
        <xdr:cNvPr id="112" name="Image 111">
          <a:extLst>
            <a:ext uri="{FF2B5EF4-FFF2-40B4-BE49-F238E27FC236}">
              <a16:creationId xmlns:a16="http://schemas.microsoft.com/office/drawing/2014/main" id="{8F598B34-35E6-485C-A614-5A2175E50A4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862954" y="13023273"/>
          <a:ext cx="4012888" cy="4047444"/>
        </a:xfrm>
        <a:prstGeom prst="rect">
          <a:avLst/>
        </a:prstGeom>
      </xdr:spPr>
    </xdr:pic>
    <xdr:clientData/>
  </xdr:twoCellAnchor>
  <xdr:twoCellAnchor>
    <xdr:from>
      <xdr:col>1</xdr:col>
      <xdr:colOff>0</xdr:colOff>
      <xdr:row>250</xdr:row>
      <xdr:rowOff>0</xdr:rowOff>
    </xdr:from>
    <xdr:to>
      <xdr:col>11</xdr:col>
      <xdr:colOff>86591</xdr:colOff>
      <xdr:row>274</xdr:row>
      <xdr:rowOff>69272</xdr:rowOff>
    </xdr:to>
    <xdr:graphicFrame macro="">
      <xdr:nvGraphicFramePr>
        <xdr:cNvPr id="113" name="Graphique 112">
          <a:extLst>
            <a:ext uri="{FF2B5EF4-FFF2-40B4-BE49-F238E27FC236}">
              <a16:creationId xmlns:a16="http://schemas.microsoft.com/office/drawing/2014/main" id="{7E266138-4DE9-4C32-8EFB-58E3DF0A4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346</xdr:row>
      <xdr:rowOff>0</xdr:rowOff>
    </xdr:from>
    <xdr:to>
      <xdr:col>12</xdr:col>
      <xdr:colOff>813955</xdr:colOff>
      <xdr:row>384</xdr:row>
      <xdr:rowOff>17318</xdr:rowOff>
    </xdr:to>
    <xdr:graphicFrame macro="">
      <xdr:nvGraphicFramePr>
        <xdr:cNvPr id="114" name="Graphique 113">
          <a:extLst>
            <a:ext uri="{FF2B5EF4-FFF2-40B4-BE49-F238E27FC236}">
              <a16:creationId xmlns:a16="http://schemas.microsoft.com/office/drawing/2014/main" id="{5B98A8B0-AD6D-466C-9BBC-8C46B633F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451</xdr:row>
      <xdr:rowOff>0</xdr:rowOff>
    </xdr:from>
    <xdr:to>
      <xdr:col>12</xdr:col>
      <xdr:colOff>606137</xdr:colOff>
      <xdr:row>480</xdr:row>
      <xdr:rowOff>34636</xdr:rowOff>
    </xdr:to>
    <xdr:graphicFrame macro="">
      <xdr:nvGraphicFramePr>
        <xdr:cNvPr id="115" name="Graphique 114">
          <a:extLst>
            <a:ext uri="{FF2B5EF4-FFF2-40B4-BE49-F238E27FC236}">
              <a16:creationId xmlns:a16="http://schemas.microsoft.com/office/drawing/2014/main" id="{B14AE781-B264-4B40-9113-462859E40E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190501</xdr:colOff>
      <xdr:row>187</xdr:row>
      <xdr:rowOff>309562</xdr:rowOff>
    </xdr:from>
    <xdr:to>
      <xdr:col>13</xdr:col>
      <xdr:colOff>642937</xdr:colOff>
      <xdr:row>209</xdr:row>
      <xdr:rowOff>142874</xdr:rowOff>
    </xdr:to>
    <xdr:grpSp>
      <xdr:nvGrpSpPr>
        <xdr:cNvPr id="151" name="Groupe 150">
          <a:extLst>
            <a:ext uri="{FF2B5EF4-FFF2-40B4-BE49-F238E27FC236}">
              <a16:creationId xmlns:a16="http://schemas.microsoft.com/office/drawing/2014/main" id="{48C739C4-C87C-4E8A-94B5-794782480104}"/>
            </a:ext>
          </a:extLst>
        </xdr:cNvPr>
        <xdr:cNvGrpSpPr/>
      </xdr:nvGrpSpPr>
      <xdr:grpSpPr>
        <a:xfrm>
          <a:off x="19097626" y="40124062"/>
          <a:ext cx="4548186" cy="4572000"/>
          <a:chOff x="8605630" y="3404152"/>
          <a:chExt cx="4174435" cy="4232412"/>
        </a:xfrm>
      </xdr:grpSpPr>
      <xdr:sp macro="" textlink="">
        <xdr:nvSpPr>
          <xdr:cNvPr id="152" name="Organigramme : Connecteur 151">
            <a:extLst>
              <a:ext uri="{FF2B5EF4-FFF2-40B4-BE49-F238E27FC236}">
                <a16:creationId xmlns:a16="http://schemas.microsoft.com/office/drawing/2014/main" id="{9904E0D4-01F4-FE5E-18BE-BE84FD232B9B}"/>
              </a:ext>
            </a:extLst>
          </xdr:cNvPr>
          <xdr:cNvSpPr/>
        </xdr:nvSpPr>
        <xdr:spPr>
          <a:xfrm>
            <a:off x="8608943" y="7424530"/>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grpSp>
        <xdr:nvGrpSpPr>
          <xdr:cNvPr id="153" name="Groupe 152">
            <a:extLst>
              <a:ext uri="{FF2B5EF4-FFF2-40B4-BE49-F238E27FC236}">
                <a16:creationId xmlns:a16="http://schemas.microsoft.com/office/drawing/2014/main" id="{30BEAD3B-6367-D696-FC15-D2F2D5506F3A}"/>
              </a:ext>
            </a:extLst>
          </xdr:cNvPr>
          <xdr:cNvGrpSpPr/>
        </xdr:nvGrpSpPr>
        <xdr:grpSpPr>
          <a:xfrm>
            <a:off x="8605630" y="3404152"/>
            <a:ext cx="4174435" cy="4232412"/>
            <a:chOff x="8605630" y="3404152"/>
            <a:chExt cx="4174435" cy="4232412"/>
          </a:xfrm>
        </xdr:grpSpPr>
        <xdr:grpSp>
          <xdr:nvGrpSpPr>
            <xdr:cNvPr id="154" name="Groupe 153">
              <a:extLst>
                <a:ext uri="{FF2B5EF4-FFF2-40B4-BE49-F238E27FC236}">
                  <a16:creationId xmlns:a16="http://schemas.microsoft.com/office/drawing/2014/main" id="{6D653198-377F-CE69-4415-42C2032D37EB}"/>
                </a:ext>
              </a:extLst>
            </xdr:cNvPr>
            <xdr:cNvGrpSpPr/>
          </xdr:nvGrpSpPr>
          <xdr:grpSpPr>
            <a:xfrm>
              <a:off x="9316277" y="3404152"/>
              <a:ext cx="3463788" cy="3327953"/>
              <a:chOff x="9092647" y="3420717"/>
              <a:chExt cx="3463788" cy="3327953"/>
            </a:xfrm>
          </xdr:grpSpPr>
          <xdr:sp macro="" textlink="">
            <xdr:nvSpPr>
              <xdr:cNvPr id="158" name="Organigramme : Connecteur 157">
                <a:extLst>
                  <a:ext uri="{FF2B5EF4-FFF2-40B4-BE49-F238E27FC236}">
                    <a16:creationId xmlns:a16="http://schemas.microsoft.com/office/drawing/2014/main" id="{6605CCA7-AE0D-3C15-E878-C33D497D5C9D}"/>
                  </a:ext>
                </a:extLst>
              </xdr:cNvPr>
              <xdr:cNvSpPr/>
            </xdr:nvSpPr>
            <xdr:spPr>
              <a:xfrm>
                <a:off x="9963978" y="367747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a:t>1</a:t>
                </a:r>
              </a:p>
            </xdr:txBody>
          </xdr:sp>
          <xdr:sp macro="" textlink="">
            <xdr:nvSpPr>
              <xdr:cNvPr id="159" name="Organigramme : Connecteur 158">
                <a:extLst>
                  <a:ext uri="{FF2B5EF4-FFF2-40B4-BE49-F238E27FC236}">
                    <a16:creationId xmlns:a16="http://schemas.microsoft.com/office/drawing/2014/main" id="{A1539B42-A96F-F715-EFB3-E603C5130083}"/>
                  </a:ext>
                </a:extLst>
              </xdr:cNvPr>
              <xdr:cNvSpPr/>
            </xdr:nvSpPr>
            <xdr:spPr>
              <a:xfrm>
                <a:off x="12264887" y="5663648"/>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5</a:t>
                </a:r>
              </a:p>
            </xdr:txBody>
          </xdr:sp>
          <xdr:sp macro="" textlink="">
            <xdr:nvSpPr>
              <xdr:cNvPr id="160" name="Organigramme : Connecteur 159">
                <a:extLst>
                  <a:ext uri="{FF2B5EF4-FFF2-40B4-BE49-F238E27FC236}">
                    <a16:creationId xmlns:a16="http://schemas.microsoft.com/office/drawing/2014/main" id="{CBBA3973-8CB9-6A86-8FE2-F03C766F6264}"/>
                  </a:ext>
                </a:extLst>
              </xdr:cNvPr>
              <xdr:cNvSpPr/>
            </xdr:nvSpPr>
            <xdr:spPr>
              <a:xfrm>
                <a:off x="11443253" y="6382579"/>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6</a:t>
                </a:r>
              </a:p>
            </xdr:txBody>
          </xdr:sp>
          <xdr:sp macro="" textlink="">
            <xdr:nvSpPr>
              <xdr:cNvPr id="161" name="Organigramme : Connecteur 160">
                <a:extLst>
                  <a:ext uri="{FF2B5EF4-FFF2-40B4-BE49-F238E27FC236}">
                    <a16:creationId xmlns:a16="http://schemas.microsoft.com/office/drawing/2014/main" id="{E0C2F063-B5D6-C4E1-E737-4547E429A617}"/>
                  </a:ext>
                </a:extLst>
              </xdr:cNvPr>
              <xdr:cNvSpPr/>
            </xdr:nvSpPr>
            <xdr:spPr>
              <a:xfrm>
                <a:off x="12150587" y="3420717"/>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2</a:t>
                </a:r>
              </a:p>
            </xdr:txBody>
          </xdr:sp>
          <xdr:sp macro="" textlink="">
            <xdr:nvSpPr>
              <xdr:cNvPr id="162" name="Organigramme : Connecteur 161">
                <a:extLst>
                  <a:ext uri="{FF2B5EF4-FFF2-40B4-BE49-F238E27FC236}">
                    <a16:creationId xmlns:a16="http://schemas.microsoft.com/office/drawing/2014/main" id="{4A681BAF-91C0-C5E1-01A0-9FFF895A6181}"/>
                  </a:ext>
                </a:extLst>
              </xdr:cNvPr>
              <xdr:cNvSpPr/>
            </xdr:nvSpPr>
            <xdr:spPr>
              <a:xfrm>
                <a:off x="9346095" y="4376531"/>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9</a:t>
                </a:r>
              </a:p>
            </xdr:txBody>
          </xdr:sp>
          <xdr:sp macro="" textlink="">
            <xdr:nvSpPr>
              <xdr:cNvPr id="163" name="Organigramme : Connecteur 162">
                <a:extLst>
                  <a:ext uri="{FF2B5EF4-FFF2-40B4-BE49-F238E27FC236}">
                    <a16:creationId xmlns:a16="http://schemas.microsoft.com/office/drawing/2014/main" id="{F4A6A7D5-189F-F781-7AB8-01DCC6E084CE}"/>
                  </a:ext>
                </a:extLst>
              </xdr:cNvPr>
              <xdr:cNvSpPr/>
            </xdr:nvSpPr>
            <xdr:spPr>
              <a:xfrm>
                <a:off x="9183757" y="6409082"/>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7</a:t>
                </a:r>
              </a:p>
            </xdr:txBody>
          </xdr:sp>
          <xdr:grpSp>
            <xdr:nvGrpSpPr>
              <xdr:cNvPr id="164" name="Groupe 163">
                <a:extLst>
                  <a:ext uri="{FF2B5EF4-FFF2-40B4-BE49-F238E27FC236}">
                    <a16:creationId xmlns:a16="http://schemas.microsoft.com/office/drawing/2014/main" id="{6663C0CB-A1F8-DAAC-5E1F-09FBAB76BA1E}"/>
                  </a:ext>
                </a:extLst>
              </xdr:cNvPr>
              <xdr:cNvGrpSpPr/>
            </xdr:nvGrpSpPr>
            <xdr:grpSpPr>
              <a:xfrm>
                <a:off x="9092647" y="3592995"/>
                <a:ext cx="3463788" cy="3155675"/>
                <a:chOff x="9092647" y="3592995"/>
                <a:chExt cx="3463788" cy="3155675"/>
              </a:xfrm>
            </xdr:grpSpPr>
            <xdr:sp macro="" textlink="">
              <xdr:nvSpPr>
                <xdr:cNvPr id="165" name="Organigramme : Connecteur 164">
                  <a:extLst>
                    <a:ext uri="{FF2B5EF4-FFF2-40B4-BE49-F238E27FC236}">
                      <a16:creationId xmlns:a16="http://schemas.microsoft.com/office/drawing/2014/main" id="{1A540F17-74CE-CBA7-7B22-AFFCEBDF8197}"/>
                    </a:ext>
                  </a:extLst>
                </xdr:cNvPr>
                <xdr:cNvSpPr/>
              </xdr:nvSpPr>
              <xdr:spPr>
                <a:xfrm>
                  <a:off x="11358770" y="4393095"/>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3</a:t>
                  </a:r>
                </a:p>
              </xdr:txBody>
            </xdr:sp>
            <xdr:sp macro="" textlink="">
              <xdr:nvSpPr>
                <xdr:cNvPr id="166" name="Organigramme : Connecteur 165">
                  <a:extLst>
                    <a:ext uri="{FF2B5EF4-FFF2-40B4-BE49-F238E27FC236}">
                      <a16:creationId xmlns:a16="http://schemas.microsoft.com/office/drawing/2014/main" id="{AC256BA1-FEB1-3A2E-96E3-E63BAD82930F}"/>
                    </a:ext>
                  </a:extLst>
                </xdr:cNvPr>
                <xdr:cNvSpPr/>
              </xdr:nvSpPr>
              <xdr:spPr>
                <a:xfrm>
                  <a:off x="10031896" y="5484744"/>
                  <a:ext cx="190500" cy="173935"/>
                </a:xfrm>
                <a:prstGeom prst="flowChartConnector">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marL="0" indent="0" algn="ctr"/>
                  <a:r>
                    <a:rPr lang="fr-FR" sz="1100">
                      <a:solidFill>
                        <a:schemeClr val="lt1"/>
                      </a:solidFill>
                      <a:latin typeface="+mn-lt"/>
                      <a:ea typeface="+mn-ea"/>
                      <a:cs typeface="+mn-cs"/>
                    </a:rPr>
                    <a:t>8</a:t>
                  </a:r>
                </a:p>
              </xdr:txBody>
            </xdr:sp>
            <xdr:sp macro="" textlink="$B$25">
              <xdr:nvSpPr>
                <xdr:cNvPr id="167" name="Organigramme : Connecteur 166">
                  <a:extLst>
                    <a:ext uri="{FF2B5EF4-FFF2-40B4-BE49-F238E27FC236}">
                      <a16:creationId xmlns:a16="http://schemas.microsoft.com/office/drawing/2014/main" id="{F7A2F286-DB23-2440-8ED0-03CE8BEC5D44}"/>
                    </a:ext>
                  </a:extLst>
                </xdr:cNvPr>
                <xdr:cNvSpPr/>
              </xdr:nvSpPr>
              <xdr:spPr>
                <a:xfrm>
                  <a:off x="11176552" y="4525618"/>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7CA7AED-13F6-4DD5-89FA-D5C1ED8C2DB0}" type="TxLink">
                    <a:rPr lang="en-US" sz="1100" b="0" i="0" u="none" strike="noStrike">
                      <a:solidFill>
                        <a:srgbClr val="000000"/>
                      </a:solidFill>
                      <a:latin typeface="Calibri"/>
                      <a:cs typeface="Calibri"/>
                    </a:rPr>
                    <a:t> </a:t>
                  </a:fld>
                  <a:endParaRPr lang="fr-FR" sz="1100"/>
                </a:p>
              </xdr:txBody>
            </xdr:sp>
            <xdr:sp macro="" textlink="$B$26">
              <xdr:nvSpPr>
                <xdr:cNvPr id="168" name="Organigramme : Connecteur 167">
                  <a:extLst>
                    <a:ext uri="{FF2B5EF4-FFF2-40B4-BE49-F238E27FC236}">
                      <a16:creationId xmlns:a16="http://schemas.microsoft.com/office/drawing/2014/main" id="{9A0C6B3B-D0A3-4187-4372-AD6C4C9D75FF}"/>
                    </a:ext>
                  </a:extLst>
                </xdr:cNvPr>
                <xdr:cNvSpPr/>
              </xdr:nvSpPr>
              <xdr:spPr>
                <a:xfrm>
                  <a:off x="11163300" y="5232952"/>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B0AF5FE-12EB-4948-87F0-A157FC2A5568}" type="TxLink">
                    <a:rPr lang="en-US" sz="1100" b="0" i="0" u="none" strike="noStrike">
                      <a:solidFill>
                        <a:srgbClr val="000000"/>
                      </a:solidFill>
                      <a:latin typeface="Calibri"/>
                      <a:cs typeface="Calibri"/>
                    </a:rPr>
                    <a:t> </a:t>
                  </a:fld>
                  <a:endParaRPr lang="fr-FR" sz="1100"/>
                </a:p>
              </xdr:txBody>
            </xdr:sp>
            <xdr:sp macro="" textlink="$B$28">
              <xdr:nvSpPr>
                <xdr:cNvPr id="169" name="Organigramme : Connecteur 168">
                  <a:extLst>
                    <a:ext uri="{FF2B5EF4-FFF2-40B4-BE49-F238E27FC236}">
                      <a16:creationId xmlns:a16="http://schemas.microsoft.com/office/drawing/2014/main" id="{D4F82783-8F82-2FE0-6B89-2C4792CDC41E}"/>
                    </a:ext>
                  </a:extLst>
                </xdr:cNvPr>
                <xdr:cNvSpPr/>
              </xdr:nvSpPr>
              <xdr:spPr>
                <a:xfrm>
                  <a:off x="11335578" y="654823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78796A2B-79BD-49A3-9F48-B9E2C88C9DF7}" type="TxLink">
                    <a:rPr lang="en-US" sz="1100" b="0" i="0" u="none" strike="noStrike">
                      <a:solidFill>
                        <a:srgbClr val="000000"/>
                      </a:solidFill>
                      <a:latin typeface="Calibri"/>
                      <a:cs typeface="Calibri"/>
                    </a:rPr>
                    <a:t> </a:t>
                  </a:fld>
                  <a:endParaRPr lang="fr-FR" sz="1100"/>
                </a:p>
              </xdr:txBody>
            </xdr:sp>
            <xdr:sp macro="" textlink="$B$30">
              <xdr:nvSpPr>
                <xdr:cNvPr id="170" name="Organigramme : Connecteur 169">
                  <a:extLst>
                    <a:ext uri="{FF2B5EF4-FFF2-40B4-BE49-F238E27FC236}">
                      <a16:creationId xmlns:a16="http://schemas.microsoft.com/office/drawing/2014/main" id="{E9CF3F46-C2BC-946A-D969-FEC6A8A2B550}"/>
                    </a:ext>
                  </a:extLst>
                </xdr:cNvPr>
                <xdr:cNvSpPr/>
              </xdr:nvSpPr>
              <xdr:spPr>
                <a:xfrm>
                  <a:off x="9930847" y="5632174"/>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95B684BE-2B92-4602-9BBF-72F95DBBCAEE}" type="TxLink">
                    <a:rPr lang="en-US" sz="1100" b="0" i="0" u="none" strike="noStrike">
                      <a:solidFill>
                        <a:srgbClr val="000000"/>
                      </a:solidFill>
                      <a:latin typeface="Calibri"/>
                      <a:cs typeface="Calibri"/>
                    </a:rPr>
                    <a:t> </a:t>
                  </a:fld>
                  <a:endParaRPr lang="fr-FR" sz="1100"/>
                </a:p>
              </xdr:txBody>
            </xdr:sp>
            <xdr:sp macro="" textlink="$B$29">
              <xdr:nvSpPr>
                <xdr:cNvPr id="171" name="Organigramme : Connecteur 170">
                  <a:extLst>
                    <a:ext uri="{FF2B5EF4-FFF2-40B4-BE49-F238E27FC236}">
                      <a16:creationId xmlns:a16="http://schemas.microsoft.com/office/drawing/2014/main" id="{E89FB951-DACC-9EAE-D848-AA7E305C6DA0}"/>
                    </a:ext>
                  </a:extLst>
                </xdr:cNvPr>
                <xdr:cNvSpPr/>
              </xdr:nvSpPr>
              <xdr:spPr>
                <a:xfrm>
                  <a:off x="9092647" y="65747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D267C57-F182-4684-A860-06F47FC45A75}" type="TxLink">
                    <a:rPr lang="en-US" sz="1100" b="0" i="0" u="none" strike="noStrike">
                      <a:solidFill>
                        <a:srgbClr val="000000"/>
                      </a:solidFill>
                      <a:latin typeface="Calibri"/>
                      <a:cs typeface="Calibri"/>
                    </a:rPr>
                    <a:t> </a:t>
                  </a:fld>
                  <a:endParaRPr lang="fr-FR" sz="1100"/>
                </a:p>
              </xdr:txBody>
            </xdr:sp>
            <xdr:sp macro="" textlink="$C$30">
              <xdr:nvSpPr>
                <xdr:cNvPr id="172" name="Organigramme : Connecteur 171">
                  <a:extLst>
                    <a:ext uri="{FF2B5EF4-FFF2-40B4-BE49-F238E27FC236}">
                      <a16:creationId xmlns:a16="http://schemas.microsoft.com/office/drawing/2014/main" id="{6D5CF386-0EFA-82EC-D4EC-5982E42912BC}"/>
                    </a:ext>
                  </a:extLst>
                </xdr:cNvPr>
                <xdr:cNvSpPr/>
              </xdr:nvSpPr>
              <xdr:spPr>
                <a:xfrm>
                  <a:off x="10104783" y="565702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54247DB-461C-44C1-84DB-7E89B147866D}" type="TxLink">
                    <a:rPr lang="en-US" sz="1100" b="0" i="0" u="none" strike="noStrike">
                      <a:solidFill>
                        <a:srgbClr val="000000"/>
                      </a:solidFill>
                      <a:latin typeface="Calibri"/>
                      <a:cs typeface="Calibri"/>
                    </a:rPr>
                    <a:t> </a:t>
                  </a:fld>
                  <a:endParaRPr lang="fr-FR" sz="1100"/>
                </a:p>
              </xdr:txBody>
            </xdr:sp>
            <xdr:sp macro="" textlink="$C$25">
              <xdr:nvSpPr>
                <xdr:cNvPr id="173" name="Organigramme : Connecteur 172">
                  <a:extLst>
                    <a:ext uri="{FF2B5EF4-FFF2-40B4-BE49-F238E27FC236}">
                      <a16:creationId xmlns:a16="http://schemas.microsoft.com/office/drawing/2014/main" id="{D6279A11-6923-E266-0256-83BE1C5541BF}"/>
                    </a:ext>
                  </a:extLst>
                </xdr:cNvPr>
                <xdr:cNvSpPr/>
              </xdr:nvSpPr>
              <xdr:spPr>
                <a:xfrm>
                  <a:off x="11362083" y="4562061"/>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CCD18AD1-479B-4288-B463-4E92362626E2}" type="TxLink">
                    <a:rPr lang="en-US" sz="1100" b="0" i="0" u="none" strike="noStrike">
                      <a:solidFill>
                        <a:srgbClr val="000000"/>
                      </a:solidFill>
                      <a:latin typeface="Calibri"/>
                      <a:cs typeface="Calibri"/>
                    </a:rPr>
                    <a:t> </a:t>
                  </a:fld>
                  <a:endParaRPr lang="fr-FR" sz="1100"/>
                </a:p>
              </xdr:txBody>
            </xdr:sp>
            <xdr:sp macro="" textlink="$C$29">
              <xdr:nvSpPr>
                <xdr:cNvPr id="174" name="Organigramme : Connecteur 173">
                  <a:extLst>
                    <a:ext uri="{FF2B5EF4-FFF2-40B4-BE49-F238E27FC236}">
                      <a16:creationId xmlns:a16="http://schemas.microsoft.com/office/drawing/2014/main" id="{21246698-AE63-760B-F9AD-7A74338C2195}"/>
                    </a:ext>
                  </a:extLst>
                </xdr:cNvPr>
                <xdr:cNvSpPr/>
              </xdr:nvSpPr>
              <xdr:spPr>
                <a:xfrm>
                  <a:off x="9303026" y="6561482"/>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1264F65-92C5-4C18-8A8B-D6FE450943AA}" type="TxLink">
                    <a:rPr lang="en-US" sz="1100" b="0" i="0" u="none" strike="noStrike">
                      <a:solidFill>
                        <a:srgbClr val="000000"/>
                      </a:solidFill>
                      <a:latin typeface="Calibri"/>
                      <a:cs typeface="Calibri"/>
                    </a:rPr>
                    <a:t> </a:t>
                  </a:fld>
                  <a:endParaRPr lang="fr-FR" sz="1100"/>
                </a:p>
              </xdr:txBody>
            </xdr:sp>
            <xdr:sp macro="" textlink="$C$28">
              <xdr:nvSpPr>
                <xdr:cNvPr id="175" name="Organigramme : Connecteur 174">
                  <a:extLst>
                    <a:ext uri="{FF2B5EF4-FFF2-40B4-BE49-F238E27FC236}">
                      <a16:creationId xmlns:a16="http://schemas.microsoft.com/office/drawing/2014/main" id="{4D45C15C-0B9C-6D50-D099-30605CB896C2}"/>
                    </a:ext>
                  </a:extLst>
                </xdr:cNvPr>
                <xdr:cNvSpPr/>
              </xdr:nvSpPr>
              <xdr:spPr>
                <a:xfrm>
                  <a:off x="11534361" y="6539948"/>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61BDB1A-7212-4E6E-BB4D-9B854ED91615}" type="TxLink">
                    <a:rPr lang="en-US" sz="1100" b="0" i="0" u="none" strike="noStrike">
                      <a:solidFill>
                        <a:srgbClr val="000000"/>
                      </a:solidFill>
                      <a:latin typeface="Calibri"/>
                      <a:cs typeface="Calibri"/>
                    </a:rPr>
                    <a:t> </a:t>
                  </a:fld>
                  <a:endParaRPr lang="fr-FR" sz="1100"/>
                </a:p>
              </xdr:txBody>
            </xdr:sp>
            <xdr:sp macro="" textlink="$C$26">
              <xdr:nvSpPr>
                <xdr:cNvPr id="176" name="Organigramme : Connecteur 175">
                  <a:extLst>
                    <a:ext uri="{FF2B5EF4-FFF2-40B4-BE49-F238E27FC236}">
                      <a16:creationId xmlns:a16="http://schemas.microsoft.com/office/drawing/2014/main" id="{CAC6BFC5-77D7-98A6-D325-4A3E5408E2E4}"/>
                    </a:ext>
                  </a:extLst>
                </xdr:cNvPr>
                <xdr:cNvSpPr/>
              </xdr:nvSpPr>
              <xdr:spPr>
                <a:xfrm>
                  <a:off x="11358770" y="5271053"/>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1D1E8F9-EF3B-4F96-A0C4-EC37443A6E4B}" type="TxLink">
                    <a:rPr lang="en-US" sz="1100" b="0" i="0" u="none" strike="noStrike">
                      <a:solidFill>
                        <a:srgbClr val="000000"/>
                      </a:solidFill>
                      <a:latin typeface="Calibri"/>
                      <a:cs typeface="Calibri"/>
                    </a:rPr>
                    <a:t> </a:t>
                  </a:fld>
                  <a:endParaRPr lang="fr-FR" sz="1100"/>
                </a:p>
              </xdr:txBody>
            </xdr:sp>
            <xdr:grpSp>
              <xdr:nvGrpSpPr>
                <xdr:cNvPr id="177" name="Groupe 176">
                  <a:extLst>
                    <a:ext uri="{FF2B5EF4-FFF2-40B4-BE49-F238E27FC236}">
                      <a16:creationId xmlns:a16="http://schemas.microsoft.com/office/drawing/2014/main" id="{7394BC3A-5232-6B3C-37E3-EB4B61A29E35}"/>
                    </a:ext>
                  </a:extLst>
                </xdr:cNvPr>
                <xdr:cNvGrpSpPr/>
              </xdr:nvGrpSpPr>
              <xdr:grpSpPr>
                <a:xfrm>
                  <a:off x="9230139" y="3592995"/>
                  <a:ext cx="3326296" cy="2792482"/>
                  <a:chOff x="9230139" y="3592995"/>
                  <a:chExt cx="3326296" cy="2792482"/>
                </a:xfrm>
              </xdr:grpSpPr>
              <xdr:grpSp>
                <xdr:nvGrpSpPr>
                  <xdr:cNvPr id="178" name="Groupe 177">
                    <a:extLst>
                      <a:ext uri="{FF2B5EF4-FFF2-40B4-BE49-F238E27FC236}">
                        <a16:creationId xmlns:a16="http://schemas.microsoft.com/office/drawing/2014/main" id="{46F2254A-6354-D0A5-3CFE-CA1B215D20AC}"/>
                      </a:ext>
                    </a:extLst>
                  </xdr:cNvPr>
                  <xdr:cNvGrpSpPr/>
                </xdr:nvGrpSpPr>
                <xdr:grpSpPr>
                  <a:xfrm>
                    <a:off x="9310480" y="3635237"/>
                    <a:ext cx="2949367" cy="2750240"/>
                    <a:chOff x="9320893" y="3638550"/>
                    <a:chExt cx="2950550" cy="2755446"/>
                  </a:xfrm>
                </xdr:grpSpPr>
                <xdr:sp macro="" textlink="">
                  <xdr:nvSpPr>
                    <xdr:cNvPr id="187" name="Cube 186">
                      <a:extLst>
                        <a:ext uri="{FF2B5EF4-FFF2-40B4-BE49-F238E27FC236}">
                          <a16:creationId xmlns:a16="http://schemas.microsoft.com/office/drawing/2014/main" id="{8E4FEFFA-300D-8C25-25A0-D8D5AB370969}"/>
                        </a:ext>
                      </a:extLst>
                    </xdr:cNvPr>
                    <xdr:cNvSpPr/>
                  </xdr:nvSpPr>
                  <xdr:spPr>
                    <a:xfrm>
                      <a:off x="9320893" y="3648075"/>
                      <a:ext cx="2947307" cy="2745921"/>
                    </a:xfrm>
                    <a:prstGeom prst="cube">
                      <a:avLst/>
                    </a:prstGeom>
                    <a:no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fr-FR" sz="1100"/>
                    </a:p>
                  </xdr:txBody>
                </xdr:sp>
                <xdr:cxnSp macro="">
                  <xdr:nvCxnSpPr>
                    <xdr:cNvPr id="188" name="Connecteur droit 187">
                      <a:extLst>
                        <a:ext uri="{FF2B5EF4-FFF2-40B4-BE49-F238E27FC236}">
                          <a16:creationId xmlns:a16="http://schemas.microsoft.com/office/drawing/2014/main" id="{34CD9B05-D4A2-65A5-8DD2-585A27374FCF}"/>
                        </a:ext>
                      </a:extLst>
                    </xdr:cNvPr>
                    <xdr:cNvCxnSpPr/>
                  </xdr:nvCxnSpPr>
                  <xdr:spPr>
                    <a:xfrm flipV="1">
                      <a:off x="9330418" y="5698671"/>
                      <a:ext cx="704850" cy="695325"/>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89" name="Connecteur droit 188">
                      <a:extLst>
                        <a:ext uri="{FF2B5EF4-FFF2-40B4-BE49-F238E27FC236}">
                          <a16:creationId xmlns:a16="http://schemas.microsoft.com/office/drawing/2014/main" id="{28C2AC11-B8A5-CE83-525D-B04A62768CD0}"/>
                        </a:ext>
                      </a:extLst>
                    </xdr:cNvPr>
                    <xdr:cNvCxnSpPr/>
                  </xdr:nvCxnSpPr>
                  <xdr:spPr>
                    <a:xfrm>
                      <a:off x="10025743" y="3638550"/>
                      <a:ext cx="0" cy="20601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0" name="Connecteur droit 189">
                      <a:extLst>
                        <a:ext uri="{FF2B5EF4-FFF2-40B4-BE49-F238E27FC236}">
                          <a16:creationId xmlns:a16="http://schemas.microsoft.com/office/drawing/2014/main" id="{47165000-FE15-58E8-17D5-FD8BE6753949}"/>
                        </a:ext>
                      </a:extLst>
                    </xdr:cNvPr>
                    <xdr:cNvCxnSpPr/>
                  </xdr:nvCxnSpPr>
                  <xdr:spPr>
                    <a:xfrm flipV="1">
                      <a:off x="10022501" y="5694618"/>
                      <a:ext cx="2248942" cy="4053"/>
                    </a:xfrm>
                    <a:prstGeom prst="line">
                      <a:avLst/>
                    </a:prstGeom>
                  </xdr:spPr>
                  <xdr:style>
                    <a:lnRef idx="1">
                      <a:schemeClr val="accent1"/>
                    </a:lnRef>
                    <a:fillRef idx="0">
                      <a:schemeClr val="accent1"/>
                    </a:fillRef>
                    <a:effectRef idx="0">
                      <a:schemeClr val="accent1"/>
                    </a:effectRef>
                    <a:fontRef idx="minor">
                      <a:schemeClr val="tx1"/>
                    </a:fontRef>
                  </xdr:style>
                </xdr:cxnSp>
              </xdr:grpSp>
              <xdr:sp macro="" textlink="$B$23">
                <xdr:nvSpPr>
                  <xdr:cNvPr id="179" name="Organigramme : Connecteur 178">
                    <a:extLst>
                      <a:ext uri="{FF2B5EF4-FFF2-40B4-BE49-F238E27FC236}">
                        <a16:creationId xmlns:a16="http://schemas.microsoft.com/office/drawing/2014/main" id="{163C3A09-B631-AAEC-9458-C67D4DE72A33}"/>
                      </a:ext>
                    </a:extLst>
                  </xdr:cNvPr>
                  <xdr:cNvSpPr/>
                </xdr:nvSpPr>
                <xdr:spPr>
                  <a:xfrm>
                    <a:off x="9864587" y="38514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t> </a:t>
                    </a:fld>
                    <a:endParaRPr lang="fr-FR" sz="1100"/>
                  </a:p>
                </xdr:txBody>
              </xdr:sp>
              <xdr:sp macro="" textlink="$C$23">
                <xdr:nvSpPr>
                  <xdr:cNvPr id="180" name="Organigramme : Connecteur 179">
                    <a:extLst>
                      <a:ext uri="{FF2B5EF4-FFF2-40B4-BE49-F238E27FC236}">
                        <a16:creationId xmlns:a16="http://schemas.microsoft.com/office/drawing/2014/main" id="{AABE11BF-E8A7-FC5A-2DF3-CCFF38CF6C0A}"/>
                      </a:ext>
                    </a:extLst>
                  </xdr:cNvPr>
                  <xdr:cNvSpPr/>
                </xdr:nvSpPr>
                <xdr:spPr>
                  <a:xfrm>
                    <a:off x="10074966" y="385472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t> </a:t>
                    </a:fld>
                    <a:endParaRPr lang="fr-FR" sz="1100"/>
                  </a:p>
                </xdr:txBody>
              </xdr:sp>
              <xdr:sp macro="" textlink="$B$24">
                <xdr:nvSpPr>
                  <xdr:cNvPr id="181" name="Organigramme : Connecteur 180">
                    <a:extLst>
                      <a:ext uri="{FF2B5EF4-FFF2-40B4-BE49-F238E27FC236}">
                        <a16:creationId xmlns:a16="http://schemas.microsoft.com/office/drawing/2014/main" id="{F50E3776-4C89-0B4D-FDEB-B83FB3CCE438}"/>
                      </a:ext>
                    </a:extLst>
                  </xdr:cNvPr>
                  <xdr:cNvSpPr/>
                </xdr:nvSpPr>
                <xdr:spPr>
                  <a:xfrm>
                    <a:off x="12026347" y="3602935"/>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81FEBCCD-F334-438C-B16D-BC02A52B73BD}" type="TxLink">
                      <a:rPr lang="en-US" sz="1100" b="0" i="0" u="none" strike="noStrike">
                        <a:solidFill>
                          <a:srgbClr val="000000"/>
                        </a:solidFill>
                        <a:latin typeface="Calibri"/>
                        <a:cs typeface="Calibri"/>
                      </a:rPr>
                      <a:t> </a:t>
                    </a:fld>
                    <a:endParaRPr lang="fr-FR" sz="1100"/>
                  </a:p>
                </xdr:txBody>
              </xdr:sp>
              <xdr:sp macro="" textlink="$B$27">
                <xdr:nvSpPr>
                  <xdr:cNvPr id="182" name="Organigramme : Connecteur 181">
                    <a:extLst>
                      <a:ext uri="{FF2B5EF4-FFF2-40B4-BE49-F238E27FC236}">
                        <a16:creationId xmlns:a16="http://schemas.microsoft.com/office/drawing/2014/main" id="{250EE98B-2A56-F44F-A00C-0FFB41FF3F76}"/>
                      </a:ext>
                    </a:extLst>
                  </xdr:cNvPr>
                  <xdr:cNvSpPr/>
                </xdr:nvSpPr>
                <xdr:spPr>
                  <a:xfrm>
                    <a:off x="12168808" y="5832613"/>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9E3A28F-8DBA-4D92-B413-3030374326FC}" type="TxLink">
                      <a:rPr lang="en-US" sz="1100" b="0" i="0" u="none" strike="noStrike">
                        <a:solidFill>
                          <a:srgbClr val="000000"/>
                        </a:solidFill>
                        <a:latin typeface="Calibri"/>
                        <a:cs typeface="Calibri"/>
                      </a:rPr>
                      <a:t> </a:t>
                    </a:fld>
                    <a:endParaRPr lang="fr-FR" sz="1100"/>
                  </a:p>
                </xdr:txBody>
              </xdr:sp>
              <xdr:sp macro="" textlink="$B$31">
                <xdr:nvSpPr>
                  <xdr:cNvPr id="183" name="Organigramme : Connecteur 182">
                    <a:extLst>
                      <a:ext uri="{FF2B5EF4-FFF2-40B4-BE49-F238E27FC236}">
                        <a16:creationId xmlns:a16="http://schemas.microsoft.com/office/drawing/2014/main" id="{8099D3E4-877B-9B9E-8C2E-E80CBFD1023C}"/>
                      </a:ext>
                    </a:extLst>
                  </xdr:cNvPr>
                  <xdr:cNvSpPr/>
                </xdr:nvSpPr>
                <xdr:spPr>
                  <a:xfrm>
                    <a:off x="9230139" y="4525617"/>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marL="0" indent="0" algn="ctr"/>
                    <a:fld id="{4649CD75-14AB-4C4B-845B-2434CA2E0070}" type="TxLink">
                      <a:rPr lang="en-US" sz="1100" b="0" i="0" u="none" strike="noStrike">
                        <a:solidFill>
                          <a:srgbClr val="000000"/>
                        </a:solidFill>
                        <a:latin typeface="Calibri"/>
                        <a:ea typeface="+mn-ea"/>
                        <a:cs typeface="Calibri"/>
                      </a:rPr>
                      <a:t> </a:t>
                    </a:fld>
                    <a:endParaRPr lang="fr-FR" sz="1100" b="0" i="0" u="none" strike="noStrike">
                      <a:solidFill>
                        <a:srgbClr val="000000"/>
                      </a:solidFill>
                      <a:latin typeface="Calibri"/>
                      <a:ea typeface="+mn-ea"/>
                      <a:cs typeface="Calibri"/>
                    </a:endParaRPr>
                  </a:p>
                </xdr:txBody>
              </xdr:sp>
              <xdr:sp macro="" textlink="$C$31">
                <xdr:nvSpPr>
                  <xdr:cNvPr id="184" name="Organigramme : Connecteur 183">
                    <a:extLst>
                      <a:ext uri="{FF2B5EF4-FFF2-40B4-BE49-F238E27FC236}">
                        <a16:creationId xmlns:a16="http://schemas.microsoft.com/office/drawing/2014/main" id="{36DD9C8E-ABCD-FACC-2ADB-D17CC441B0D7}"/>
                      </a:ext>
                    </a:extLst>
                  </xdr:cNvPr>
                  <xdr:cNvSpPr/>
                </xdr:nvSpPr>
                <xdr:spPr>
                  <a:xfrm>
                    <a:off x="9420639" y="455046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09E956D2-1684-426C-85EA-D4F988F297AA}" type="TxLink">
                      <a:rPr lang="en-US" sz="1100" b="0" i="0" u="none" strike="noStrike">
                        <a:solidFill>
                          <a:srgbClr val="000000"/>
                        </a:solidFill>
                        <a:latin typeface="Calibri"/>
                        <a:cs typeface="Calibri"/>
                      </a:rPr>
                      <a:t> </a:t>
                    </a:fld>
                    <a:endParaRPr lang="fr-FR" sz="1100"/>
                  </a:p>
                </xdr:txBody>
              </xdr:sp>
              <xdr:sp macro="" textlink="$C$27">
                <xdr:nvSpPr>
                  <xdr:cNvPr id="185" name="Organigramme : Connecteur 184">
                    <a:extLst>
                      <a:ext uri="{FF2B5EF4-FFF2-40B4-BE49-F238E27FC236}">
                        <a16:creationId xmlns:a16="http://schemas.microsoft.com/office/drawing/2014/main" id="{960A2432-664A-0412-11F4-93C13F4DDEB6}"/>
                      </a:ext>
                    </a:extLst>
                  </xdr:cNvPr>
                  <xdr:cNvSpPr/>
                </xdr:nvSpPr>
                <xdr:spPr>
                  <a:xfrm>
                    <a:off x="12365935" y="5830956"/>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5D098B0E-82E0-486A-B086-ABFBCAD77F3A}" type="TxLink">
                      <a:rPr lang="en-US" sz="1100" b="0" i="0" u="none" strike="noStrike">
                        <a:solidFill>
                          <a:srgbClr val="000000"/>
                        </a:solidFill>
                        <a:latin typeface="Calibri"/>
                        <a:cs typeface="Calibri"/>
                      </a:rPr>
                      <a:t> </a:t>
                    </a:fld>
                    <a:endParaRPr lang="fr-FR" sz="1100"/>
                  </a:p>
                </xdr:txBody>
              </xdr:sp>
              <xdr:sp macro="" textlink="$C$24">
                <xdr:nvSpPr>
                  <xdr:cNvPr id="186" name="Organigramme : Connecteur 185">
                    <a:extLst>
                      <a:ext uri="{FF2B5EF4-FFF2-40B4-BE49-F238E27FC236}">
                        <a16:creationId xmlns:a16="http://schemas.microsoft.com/office/drawing/2014/main" id="{44A6F1D1-8C1F-E7A2-78DC-2304FA2F8D7B}"/>
                      </a:ext>
                    </a:extLst>
                  </xdr:cNvPr>
                  <xdr:cNvSpPr/>
                </xdr:nvSpPr>
                <xdr:spPr>
                  <a:xfrm>
                    <a:off x="12231757" y="3592995"/>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1E6C3453-F544-4D59-B849-FED20CABB6E1}" type="TxLink">
                      <a:rPr lang="en-US" sz="1100" b="0" i="0" u="none" strike="noStrike">
                        <a:solidFill>
                          <a:srgbClr val="000000"/>
                        </a:solidFill>
                        <a:latin typeface="Calibri"/>
                        <a:cs typeface="Calibri"/>
                      </a:rPr>
                      <a:t> </a:t>
                    </a:fld>
                    <a:endParaRPr lang="fr-FR" sz="1100"/>
                  </a:p>
                </xdr:txBody>
              </xdr:sp>
            </xdr:grpSp>
          </xdr:grpSp>
        </xdr:grpSp>
        <xdr:sp macro="" textlink="$B$23">
          <xdr:nvSpPr>
            <xdr:cNvPr id="155" name="Organigramme : Connecteur 154">
              <a:extLst>
                <a:ext uri="{FF2B5EF4-FFF2-40B4-BE49-F238E27FC236}">
                  <a16:creationId xmlns:a16="http://schemas.microsoft.com/office/drawing/2014/main" id="{B851E9F3-6275-C679-D4CA-D3ACCEFDA75A}"/>
                </a:ext>
              </a:extLst>
            </xdr:cNvPr>
            <xdr:cNvSpPr/>
          </xdr:nvSpPr>
          <xdr:spPr>
            <a:xfrm>
              <a:off x="8605630" y="7239000"/>
              <a:ext cx="190500" cy="173935"/>
            </a:xfrm>
            <a:prstGeom prst="flowChartConnector">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ACD65B47-C942-4C87-A081-C637201709CD}" type="TxLink">
                <a:rPr lang="en-US" sz="1100" b="0" i="0" u="none" strike="noStrike">
                  <a:solidFill>
                    <a:srgbClr val="000000"/>
                  </a:solidFill>
                  <a:latin typeface="Calibri"/>
                  <a:cs typeface="Calibri"/>
                </a:rPr>
                <a:t> </a:t>
              </a:fld>
              <a:endParaRPr lang="fr-FR" sz="1100"/>
            </a:p>
          </xdr:txBody>
        </xdr:sp>
        <xdr:sp macro="" textlink="$C$23">
          <xdr:nvSpPr>
            <xdr:cNvPr id="156" name="Organigramme : Connecteur 155">
              <a:extLst>
                <a:ext uri="{FF2B5EF4-FFF2-40B4-BE49-F238E27FC236}">
                  <a16:creationId xmlns:a16="http://schemas.microsoft.com/office/drawing/2014/main" id="{7B21A055-D9AF-934F-D00F-8F7F630C85C0}"/>
                </a:ext>
              </a:extLst>
            </xdr:cNvPr>
            <xdr:cNvSpPr/>
          </xdr:nvSpPr>
          <xdr:spPr>
            <a:xfrm>
              <a:off x="8613913" y="7031934"/>
              <a:ext cx="190500" cy="173935"/>
            </a:xfrm>
            <a:prstGeom prst="flowChartConnector">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DF83B76-4ACF-4EF8-84BE-583CFB89D9E0}" type="TxLink">
                <a:rPr lang="en-US" sz="1100" b="0" i="0" u="none" strike="noStrike">
                  <a:solidFill>
                    <a:srgbClr val="000000"/>
                  </a:solidFill>
                  <a:latin typeface="Calibri"/>
                  <a:cs typeface="Calibri"/>
                </a:rPr>
                <a:t> </a:t>
              </a:fld>
              <a:endParaRPr lang="fr-FR" sz="1100"/>
            </a:p>
          </xdr:txBody>
        </xdr:sp>
        <xdr:sp macro="" textlink="">
          <xdr:nvSpPr>
            <xdr:cNvPr id="157" name="ZoneTexte 156">
              <a:extLst>
                <a:ext uri="{FF2B5EF4-FFF2-40B4-BE49-F238E27FC236}">
                  <a16:creationId xmlns:a16="http://schemas.microsoft.com/office/drawing/2014/main" id="{B84D0C6B-4398-A52E-6C0B-E1DF60D7B330}"/>
                </a:ext>
              </a:extLst>
            </xdr:cNvPr>
            <xdr:cNvSpPr txBox="1"/>
          </xdr:nvSpPr>
          <xdr:spPr>
            <a:xfrm>
              <a:off x="8820978" y="6990521"/>
              <a:ext cx="1590261" cy="646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Voie d'enregistreur</a:t>
              </a:r>
            </a:p>
            <a:p>
              <a:r>
                <a:rPr lang="fr-FR" sz="1100"/>
                <a:t>Thermocouple</a:t>
              </a:r>
            </a:p>
            <a:p>
              <a:r>
                <a:rPr lang="fr-FR" sz="1100"/>
                <a:t>Position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CA035-7182-4959-95BD-969D4A12EFC9}" name="Valeurs_Brutes" displayName="Valeurs_Brutes" ref="A1:M2" totalsRowShown="0">
  <autoFilter ref="A1:M2" xr:uid="{498CA035-7182-4959-95BD-969D4A12EFC9}"/>
  <tableColumns count="13">
    <tableColumn id="1" xr3:uid="{BEDCB300-CA5E-4C62-94EB-0D242B95DD11}" name="Date/Heure"/>
    <tableColumn id="2" xr3:uid="{932CB7E8-B6B3-4936-BC23-921F591A2EAD}" name="Connecteur 1"/>
    <tableColumn id="3" xr3:uid="{D6FED4C3-E5C3-4E98-BF5A-71A59D0D9BDB}" name="Connecteur 2"/>
    <tableColumn id="4" xr3:uid="{C00A07C4-90F9-4864-B8EB-B40DF1C25F75}" name="Connecteur 3"/>
    <tableColumn id="5" xr3:uid="{C2005F94-CC6D-4834-AD52-1155FC1F3D9F}" name="Connecteur 4"/>
    <tableColumn id="6" xr3:uid="{7E85A7AF-0596-44E0-AFAD-99FF356283D9}" name="Connecteur 5"/>
    <tableColumn id="7" xr3:uid="{3B029D36-3D79-42B9-8388-56C2BC468961}" name="Connecteur 6"/>
    <tableColumn id="8" xr3:uid="{01097E44-84A3-483A-80FC-2B1A6BD7A8B9}" name="Connecteur 7"/>
    <tableColumn id="9" xr3:uid="{2FC0ED36-8E1E-4F18-A6F4-7DAA8D5C822C}" name="Connecteur 8"/>
    <tableColumn id="10" xr3:uid="{7BCFC3A5-52F3-4259-A3D8-3D5576683B22}" name="Connecteur 9"/>
    <tableColumn id="11" xr3:uid="{5C1CA195-BBD1-40C0-A11F-A7E513BD7225}" name="Connecteur 10"/>
    <tableColumn id="12" xr3:uid="{964C97DA-7F8B-4CDB-8440-F40C5A2CB0FD}" name="Connecteur 11"/>
    <tableColumn id="13" xr3:uid="{606CAA96-86B4-49B8-8E3F-23FFB78ADE57}" name="Connecteur 1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AB2A-377A-4694-B640-5BFB20628674}" name="Donnees_Brutes_60" displayName="Donnees_Brutes_60" ref="A1:N2" totalsRowShown="0">
  <autoFilter ref="A1:N2" xr:uid="{27D7AB2A-377A-4694-B640-5BFB20628674}"/>
  <tableColumns count="14">
    <tableColumn id="1" xr3:uid="{1B71FC6E-3980-4564-8EC5-8A2177918CDB}" name="Date/Heure"/>
    <tableColumn id="2" xr3:uid="{CCCD27D2-23D3-4D9A-8DCD-CDB12DD5B104}" name="Connecteur 1"/>
    <tableColumn id="3" xr3:uid="{E2C0B053-DA29-4802-A750-0BCC86173552}" name="Connecteur 2"/>
    <tableColumn id="4" xr3:uid="{1BB74E65-86F5-4204-B1BE-D38EC06D7D6B}" name="Connecteur 3"/>
    <tableColumn id="5" xr3:uid="{B9F2DC35-5C5F-463D-956B-D481EBFC9946}" name="Connecteur 4"/>
    <tableColumn id="6" xr3:uid="{E0D55A5F-4EC7-48BC-BDED-EC8589E9B634}" name="Connecteur 5"/>
    <tableColumn id="7" xr3:uid="{F1AE4A64-3385-42BD-9CC9-C7CEB759B0A7}" name="Connecteur 6"/>
    <tableColumn id="8" xr3:uid="{2E190E5E-DC2A-46D1-803A-603F439D241B}" name="Connecteur 7"/>
    <tableColumn id="9" xr3:uid="{9A3D66AC-7456-495E-89BA-4A0FF320E213}" name="Connecteur 8"/>
    <tableColumn id="10" xr3:uid="{61FF683F-4321-4012-BD78-C60DA5C1B5BA}" name="Connecteur 9"/>
    <tableColumn id="11" xr3:uid="{571FC811-48F2-4DD1-82D1-66E945AF77BE}" name="Connecteur 10"/>
    <tableColumn id="12" xr3:uid="{FB4FDA8E-0269-4A4F-85DE-3BB7B2596602}" name="Connecteur 11"/>
    <tableColumn id="13" xr3:uid="{DA29663D-355A-4B0B-872C-3A2826B7527D}" name="Connecteur 12"/>
    <tableColumn id="14" xr3:uid="{1BFE9627-C0DA-4AC0-87AE-D0E9EA6B6CA6}" name="Connecteur 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08C00C-4BB2-42FF-B52A-E4A96847A064}" name="Donnees_Brutes_150" displayName="Donnees_Brutes_150" ref="A1:N2" totalsRowShown="0">
  <autoFilter ref="A1:N2" xr:uid="{4008C00C-4BB2-42FF-B52A-E4A96847A064}"/>
  <tableColumns count="14">
    <tableColumn id="1" xr3:uid="{3C41F4AA-2A10-45EA-B374-E900ABC319CF}" name="Date/Heure"/>
    <tableColumn id="2" xr3:uid="{68C3DF37-395D-45A4-BB02-DA796FAB3B92}" name="Connecteur 1"/>
    <tableColumn id="3" xr3:uid="{8C89C1FF-D634-46E5-ABBA-07B5D69DE725}" name="Connecteur 2"/>
    <tableColumn id="4" xr3:uid="{FB0A8E8B-16F5-4C97-AAE0-A38939CDD296}" name="Connecteur 3"/>
    <tableColumn id="5" xr3:uid="{0820EF79-CF9E-4CD6-9F36-343704DB1872}" name="Connecteur 4"/>
    <tableColumn id="6" xr3:uid="{934FF66B-71D9-46CD-982F-A3DFC5FB60DD}" name="Connecteur 5"/>
    <tableColumn id="7" xr3:uid="{3901C25D-45E5-4B83-BB7A-B1D15DA2AF47}" name="Connecteur 6"/>
    <tableColumn id="8" xr3:uid="{DC55878A-ED88-4130-9674-1629021891EE}" name="Connecteur 7"/>
    <tableColumn id="9" xr3:uid="{46F47E87-F999-49ED-99F7-D61B173E055F}" name="Connecteur 8"/>
    <tableColumn id="10" xr3:uid="{EF745AE2-0E4C-41C4-BA94-7FE1B2EBA6A6}" name="Connecteur 9"/>
    <tableColumn id="11" xr3:uid="{DDB29472-10CF-4F0D-BDFC-3B767D2CB5B7}" name="Connecteur 10"/>
    <tableColumn id="12" xr3:uid="{17C08443-73FA-4E16-B0B5-172652D42E00}" name="Connecteur 11"/>
    <tableColumn id="13" xr3:uid="{37EECC92-D876-444A-AFEA-9602C3D5E64C}" name="Connecteur 12"/>
    <tableColumn id="14" xr3:uid="{83D784A4-BA13-4741-A7FE-B091CC54233C}" name="Connecteur 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136C64-1725-4A4F-AFA9-3862DE1296FE}" name="Donnees_Brutes_190" displayName="Donnees_Brutes_190" ref="A1:N2" totalsRowShown="0">
  <autoFilter ref="A1:N2" xr:uid="{EF136C64-1725-4A4F-AFA9-3862DE1296FE}"/>
  <tableColumns count="14">
    <tableColumn id="1" xr3:uid="{F5A4BCD4-5801-4020-BA7C-F41EF56A0A3C}" name="Date/Heure"/>
    <tableColumn id="2" xr3:uid="{0CCCDA81-9D60-425B-8451-DD1B5CEE45CF}" name="Connecteur 1"/>
    <tableColumn id="3" xr3:uid="{348C8676-5E6F-495F-8E31-0BA03B3B8629}" name="Connecteur 2"/>
    <tableColumn id="4" xr3:uid="{B04331B8-D205-4FC9-BC1B-989BE687629D}" name="Connecteur 3"/>
    <tableColumn id="5" xr3:uid="{A1818B0B-7EBE-4AB4-993F-4F155008441D}" name="Connecteur 4"/>
    <tableColumn id="6" xr3:uid="{36A60899-4AB3-439D-8032-F35CF8F26D8D}" name="Connecteur 5"/>
    <tableColumn id="7" xr3:uid="{C2EAAA4A-8116-473A-A2D6-1E01AA0A5D7E}" name="Connecteur 6"/>
    <tableColumn id="8" xr3:uid="{444E0C02-4451-4430-BD14-6ADD2820C288}" name="Connecteur 7"/>
    <tableColumn id="9" xr3:uid="{758DCB51-8403-43CD-9296-65347E4A631D}" name="Connecteur 8"/>
    <tableColumn id="10" xr3:uid="{2E59D2F3-B65B-49D7-8C8D-3AA2B161A55F}" name="Connecteur 9"/>
    <tableColumn id="11" xr3:uid="{200D09C0-954D-4CC0-8C03-1B3DD5F5B127}" name="Connecteur 10"/>
    <tableColumn id="12" xr3:uid="{D8BC1D57-7DB1-46EB-8BA5-4F23897C8463}" name="Connecteur 11"/>
    <tableColumn id="13" xr3:uid="{23168C59-431A-4BEC-95ED-22C5AD04435C}" name="Connecteur 12"/>
    <tableColumn id="14" xr3:uid="{D801395D-46D1-44D7-A490-72824FFD170A}" name="Connecteur 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65C0E1-B151-4A6E-9E58-EE84DFBE1CB8}" name="Valeurs_Brutes_50" displayName="Valeurs_Brutes_50" ref="A1:J2" totalsRowShown="0">
  <autoFilter ref="A1:J2" xr:uid="{2265C0E1-B151-4A6E-9E58-EE84DFBE1CB8}"/>
  <tableColumns count="10">
    <tableColumn id="1" xr3:uid="{B65FC96D-E245-40BE-8AE7-8CCD46AB8848}" name="Date/Heure"/>
    <tableColumn id="2" xr3:uid="{8E14D182-2115-4145-840F-965E9ABE41FC}" name="Connecteur 1"/>
    <tableColumn id="3" xr3:uid="{793E8C04-5673-44E8-89AD-06F8B4973325}" name="Connecteur 2"/>
    <tableColumn id="4" xr3:uid="{56D63800-A53A-4321-94EA-1AB9C4C96A84}" name="Connecteur 3"/>
    <tableColumn id="5" xr3:uid="{D43BB4D4-52DE-4E3E-9E31-8E1F4822AC38}" name="Connecteur 4"/>
    <tableColumn id="6" xr3:uid="{C0AD75ED-2624-4DDA-A6A1-7DF95F4FFB74}" name="Connecteur 5"/>
    <tableColumn id="7" xr3:uid="{84594AE7-4FD0-4EBC-A1AD-C9735DA8B03B}" name="Connecteur 6"/>
    <tableColumn id="8" xr3:uid="{3EB92B0D-CBB1-4DCD-977D-378380C050D9}" name="Connecteur 7"/>
    <tableColumn id="9" xr3:uid="{CD1FE9C4-86A0-489D-AB93-8B5915C59D2E}" name="Connecteur 8"/>
    <tableColumn id="10" xr3:uid="{7C16AB14-0F5A-428E-A2C9-370FC031420D}" name="Connecteur 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113EDF-5B5E-42D7-81D4-64038EF6DED3}" name="Valeurs_Brutes_100" displayName="Valeurs_Brutes_100" ref="A1:J2" totalsRowShown="0">
  <autoFilter ref="A1:J2" xr:uid="{FF113EDF-5B5E-42D7-81D4-64038EF6DED3}"/>
  <tableColumns count="10">
    <tableColumn id="1" xr3:uid="{653A7D54-EDA0-433A-A013-1E88A1B2E5BB}" name="Date/Heure"/>
    <tableColumn id="2" xr3:uid="{5FE46812-0F5D-48D1-9CDF-1FAC4CA9C76C}" name="Connecteur 1"/>
    <tableColumn id="3" xr3:uid="{AB09FDFA-CEF5-4ED1-BA88-C32687B9C636}" name="Connecteur 2"/>
    <tableColumn id="4" xr3:uid="{025C2417-94D6-46B9-BE87-0434F486B558}" name="Connecteur 3"/>
    <tableColumn id="5" xr3:uid="{731B3707-6CBE-4E16-BCD2-4A53933F43A4}" name="Connecteur 4"/>
    <tableColumn id="6" xr3:uid="{DC6ACBEB-E6C9-43CD-ABB1-2DBBC1DACC10}" name="Connecteur 5"/>
    <tableColumn id="7" xr3:uid="{F8B5190F-0941-41CA-AC75-AEBD4423C336}" name="Connecteur 6"/>
    <tableColumn id="8" xr3:uid="{B99C4B89-D89A-42BE-A2E5-E8A438E0FBAD}" name="Connecteur 7"/>
    <tableColumn id="9" xr3:uid="{869AD9C2-00D3-4175-AEDA-631AEE7C1F86}" name="Connecteur 8"/>
    <tableColumn id="10" xr3:uid="{BEE0B7E2-FE42-4737-8FD2-15C43665BE12}" name="Connecteur 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9C16EE-7F2E-41C6-B287-550CC4E38FB8}" name="Valeurs_Brutes_150" displayName="Valeurs_Brutes_150" ref="A1:J2" totalsRowShown="0">
  <autoFilter ref="A1:J2" xr:uid="{DE9C16EE-7F2E-41C6-B287-550CC4E38FB8}"/>
  <tableColumns count="10">
    <tableColumn id="1" xr3:uid="{8405F853-CC0E-42AC-B2A1-E0FF833DDCC1}" name="Date/Heure"/>
    <tableColumn id="2" xr3:uid="{3ED46B3F-AB47-4AD7-BCB9-E88FA647D195}" name="Connecteur 1"/>
    <tableColumn id="3" xr3:uid="{1FED9E86-14F3-49BE-AAAB-DCCAA0C41737}" name="Connecteur 2"/>
    <tableColumn id="4" xr3:uid="{9473E872-4C43-4925-8389-07DC118EC592}" name="Connecteur 3"/>
    <tableColumn id="5" xr3:uid="{CB26B7E4-42BB-485F-9317-21F67D9DD1C4}" name="Connecteur 4"/>
    <tableColumn id="6" xr3:uid="{51BEFC7E-D3F7-4718-BC3C-7446D447C7B9}" name="Connecteur 5"/>
    <tableColumn id="7" xr3:uid="{3F55D6E0-6B4F-4539-B0DD-AFDFD7EE9D3E}" name="Connecteur 6"/>
    <tableColumn id="8" xr3:uid="{7D6D3EF7-8A44-48BE-A762-8F226C4E23D0}" name="Connecteur 7"/>
    <tableColumn id="9" xr3:uid="{4F5D5A38-091A-465C-811A-DFE17765F8FE}" name="Connecteur 8"/>
    <tableColumn id="10" xr3:uid="{0704171A-D041-4ABB-9E2A-10D28124AEA7}" name="Connecteur 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1.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72FD8-BFAC-4134-95F6-9E05554D8AC8}">
  <sheetPr codeName="Feuil17">
    <tabColor theme="0" tint="-0.34998626667073579"/>
  </sheetPr>
  <dimension ref="A1:A195"/>
  <sheetViews>
    <sheetView workbookViewId="0">
      <selection activeCell="L22" sqref="L22"/>
    </sheetView>
  </sheetViews>
  <sheetFormatPr baseColWidth="10" defaultRowHeight="15" x14ac:dyDescent="0.25"/>
  <sheetData>
    <row r="1" spans="1:1" x14ac:dyDescent="0.25">
      <c r="A1" s="23"/>
    </row>
    <row r="2" spans="1:1" x14ac:dyDescent="0.25">
      <c r="A2" s="23"/>
    </row>
    <row r="3" spans="1:1" x14ac:dyDescent="0.25">
      <c r="A3" s="23"/>
    </row>
    <row r="4" spans="1:1" x14ac:dyDescent="0.25">
      <c r="A4" s="23"/>
    </row>
    <row r="5" spans="1:1" x14ac:dyDescent="0.25">
      <c r="A5" s="23"/>
    </row>
    <row r="6" spans="1:1" x14ac:dyDescent="0.25">
      <c r="A6" s="23"/>
    </row>
    <row r="7" spans="1:1" x14ac:dyDescent="0.25">
      <c r="A7" s="23"/>
    </row>
    <row r="8" spans="1:1" x14ac:dyDescent="0.25">
      <c r="A8" s="23"/>
    </row>
    <row r="9" spans="1:1" x14ac:dyDescent="0.25">
      <c r="A9" s="23"/>
    </row>
    <row r="10" spans="1:1" x14ac:dyDescent="0.25">
      <c r="A10" s="23"/>
    </row>
    <row r="11" spans="1:1" x14ac:dyDescent="0.25">
      <c r="A11" s="23"/>
    </row>
    <row r="12" spans="1:1" x14ac:dyDescent="0.25">
      <c r="A12" s="23"/>
    </row>
    <row r="13" spans="1:1" x14ac:dyDescent="0.25">
      <c r="A13" s="23"/>
    </row>
    <row r="14" spans="1:1" x14ac:dyDescent="0.25">
      <c r="A14" s="23"/>
    </row>
    <row r="15" spans="1:1" x14ac:dyDescent="0.25">
      <c r="A15" s="23"/>
    </row>
    <row r="16" spans="1:1" x14ac:dyDescent="0.25">
      <c r="A16" s="23"/>
    </row>
    <row r="17" spans="1:1" x14ac:dyDescent="0.25">
      <c r="A17" s="23"/>
    </row>
    <row r="18" spans="1:1" x14ac:dyDescent="0.25">
      <c r="A18" s="23"/>
    </row>
    <row r="19" spans="1:1" x14ac:dyDescent="0.25">
      <c r="A19" s="23"/>
    </row>
    <row r="20" spans="1:1" x14ac:dyDescent="0.25">
      <c r="A20" s="23"/>
    </row>
    <row r="21" spans="1:1" x14ac:dyDescent="0.25">
      <c r="A21" s="23"/>
    </row>
    <row r="22" spans="1:1" x14ac:dyDescent="0.25">
      <c r="A22" s="23"/>
    </row>
    <row r="23" spans="1:1" x14ac:dyDescent="0.25">
      <c r="A23" s="23"/>
    </row>
    <row r="24" spans="1:1" x14ac:dyDescent="0.25">
      <c r="A24" s="23"/>
    </row>
    <row r="25" spans="1:1" x14ac:dyDescent="0.25">
      <c r="A25" s="23"/>
    </row>
    <row r="26" spans="1:1" x14ac:dyDescent="0.25">
      <c r="A26" s="23"/>
    </row>
    <row r="27" spans="1:1" x14ac:dyDescent="0.25">
      <c r="A27" s="23"/>
    </row>
    <row r="28" spans="1:1" x14ac:dyDescent="0.25">
      <c r="A28" s="23"/>
    </row>
    <row r="29" spans="1:1" x14ac:dyDescent="0.25">
      <c r="A29" s="23"/>
    </row>
    <row r="30" spans="1:1" x14ac:dyDescent="0.25">
      <c r="A30" s="23"/>
    </row>
    <row r="31" spans="1:1" x14ac:dyDescent="0.25">
      <c r="A31" s="23"/>
    </row>
    <row r="32" spans="1:1" x14ac:dyDescent="0.25">
      <c r="A32" s="23"/>
    </row>
    <row r="33" spans="1:1" x14ac:dyDescent="0.25">
      <c r="A33" s="23"/>
    </row>
    <row r="34" spans="1:1" x14ac:dyDescent="0.25">
      <c r="A34" s="23"/>
    </row>
    <row r="35" spans="1:1" x14ac:dyDescent="0.25">
      <c r="A35" s="23"/>
    </row>
    <row r="36" spans="1:1" x14ac:dyDescent="0.25">
      <c r="A36" s="23"/>
    </row>
    <row r="37" spans="1:1" x14ac:dyDescent="0.25">
      <c r="A37" s="23"/>
    </row>
    <row r="38" spans="1:1" x14ac:dyDescent="0.25">
      <c r="A38" s="23"/>
    </row>
    <row r="39" spans="1:1" x14ac:dyDescent="0.25">
      <c r="A39" s="23"/>
    </row>
    <row r="40" spans="1:1" x14ac:dyDescent="0.25">
      <c r="A40" s="23"/>
    </row>
    <row r="41" spans="1:1" x14ac:dyDescent="0.25">
      <c r="A41" s="23"/>
    </row>
    <row r="42" spans="1:1" x14ac:dyDescent="0.25">
      <c r="A42" s="23"/>
    </row>
    <row r="43" spans="1:1" x14ac:dyDescent="0.25">
      <c r="A43" s="23"/>
    </row>
    <row r="44" spans="1:1" x14ac:dyDescent="0.25">
      <c r="A44" s="23"/>
    </row>
    <row r="45" spans="1:1" x14ac:dyDescent="0.25">
      <c r="A45" s="23"/>
    </row>
    <row r="46" spans="1:1" x14ac:dyDescent="0.25">
      <c r="A46" s="23"/>
    </row>
    <row r="47" spans="1:1" x14ac:dyDescent="0.25">
      <c r="A47" s="23"/>
    </row>
    <row r="48" spans="1:1" x14ac:dyDescent="0.25">
      <c r="A48" s="23"/>
    </row>
    <row r="49" spans="1:1" x14ac:dyDescent="0.25">
      <c r="A49" s="23"/>
    </row>
    <row r="50" spans="1:1" x14ac:dyDescent="0.25">
      <c r="A50" s="23"/>
    </row>
    <row r="51" spans="1:1" x14ac:dyDescent="0.25">
      <c r="A51" s="23"/>
    </row>
    <row r="52" spans="1:1" x14ac:dyDescent="0.25">
      <c r="A52" s="23"/>
    </row>
    <row r="53" spans="1:1" x14ac:dyDescent="0.25">
      <c r="A53" s="23"/>
    </row>
    <row r="54" spans="1:1" x14ac:dyDescent="0.25">
      <c r="A54" s="23"/>
    </row>
    <row r="55" spans="1:1" x14ac:dyDescent="0.25">
      <c r="A55" s="23"/>
    </row>
    <row r="56" spans="1:1" x14ac:dyDescent="0.25">
      <c r="A56" s="23"/>
    </row>
    <row r="57" spans="1:1" x14ac:dyDescent="0.25">
      <c r="A57" s="23"/>
    </row>
    <row r="58" spans="1:1" x14ac:dyDescent="0.25">
      <c r="A58" s="23"/>
    </row>
    <row r="59" spans="1:1" x14ac:dyDescent="0.25">
      <c r="A59" s="23"/>
    </row>
    <row r="60" spans="1:1" x14ac:dyDescent="0.25">
      <c r="A60" s="23"/>
    </row>
    <row r="61" spans="1:1" x14ac:dyDescent="0.25">
      <c r="A61" s="23"/>
    </row>
    <row r="62" spans="1:1" x14ac:dyDescent="0.25">
      <c r="A62" s="23"/>
    </row>
    <row r="63" spans="1:1" x14ac:dyDescent="0.25">
      <c r="A63" s="23"/>
    </row>
    <row r="64" spans="1:1" x14ac:dyDescent="0.25">
      <c r="A64" s="23"/>
    </row>
    <row r="65" spans="1:1" x14ac:dyDescent="0.25">
      <c r="A65" s="23"/>
    </row>
    <row r="66" spans="1:1" x14ac:dyDescent="0.25">
      <c r="A66" s="23"/>
    </row>
    <row r="67" spans="1:1" x14ac:dyDescent="0.25">
      <c r="A67" s="23"/>
    </row>
    <row r="68" spans="1:1" x14ac:dyDescent="0.25">
      <c r="A68" s="23"/>
    </row>
    <row r="69" spans="1:1" x14ac:dyDescent="0.25">
      <c r="A69" s="23"/>
    </row>
    <row r="70" spans="1:1" x14ac:dyDescent="0.25">
      <c r="A70" s="23"/>
    </row>
    <row r="71" spans="1:1" x14ac:dyDescent="0.25">
      <c r="A71" s="23"/>
    </row>
    <row r="72" spans="1:1" x14ac:dyDescent="0.25">
      <c r="A72" s="23"/>
    </row>
    <row r="73" spans="1:1" x14ac:dyDescent="0.25">
      <c r="A73" s="23"/>
    </row>
    <row r="74" spans="1:1" x14ac:dyDescent="0.25">
      <c r="A74" s="23"/>
    </row>
    <row r="75" spans="1:1" x14ac:dyDescent="0.25">
      <c r="A75" s="23"/>
    </row>
    <row r="76" spans="1:1" x14ac:dyDescent="0.25">
      <c r="A76" s="23"/>
    </row>
    <row r="77" spans="1:1" x14ac:dyDescent="0.25">
      <c r="A77" s="23"/>
    </row>
    <row r="78" spans="1:1" x14ac:dyDescent="0.25">
      <c r="A78" s="23"/>
    </row>
    <row r="79" spans="1:1" x14ac:dyDescent="0.25">
      <c r="A79" s="23"/>
    </row>
    <row r="80" spans="1:1" x14ac:dyDescent="0.25">
      <c r="A80" s="23"/>
    </row>
    <row r="81" spans="1:1" x14ac:dyDescent="0.25">
      <c r="A81" s="23"/>
    </row>
    <row r="82" spans="1:1" x14ac:dyDescent="0.25">
      <c r="A82" s="23"/>
    </row>
    <row r="83" spans="1:1" x14ac:dyDescent="0.25">
      <c r="A83" s="23"/>
    </row>
    <row r="84" spans="1:1" x14ac:dyDescent="0.25">
      <c r="A84" s="23"/>
    </row>
    <row r="85" spans="1:1" x14ac:dyDescent="0.25">
      <c r="A85" s="23"/>
    </row>
    <row r="86" spans="1:1" x14ac:dyDescent="0.25">
      <c r="A86" s="23"/>
    </row>
    <row r="87" spans="1:1" x14ac:dyDescent="0.25">
      <c r="A87" s="23"/>
    </row>
    <row r="88" spans="1:1" x14ac:dyDescent="0.25">
      <c r="A88" s="23"/>
    </row>
    <row r="89" spans="1:1" x14ac:dyDescent="0.25">
      <c r="A89" s="23"/>
    </row>
    <row r="90" spans="1:1" x14ac:dyDescent="0.25">
      <c r="A90" s="23"/>
    </row>
    <row r="91" spans="1:1" x14ac:dyDescent="0.25">
      <c r="A91" s="23"/>
    </row>
    <row r="92" spans="1:1" x14ac:dyDescent="0.25">
      <c r="A92" s="23"/>
    </row>
    <row r="93" spans="1:1" x14ac:dyDescent="0.25">
      <c r="A93" s="23"/>
    </row>
    <row r="94" spans="1:1" x14ac:dyDescent="0.25">
      <c r="A94" s="23"/>
    </row>
    <row r="95" spans="1:1" x14ac:dyDescent="0.25">
      <c r="A95" s="23"/>
    </row>
    <row r="96" spans="1:1" x14ac:dyDescent="0.25">
      <c r="A96" s="23"/>
    </row>
    <row r="97" spans="1:1" x14ac:dyDescent="0.25">
      <c r="A97" s="23"/>
    </row>
    <row r="98" spans="1:1" x14ac:dyDescent="0.25">
      <c r="A98" s="23"/>
    </row>
    <row r="99" spans="1:1" x14ac:dyDescent="0.25">
      <c r="A99" s="23"/>
    </row>
    <row r="100" spans="1:1" x14ac:dyDescent="0.25">
      <c r="A100" s="23"/>
    </row>
    <row r="101" spans="1:1" x14ac:dyDescent="0.25">
      <c r="A101" s="23"/>
    </row>
    <row r="102" spans="1:1" x14ac:dyDescent="0.25">
      <c r="A102" s="23"/>
    </row>
    <row r="103" spans="1:1" x14ac:dyDescent="0.25">
      <c r="A103" s="23"/>
    </row>
    <row r="104" spans="1:1" x14ac:dyDescent="0.25">
      <c r="A104" s="23"/>
    </row>
    <row r="105" spans="1:1" x14ac:dyDescent="0.25">
      <c r="A105" s="23"/>
    </row>
    <row r="106" spans="1:1" x14ac:dyDescent="0.25">
      <c r="A106" s="23"/>
    </row>
    <row r="107" spans="1:1" x14ac:dyDescent="0.25">
      <c r="A107" s="23"/>
    </row>
    <row r="108" spans="1:1" x14ac:dyDescent="0.25">
      <c r="A108" s="23"/>
    </row>
    <row r="109" spans="1:1" x14ac:dyDescent="0.25">
      <c r="A109" s="23"/>
    </row>
    <row r="110" spans="1:1" x14ac:dyDescent="0.25">
      <c r="A110" s="23"/>
    </row>
    <row r="111" spans="1:1" x14ac:dyDescent="0.25">
      <c r="A111" s="23"/>
    </row>
    <row r="112" spans="1:1" x14ac:dyDescent="0.25">
      <c r="A112" s="23"/>
    </row>
    <row r="113" spans="1:1" x14ac:dyDescent="0.25">
      <c r="A113" s="23"/>
    </row>
    <row r="114" spans="1:1" x14ac:dyDescent="0.25">
      <c r="A114" s="23"/>
    </row>
    <row r="115" spans="1:1" x14ac:dyDescent="0.25">
      <c r="A115" s="23"/>
    </row>
    <row r="116" spans="1:1" x14ac:dyDescent="0.25">
      <c r="A116" s="23"/>
    </row>
    <row r="117" spans="1:1" x14ac:dyDescent="0.25">
      <c r="A117" s="23"/>
    </row>
    <row r="118" spans="1:1" x14ac:dyDescent="0.25">
      <c r="A118" s="23"/>
    </row>
    <row r="119" spans="1:1" x14ac:dyDescent="0.25">
      <c r="A119" s="23"/>
    </row>
    <row r="120" spans="1:1" x14ac:dyDescent="0.25">
      <c r="A120" s="23"/>
    </row>
    <row r="121" spans="1:1" x14ac:dyDescent="0.25">
      <c r="A121" s="23"/>
    </row>
    <row r="122" spans="1:1" x14ac:dyDescent="0.25">
      <c r="A122" s="23"/>
    </row>
    <row r="123" spans="1:1" x14ac:dyDescent="0.25">
      <c r="A123" s="23"/>
    </row>
    <row r="124" spans="1:1" x14ac:dyDescent="0.25">
      <c r="A124" s="23"/>
    </row>
    <row r="125" spans="1:1" x14ac:dyDescent="0.25">
      <c r="A125" s="23"/>
    </row>
    <row r="126" spans="1:1" x14ac:dyDescent="0.25">
      <c r="A126" s="23"/>
    </row>
    <row r="127" spans="1:1" x14ac:dyDescent="0.25">
      <c r="A127" s="23"/>
    </row>
    <row r="128" spans="1:1" x14ac:dyDescent="0.25">
      <c r="A128" s="23"/>
    </row>
    <row r="129" spans="1:1" x14ac:dyDescent="0.25">
      <c r="A129" s="23"/>
    </row>
    <row r="130" spans="1:1" x14ac:dyDescent="0.25">
      <c r="A130" s="23"/>
    </row>
    <row r="131" spans="1:1" x14ac:dyDescent="0.25">
      <c r="A131" s="23"/>
    </row>
    <row r="132" spans="1:1" x14ac:dyDescent="0.25">
      <c r="A132" s="23"/>
    </row>
    <row r="133" spans="1:1" x14ac:dyDescent="0.25">
      <c r="A133" s="23"/>
    </row>
    <row r="134" spans="1:1" x14ac:dyDescent="0.25">
      <c r="A134" s="23"/>
    </row>
    <row r="135" spans="1:1" x14ac:dyDescent="0.25">
      <c r="A135" s="23"/>
    </row>
    <row r="136" spans="1:1" x14ac:dyDescent="0.25">
      <c r="A136" s="23"/>
    </row>
    <row r="137" spans="1:1" x14ac:dyDescent="0.25">
      <c r="A137" s="23"/>
    </row>
    <row r="138" spans="1:1" x14ac:dyDescent="0.25">
      <c r="A138" s="23"/>
    </row>
    <row r="139" spans="1:1" x14ac:dyDescent="0.25">
      <c r="A139" s="23"/>
    </row>
    <row r="140" spans="1:1" x14ac:dyDescent="0.25">
      <c r="A140" s="23"/>
    </row>
    <row r="141" spans="1:1" x14ac:dyDescent="0.25">
      <c r="A141" s="23"/>
    </row>
    <row r="142" spans="1:1" x14ac:dyDescent="0.25">
      <c r="A142" s="23"/>
    </row>
    <row r="143" spans="1:1" x14ac:dyDescent="0.25">
      <c r="A143" s="23"/>
    </row>
    <row r="144" spans="1:1" x14ac:dyDescent="0.25">
      <c r="A144" s="23"/>
    </row>
    <row r="145" spans="1:1" x14ac:dyDescent="0.25">
      <c r="A145" s="23"/>
    </row>
    <row r="146" spans="1:1" x14ac:dyDescent="0.25">
      <c r="A146" s="23"/>
    </row>
    <row r="147" spans="1:1" x14ac:dyDescent="0.25">
      <c r="A147" s="23"/>
    </row>
    <row r="148" spans="1:1" x14ac:dyDescent="0.25">
      <c r="A148" s="23"/>
    </row>
    <row r="149" spans="1:1" x14ac:dyDescent="0.25">
      <c r="A149" s="23"/>
    </row>
    <row r="150" spans="1:1" x14ac:dyDescent="0.25">
      <c r="A150" s="23"/>
    </row>
    <row r="151" spans="1:1" x14ac:dyDescent="0.25">
      <c r="A151" s="23"/>
    </row>
    <row r="152" spans="1:1" x14ac:dyDescent="0.25">
      <c r="A152" s="23"/>
    </row>
    <row r="153" spans="1:1" x14ac:dyDescent="0.25">
      <c r="A153" s="23"/>
    </row>
    <row r="154" spans="1:1" x14ac:dyDescent="0.25">
      <c r="A154" s="23"/>
    </row>
    <row r="155" spans="1:1" x14ac:dyDescent="0.25">
      <c r="A155" s="23"/>
    </row>
    <row r="156" spans="1:1" x14ac:dyDescent="0.25">
      <c r="A156" s="23"/>
    </row>
    <row r="157" spans="1:1" x14ac:dyDescent="0.25">
      <c r="A157" s="23"/>
    </row>
    <row r="158" spans="1:1" x14ac:dyDescent="0.25">
      <c r="A158" s="23"/>
    </row>
    <row r="159" spans="1:1" x14ac:dyDescent="0.25">
      <c r="A159" s="23"/>
    </row>
    <row r="160" spans="1:1" x14ac:dyDescent="0.25">
      <c r="A160" s="23"/>
    </row>
    <row r="161" spans="1:1" x14ac:dyDescent="0.25">
      <c r="A161" s="23"/>
    </row>
    <row r="162" spans="1:1" x14ac:dyDescent="0.25">
      <c r="A162" s="23"/>
    </row>
    <row r="163" spans="1:1" x14ac:dyDescent="0.25">
      <c r="A163" s="23"/>
    </row>
    <row r="164" spans="1:1" x14ac:dyDescent="0.25">
      <c r="A164" s="23"/>
    </row>
    <row r="165" spans="1:1" x14ac:dyDescent="0.25">
      <c r="A165" s="23"/>
    </row>
    <row r="166" spans="1:1" x14ac:dyDescent="0.25">
      <c r="A166" s="23"/>
    </row>
    <row r="167" spans="1:1" x14ac:dyDescent="0.25">
      <c r="A167" s="23"/>
    </row>
    <row r="168" spans="1:1" x14ac:dyDescent="0.25">
      <c r="A168" s="23"/>
    </row>
    <row r="169" spans="1:1" x14ac:dyDescent="0.25">
      <c r="A169" s="23"/>
    </row>
    <row r="170" spans="1:1" x14ac:dyDescent="0.25">
      <c r="A170" s="23"/>
    </row>
    <row r="171" spans="1:1" x14ac:dyDescent="0.25">
      <c r="A171" s="23"/>
    </row>
    <row r="172" spans="1:1" x14ac:dyDescent="0.25">
      <c r="A172" s="23"/>
    </row>
    <row r="173" spans="1:1" x14ac:dyDescent="0.25">
      <c r="A173" s="23"/>
    </row>
    <row r="174" spans="1:1" x14ac:dyDescent="0.25">
      <c r="A174" s="23"/>
    </row>
    <row r="175" spans="1:1" x14ac:dyDescent="0.25">
      <c r="A175" s="23"/>
    </row>
    <row r="176" spans="1:1" x14ac:dyDescent="0.25">
      <c r="A176" s="23"/>
    </row>
    <row r="177" spans="1:1" x14ac:dyDescent="0.25">
      <c r="A177" s="23"/>
    </row>
    <row r="178" spans="1:1" x14ac:dyDescent="0.25">
      <c r="A178" s="23"/>
    </row>
    <row r="179" spans="1:1" x14ac:dyDescent="0.25">
      <c r="A179" s="23"/>
    </row>
    <row r="180" spans="1:1" x14ac:dyDescent="0.25">
      <c r="A180" s="23"/>
    </row>
    <row r="181" spans="1:1" x14ac:dyDescent="0.25">
      <c r="A181" s="23"/>
    </row>
    <row r="182" spans="1:1" x14ac:dyDescent="0.25">
      <c r="A182" s="23"/>
    </row>
    <row r="183" spans="1:1" x14ac:dyDescent="0.25">
      <c r="A183" s="23"/>
    </row>
    <row r="184" spans="1:1" x14ac:dyDescent="0.25">
      <c r="A184" s="23"/>
    </row>
    <row r="185" spans="1:1" x14ac:dyDescent="0.25">
      <c r="A185" s="23"/>
    </row>
    <row r="186" spans="1:1" x14ac:dyDescent="0.25">
      <c r="A186" s="23"/>
    </row>
    <row r="187" spans="1:1" x14ac:dyDescent="0.25">
      <c r="A187" s="23"/>
    </row>
    <row r="188" spans="1:1" x14ac:dyDescent="0.25">
      <c r="A188" s="23"/>
    </row>
    <row r="189" spans="1:1" x14ac:dyDescent="0.25">
      <c r="A189" s="23"/>
    </row>
    <row r="190" spans="1:1" x14ac:dyDescent="0.25">
      <c r="A190" s="23"/>
    </row>
    <row r="191" spans="1:1" x14ac:dyDescent="0.25">
      <c r="A191" s="23"/>
    </row>
    <row r="192" spans="1:1" x14ac:dyDescent="0.25">
      <c r="A192" s="23"/>
    </row>
    <row r="193" spans="1:1" x14ac:dyDescent="0.25">
      <c r="A193" s="23"/>
    </row>
    <row r="194" spans="1:1" x14ac:dyDescent="0.25">
      <c r="A194" s="23"/>
    </row>
    <row r="195" spans="1:1" x14ac:dyDescent="0.25">
      <c r="A195" s="23"/>
    </row>
  </sheetData>
  <sheetProtection algorithmName="SHA-512" hashValue="o/7dR8XWcahz53IurhjwYtRPC+DdfkZl9xKQEnsETxlffyhViQxttXfa5EA4FG5Mlyhd/KYS0ea4ZlOf/itrCg==" saltValue="9uuMchekC4+RFUgSQ6Fv2Q==" spinCount="100000" sheet="1" objects="1" scenarios="1" autoFilter="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E917-1301-4AAD-98B5-8B1BB07E670B}">
  <sheetPr codeName="Feuil3">
    <tabColor theme="0" tint="-0.34998626667073579"/>
  </sheetPr>
  <dimension ref="A1:O59"/>
  <sheetViews>
    <sheetView topLeftCell="A29" workbookViewId="0">
      <selection activeCell="K58" sqref="K58"/>
    </sheetView>
  </sheetViews>
  <sheetFormatPr baseColWidth="10" defaultRowHeight="15" x14ac:dyDescent="0.25"/>
  <sheetData>
    <row r="1" spans="1:14" x14ac:dyDescent="0.25">
      <c r="A1" s="159" t="s">
        <v>92</v>
      </c>
      <c r="B1" s="159"/>
      <c r="C1" s="159"/>
      <c r="D1" s="159"/>
      <c r="E1" s="159"/>
      <c r="F1" s="159"/>
      <c r="G1" s="159"/>
      <c r="H1" s="159"/>
      <c r="I1" s="159"/>
      <c r="J1" s="159"/>
      <c r="K1" s="159"/>
      <c r="L1" s="159"/>
      <c r="M1" s="159"/>
      <c r="N1" s="159"/>
    </row>
    <row r="2" spans="1:14" x14ac:dyDescent="0.25">
      <c r="A2" s="28" t="s">
        <v>57</v>
      </c>
      <c r="B2" t="s">
        <v>58</v>
      </c>
      <c r="C2" t="s">
        <v>59</v>
      </c>
      <c r="E2" t="s">
        <v>60</v>
      </c>
      <c r="F2">
        <v>8480381</v>
      </c>
      <c r="H2" t="s">
        <v>61</v>
      </c>
      <c r="I2" t="s">
        <v>62</v>
      </c>
      <c r="N2" s="29"/>
    </row>
    <row r="3" spans="1:14" x14ac:dyDescent="0.25">
      <c r="A3" s="28"/>
      <c r="B3" t="s">
        <v>63</v>
      </c>
      <c r="C3" t="s">
        <v>64</v>
      </c>
      <c r="E3" t="s">
        <v>65</v>
      </c>
      <c r="F3" t="s">
        <v>66</v>
      </c>
      <c r="H3" t="s">
        <v>67</v>
      </c>
      <c r="I3" t="s">
        <v>68</v>
      </c>
      <c r="K3" t="s">
        <v>69</v>
      </c>
      <c r="L3" t="s">
        <v>70</v>
      </c>
      <c r="N3" s="29"/>
    </row>
    <row r="4" spans="1:14" x14ac:dyDescent="0.25">
      <c r="A4" s="28" t="s">
        <v>71</v>
      </c>
      <c r="B4" t="s">
        <v>72</v>
      </c>
      <c r="N4" s="29"/>
    </row>
    <row r="5" spans="1:14" x14ac:dyDescent="0.25">
      <c r="A5" s="28" t="s">
        <v>73</v>
      </c>
      <c r="B5" t="s">
        <v>74</v>
      </c>
      <c r="C5">
        <v>20</v>
      </c>
      <c r="D5" t="s">
        <v>75</v>
      </c>
      <c r="E5">
        <v>550</v>
      </c>
      <c r="F5" t="s">
        <v>76</v>
      </c>
      <c r="G5" t="s">
        <v>77</v>
      </c>
      <c r="N5" s="29"/>
    </row>
    <row r="6" spans="1:14" x14ac:dyDescent="0.25">
      <c r="A6" s="28" t="s">
        <v>78</v>
      </c>
      <c r="B6" t="s">
        <v>74</v>
      </c>
      <c r="C6">
        <v>20</v>
      </c>
      <c r="D6" t="s">
        <v>75</v>
      </c>
      <c r="E6">
        <v>550</v>
      </c>
      <c r="F6" t="s">
        <v>76</v>
      </c>
      <c r="G6" t="s">
        <v>77</v>
      </c>
      <c r="N6" s="29"/>
    </row>
    <row r="7" spans="1:14" x14ac:dyDescent="0.25">
      <c r="A7" s="28" t="s">
        <v>79</v>
      </c>
      <c r="B7" t="s">
        <v>74</v>
      </c>
      <c r="C7">
        <v>20</v>
      </c>
      <c r="D7" t="s">
        <v>75</v>
      </c>
      <c r="E7">
        <v>550</v>
      </c>
      <c r="F7" t="s">
        <v>76</v>
      </c>
      <c r="G7" t="s">
        <v>77</v>
      </c>
      <c r="N7" s="29"/>
    </row>
    <row r="8" spans="1:14" x14ac:dyDescent="0.25">
      <c r="A8" s="28" t="s">
        <v>80</v>
      </c>
      <c r="B8" t="s">
        <v>74</v>
      </c>
      <c r="C8">
        <v>20</v>
      </c>
      <c r="D8" t="s">
        <v>75</v>
      </c>
      <c r="E8">
        <v>550</v>
      </c>
      <c r="F8" t="s">
        <v>76</v>
      </c>
      <c r="G8" t="s">
        <v>77</v>
      </c>
      <c r="N8" s="29"/>
    </row>
    <row r="9" spans="1:14" x14ac:dyDescent="0.25">
      <c r="A9" s="28" t="s">
        <v>81</v>
      </c>
      <c r="B9" t="s">
        <v>74</v>
      </c>
      <c r="C9">
        <v>20</v>
      </c>
      <c r="D9" t="s">
        <v>75</v>
      </c>
      <c r="E9">
        <v>550</v>
      </c>
      <c r="F9" t="s">
        <v>76</v>
      </c>
      <c r="G9" t="s">
        <v>77</v>
      </c>
      <c r="N9" s="29"/>
    </row>
    <row r="10" spans="1:14" x14ac:dyDescent="0.25">
      <c r="A10" s="28" t="s">
        <v>82</v>
      </c>
      <c r="B10" t="s">
        <v>74</v>
      </c>
      <c r="C10">
        <v>20</v>
      </c>
      <c r="D10" t="s">
        <v>75</v>
      </c>
      <c r="E10">
        <v>550</v>
      </c>
      <c r="F10" t="s">
        <v>76</v>
      </c>
      <c r="G10" t="s">
        <v>77</v>
      </c>
      <c r="N10" s="29"/>
    </row>
    <row r="11" spans="1:14" x14ac:dyDescent="0.25">
      <c r="A11" s="28" t="s">
        <v>83</v>
      </c>
      <c r="B11" t="s">
        <v>74</v>
      </c>
      <c r="C11">
        <v>20</v>
      </c>
      <c r="D11" t="s">
        <v>75</v>
      </c>
      <c r="E11">
        <v>550</v>
      </c>
      <c r="F11" t="s">
        <v>76</v>
      </c>
      <c r="G11" t="s">
        <v>77</v>
      </c>
      <c r="N11" s="29"/>
    </row>
    <row r="12" spans="1:14" x14ac:dyDescent="0.25">
      <c r="A12" s="28" t="s">
        <v>84</v>
      </c>
      <c r="B12" t="s">
        <v>74</v>
      </c>
      <c r="C12">
        <v>20</v>
      </c>
      <c r="D12" t="s">
        <v>75</v>
      </c>
      <c r="E12">
        <v>550</v>
      </c>
      <c r="F12" t="s">
        <v>76</v>
      </c>
      <c r="G12" t="s">
        <v>77</v>
      </c>
      <c r="N12" s="29"/>
    </row>
    <row r="13" spans="1:14" x14ac:dyDescent="0.25">
      <c r="A13" s="28" t="s">
        <v>85</v>
      </c>
      <c r="B13" t="s">
        <v>74</v>
      </c>
      <c r="C13">
        <v>20</v>
      </c>
      <c r="D13" t="s">
        <v>75</v>
      </c>
      <c r="E13">
        <v>550</v>
      </c>
      <c r="F13" t="s">
        <v>76</v>
      </c>
      <c r="G13" t="s">
        <v>77</v>
      </c>
      <c r="N13" s="29"/>
    </row>
    <row r="14" spans="1:14" x14ac:dyDescent="0.25">
      <c r="A14" s="28" t="s">
        <v>86</v>
      </c>
      <c r="B14" t="s">
        <v>74</v>
      </c>
      <c r="C14">
        <v>0</v>
      </c>
      <c r="D14" t="s">
        <v>75</v>
      </c>
      <c r="E14">
        <v>550</v>
      </c>
      <c r="F14" t="s">
        <v>76</v>
      </c>
      <c r="G14" t="s">
        <v>77</v>
      </c>
      <c r="N14" s="29"/>
    </row>
    <row r="15" spans="1:14" x14ac:dyDescent="0.25">
      <c r="A15" s="28" t="s">
        <v>87</v>
      </c>
      <c r="B15" t="s">
        <v>74</v>
      </c>
      <c r="C15">
        <v>-30</v>
      </c>
      <c r="D15" t="s">
        <v>75</v>
      </c>
      <c r="E15">
        <v>535</v>
      </c>
      <c r="F15" t="s">
        <v>76</v>
      </c>
      <c r="G15" t="s">
        <v>77</v>
      </c>
      <c r="N15" s="29"/>
    </row>
    <row r="16" spans="1:14" x14ac:dyDescent="0.25">
      <c r="A16" s="28" t="s">
        <v>88</v>
      </c>
      <c r="B16" t="s">
        <v>74</v>
      </c>
      <c r="C16">
        <v>-30</v>
      </c>
      <c r="D16" t="s">
        <v>75</v>
      </c>
      <c r="E16">
        <v>535</v>
      </c>
      <c r="F16" t="s">
        <v>76</v>
      </c>
      <c r="G16" t="s">
        <v>77</v>
      </c>
      <c r="N16" s="29"/>
    </row>
    <row r="17" spans="1:15" x14ac:dyDescent="0.25">
      <c r="A17" s="28" t="s">
        <v>89</v>
      </c>
      <c r="B17" t="s">
        <v>74</v>
      </c>
      <c r="C17">
        <v>-30</v>
      </c>
      <c r="D17" t="s">
        <v>75</v>
      </c>
      <c r="E17">
        <v>535</v>
      </c>
      <c r="F17" t="s">
        <v>76</v>
      </c>
      <c r="G17" t="s">
        <v>77</v>
      </c>
      <c r="N17" s="29"/>
    </row>
    <row r="18" spans="1:15" x14ac:dyDescent="0.25">
      <c r="A18" s="28" t="s">
        <v>90</v>
      </c>
      <c r="B18" t="s">
        <v>74</v>
      </c>
      <c r="C18">
        <v>-35</v>
      </c>
      <c r="D18" t="s">
        <v>75</v>
      </c>
      <c r="E18">
        <v>550</v>
      </c>
      <c r="F18" t="s">
        <v>76</v>
      </c>
      <c r="G18" t="s">
        <v>77</v>
      </c>
      <c r="N18" s="29"/>
    </row>
    <row r="19" spans="1:15" x14ac:dyDescent="0.25">
      <c r="A19" s="28" t="s">
        <v>91</v>
      </c>
      <c r="B19" t="s">
        <v>74</v>
      </c>
      <c r="C19">
        <v>-35</v>
      </c>
      <c r="D19" t="s">
        <v>75</v>
      </c>
      <c r="E19">
        <v>550</v>
      </c>
      <c r="F19" t="s">
        <v>76</v>
      </c>
      <c r="G19" t="s">
        <v>77</v>
      </c>
      <c r="N19" s="29"/>
    </row>
    <row r="20" spans="1:15" x14ac:dyDescent="0.25">
      <c r="A20" s="28" t="s">
        <v>37</v>
      </c>
      <c r="C20" t="s">
        <v>73</v>
      </c>
      <c r="D20" t="s">
        <v>78</v>
      </c>
      <c r="E20" t="s">
        <v>79</v>
      </c>
      <c r="F20" t="s">
        <v>80</v>
      </c>
      <c r="G20" t="s">
        <v>81</v>
      </c>
      <c r="H20" t="s">
        <v>82</v>
      </c>
      <c r="I20" t="s">
        <v>83</v>
      </c>
      <c r="J20" t="s">
        <v>84</v>
      </c>
      <c r="K20" t="s">
        <v>85</v>
      </c>
      <c r="L20" t="s">
        <v>86</v>
      </c>
      <c r="M20" t="s">
        <v>88</v>
      </c>
      <c r="N20" s="29" t="s">
        <v>89</v>
      </c>
    </row>
    <row r="21" spans="1:15" x14ac:dyDescent="0.25">
      <c r="A21" s="30"/>
      <c r="B21" s="31"/>
      <c r="C21" s="31" t="s">
        <v>77</v>
      </c>
      <c r="D21" s="31" t="s">
        <v>77</v>
      </c>
      <c r="E21" s="31" t="s">
        <v>77</v>
      </c>
      <c r="F21" s="31" t="s">
        <v>77</v>
      </c>
      <c r="G21" s="31" t="s">
        <v>77</v>
      </c>
      <c r="H21" s="31" t="s">
        <v>77</v>
      </c>
      <c r="I21" s="31" t="s">
        <v>77</v>
      </c>
      <c r="J21" s="31" t="s">
        <v>77</v>
      </c>
      <c r="K21" s="31" t="s">
        <v>77</v>
      </c>
      <c r="L21" s="31" t="s">
        <v>77</v>
      </c>
      <c r="M21" s="31" t="s">
        <v>77</v>
      </c>
      <c r="N21" s="32" t="s">
        <v>77</v>
      </c>
    </row>
    <row r="24" spans="1:15" x14ac:dyDescent="0.25">
      <c r="A24" s="159" t="s">
        <v>93</v>
      </c>
      <c r="B24" s="159"/>
      <c r="C24" s="159"/>
      <c r="D24" s="159"/>
      <c r="E24" s="159"/>
      <c r="F24" s="159"/>
      <c r="G24" s="159"/>
      <c r="H24" s="159"/>
      <c r="I24" s="159"/>
      <c r="J24" s="159"/>
      <c r="K24" s="159"/>
      <c r="L24" s="159"/>
      <c r="M24" s="159"/>
      <c r="N24" s="159"/>
      <c r="O24" s="159"/>
    </row>
    <row r="25" spans="1:15" x14ac:dyDescent="0.25">
      <c r="A25" s="28" t="s">
        <v>57</v>
      </c>
      <c r="B25" t="s">
        <v>58</v>
      </c>
      <c r="C25" t="s">
        <v>59</v>
      </c>
      <c r="E25" t="s">
        <v>60</v>
      </c>
      <c r="F25">
        <v>8480381</v>
      </c>
      <c r="H25" t="s">
        <v>61</v>
      </c>
      <c r="I25" t="s">
        <v>62</v>
      </c>
      <c r="O25" s="29"/>
    </row>
    <row r="26" spans="1:15" x14ac:dyDescent="0.25">
      <c r="A26" s="28"/>
      <c r="B26" t="s">
        <v>63</v>
      </c>
      <c r="C26" t="s">
        <v>64</v>
      </c>
      <c r="E26" t="s">
        <v>65</v>
      </c>
      <c r="F26" t="s">
        <v>66</v>
      </c>
      <c r="H26" t="s">
        <v>67</v>
      </c>
      <c r="I26" t="s">
        <v>68</v>
      </c>
      <c r="K26" t="s">
        <v>69</v>
      </c>
      <c r="L26" t="s">
        <v>70</v>
      </c>
      <c r="O26" s="29"/>
    </row>
    <row r="27" spans="1:15" x14ac:dyDescent="0.25">
      <c r="A27" s="28" t="s">
        <v>71</v>
      </c>
      <c r="B27" t="s">
        <v>72</v>
      </c>
      <c r="O27" s="29"/>
    </row>
    <row r="28" spans="1:15" x14ac:dyDescent="0.25">
      <c r="A28" s="28" t="s">
        <v>73</v>
      </c>
      <c r="B28" t="s">
        <v>74</v>
      </c>
      <c r="C28">
        <v>20</v>
      </c>
      <c r="D28" t="s">
        <v>75</v>
      </c>
      <c r="E28">
        <v>250</v>
      </c>
      <c r="F28" t="s">
        <v>76</v>
      </c>
      <c r="G28" t="s">
        <v>77</v>
      </c>
      <c r="O28" s="29"/>
    </row>
    <row r="29" spans="1:15" x14ac:dyDescent="0.25">
      <c r="A29" s="28" t="s">
        <v>78</v>
      </c>
      <c r="B29" t="s">
        <v>74</v>
      </c>
      <c r="C29">
        <v>20</v>
      </c>
      <c r="D29" t="s">
        <v>75</v>
      </c>
      <c r="E29">
        <v>250</v>
      </c>
      <c r="F29" t="s">
        <v>76</v>
      </c>
      <c r="G29" t="s">
        <v>77</v>
      </c>
      <c r="O29" s="29"/>
    </row>
    <row r="30" spans="1:15" x14ac:dyDescent="0.25">
      <c r="A30" s="28" t="s">
        <v>79</v>
      </c>
      <c r="B30" t="s">
        <v>74</v>
      </c>
      <c r="C30">
        <v>20</v>
      </c>
      <c r="D30" t="s">
        <v>75</v>
      </c>
      <c r="E30">
        <v>250</v>
      </c>
      <c r="F30" t="s">
        <v>76</v>
      </c>
      <c r="G30" t="s">
        <v>77</v>
      </c>
      <c r="O30" s="29"/>
    </row>
    <row r="31" spans="1:15" x14ac:dyDescent="0.25">
      <c r="A31" s="28" t="s">
        <v>80</v>
      </c>
      <c r="B31" t="s">
        <v>74</v>
      </c>
      <c r="C31">
        <v>20</v>
      </c>
      <c r="D31" t="s">
        <v>75</v>
      </c>
      <c r="E31">
        <v>250</v>
      </c>
      <c r="F31" t="s">
        <v>76</v>
      </c>
      <c r="G31" t="s">
        <v>77</v>
      </c>
      <c r="O31" s="29"/>
    </row>
    <row r="32" spans="1:15" x14ac:dyDescent="0.25">
      <c r="A32" s="28" t="s">
        <v>81</v>
      </c>
      <c r="B32" t="s">
        <v>74</v>
      </c>
      <c r="C32">
        <v>20</v>
      </c>
      <c r="D32" t="s">
        <v>75</v>
      </c>
      <c r="E32">
        <v>250</v>
      </c>
      <c r="F32" t="s">
        <v>76</v>
      </c>
      <c r="G32" t="s">
        <v>77</v>
      </c>
      <c r="O32" s="29"/>
    </row>
    <row r="33" spans="1:15" x14ac:dyDescent="0.25">
      <c r="A33" s="28" t="s">
        <v>82</v>
      </c>
      <c r="B33" t="s">
        <v>74</v>
      </c>
      <c r="C33">
        <v>20</v>
      </c>
      <c r="D33" t="s">
        <v>75</v>
      </c>
      <c r="E33">
        <v>250</v>
      </c>
      <c r="F33" t="s">
        <v>76</v>
      </c>
      <c r="G33" t="s">
        <v>77</v>
      </c>
      <c r="O33" s="29"/>
    </row>
    <row r="34" spans="1:15" x14ac:dyDescent="0.25">
      <c r="A34" s="28" t="s">
        <v>83</v>
      </c>
      <c r="B34" t="s">
        <v>74</v>
      </c>
      <c r="C34">
        <v>20</v>
      </c>
      <c r="D34" t="s">
        <v>75</v>
      </c>
      <c r="E34">
        <v>250</v>
      </c>
      <c r="F34" t="s">
        <v>76</v>
      </c>
      <c r="G34" t="s">
        <v>77</v>
      </c>
      <c r="O34" s="29"/>
    </row>
    <row r="35" spans="1:15" x14ac:dyDescent="0.25">
      <c r="A35" s="28" t="s">
        <v>84</v>
      </c>
      <c r="B35" t="s">
        <v>74</v>
      </c>
      <c r="C35">
        <v>20</v>
      </c>
      <c r="D35" t="s">
        <v>75</v>
      </c>
      <c r="E35">
        <v>250</v>
      </c>
      <c r="F35" t="s">
        <v>76</v>
      </c>
      <c r="G35" t="s">
        <v>77</v>
      </c>
      <c r="O35" s="29"/>
    </row>
    <row r="36" spans="1:15" x14ac:dyDescent="0.25">
      <c r="A36" s="28" t="s">
        <v>85</v>
      </c>
      <c r="B36" t="s">
        <v>74</v>
      </c>
      <c r="C36">
        <v>20</v>
      </c>
      <c r="D36" t="s">
        <v>75</v>
      </c>
      <c r="E36">
        <v>250</v>
      </c>
      <c r="F36" t="s">
        <v>76</v>
      </c>
      <c r="G36" t="s">
        <v>77</v>
      </c>
      <c r="O36" s="29"/>
    </row>
    <row r="37" spans="1:15" x14ac:dyDescent="0.25">
      <c r="A37" s="28" t="s">
        <v>86</v>
      </c>
      <c r="B37" t="s">
        <v>74</v>
      </c>
      <c r="C37">
        <v>0</v>
      </c>
      <c r="D37" t="s">
        <v>75</v>
      </c>
      <c r="E37">
        <v>250</v>
      </c>
      <c r="F37" t="s">
        <v>76</v>
      </c>
      <c r="G37" t="s">
        <v>77</v>
      </c>
      <c r="O37" s="29"/>
    </row>
    <row r="38" spans="1:15" x14ac:dyDescent="0.25">
      <c r="A38" s="28" t="s">
        <v>87</v>
      </c>
      <c r="B38" t="s">
        <v>74</v>
      </c>
      <c r="C38">
        <v>0</v>
      </c>
      <c r="D38" t="s">
        <v>75</v>
      </c>
      <c r="E38">
        <v>250</v>
      </c>
      <c r="F38" t="s">
        <v>76</v>
      </c>
      <c r="G38" t="s">
        <v>77</v>
      </c>
      <c r="O38" s="29"/>
    </row>
    <row r="39" spans="1:15" x14ac:dyDescent="0.25">
      <c r="A39" s="28" t="s">
        <v>88</v>
      </c>
      <c r="B39" t="s">
        <v>74</v>
      </c>
      <c r="C39">
        <v>0</v>
      </c>
      <c r="D39" t="s">
        <v>75</v>
      </c>
      <c r="E39">
        <v>250</v>
      </c>
      <c r="F39" t="s">
        <v>76</v>
      </c>
      <c r="G39" t="s">
        <v>77</v>
      </c>
      <c r="O39" s="29"/>
    </row>
    <row r="40" spans="1:15" x14ac:dyDescent="0.25">
      <c r="A40" s="28" t="s">
        <v>89</v>
      </c>
      <c r="B40" t="s">
        <v>74</v>
      </c>
      <c r="C40">
        <v>0</v>
      </c>
      <c r="D40" t="s">
        <v>75</v>
      </c>
      <c r="E40">
        <v>250</v>
      </c>
      <c r="F40" t="s">
        <v>76</v>
      </c>
      <c r="G40" t="s">
        <v>77</v>
      </c>
      <c r="O40" s="29"/>
    </row>
    <row r="41" spans="1:15" x14ac:dyDescent="0.25">
      <c r="A41" s="28" t="s">
        <v>37</v>
      </c>
      <c r="C41" t="s">
        <v>73</v>
      </c>
      <c r="D41" t="s">
        <v>78</v>
      </c>
      <c r="E41" t="s">
        <v>79</v>
      </c>
      <c r="F41" t="s">
        <v>80</v>
      </c>
      <c r="G41" t="s">
        <v>81</v>
      </c>
      <c r="H41" t="s">
        <v>82</v>
      </c>
      <c r="I41" t="s">
        <v>83</v>
      </c>
      <c r="J41" t="s">
        <v>84</v>
      </c>
      <c r="K41" t="s">
        <v>85</v>
      </c>
      <c r="L41" t="s">
        <v>86</v>
      </c>
      <c r="M41" t="s">
        <v>87</v>
      </c>
      <c r="N41" t="s">
        <v>88</v>
      </c>
      <c r="O41" s="29" t="s">
        <v>89</v>
      </c>
    </row>
    <row r="42" spans="1:15" x14ac:dyDescent="0.25">
      <c r="A42" s="30"/>
      <c r="B42" s="31"/>
      <c r="C42" s="31" t="s">
        <v>77</v>
      </c>
      <c r="D42" s="31" t="s">
        <v>77</v>
      </c>
      <c r="E42" s="31" t="s">
        <v>77</v>
      </c>
      <c r="F42" s="31" t="s">
        <v>77</v>
      </c>
      <c r="G42" s="31" t="s">
        <v>77</v>
      </c>
      <c r="H42" s="31" t="s">
        <v>77</v>
      </c>
      <c r="I42" s="31" t="s">
        <v>77</v>
      </c>
      <c r="J42" s="31" t="s">
        <v>77</v>
      </c>
      <c r="K42" s="31" t="s">
        <v>77</v>
      </c>
      <c r="L42" s="31" t="s">
        <v>77</v>
      </c>
      <c r="M42" s="31" t="s">
        <v>77</v>
      </c>
      <c r="N42" s="31" t="s">
        <v>77</v>
      </c>
      <c r="O42" s="32" t="s">
        <v>77</v>
      </c>
    </row>
    <row r="45" spans="1:15" x14ac:dyDescent="0.25">
      <c r="A45" s="225" t="s">
        <v>272</v>
      </c>
      <c r="B45" s="225"/>
      <c r="C45" s="225"/>
      <c r="D45" s="225"/>
      <c r="E45" s="225"/>
      <c r="F45" s="225"/>
      <c r="G45" s="225"/>
      <c r="H45" s="225"/>
      <c r="I45" s="225"/>
      <c r="J45" s="225"/>
      <c r="K45" s="225"/>
    </row>
    <row r="46" spans="1:15" x14ac:dyDescent="0.25">
      <c r="A46" s="28" t="s">
        <v>57</v>
      </c>
      <c r="B46" s="226" t="s">
        <v>58</v>
      </c>
      <c r="C46" s="226" t="s">
        <v>59</v>
      </c>
      <c r="D46" s="226"/>
      <c r="E46" s="226" t="s">
        <v>60</v>
      </c>
      <c r="F46" s="226">
        <v>8480381</v>
      </c>
      <c r="G46" s="226"/>
      <c r="H46" s="226" t="s">
        <v>61</v>
      </c>
      <c r="I46" s="226" t="s">
        <v>62</v>
      </c>
      <c r="J46" s="226"/>
      <c r="K46" s="29"/>
    </row>
    <row r="47" spans="1:15" x14ac:dyDescent="0.25">
      <c r="A47" s="28"/>
      <c r="B47" s="226" t="s">
        <v>63</v>
      </c>
      <c r="C47" s="226" t="s">
        <v>64</v>
      </c>
      <c r="D47" s="226"/>
      <c r="E47" s="226" t="s">
        <v>65</v>
      </c>
      <c r="F47" s="226" t="s">
        <v>66</v>
      </c>
      <c r="G47" s="226"/>
      <c r="H47" s="226" t="s">
        <v>67</v>
      </c>
      <c r="I47" s="226" t="s">
        <v>68</v>
      </c>
      <c r="J47" s="226" t="s">
        <v>69</v>
      </c>
      <c r="K47" s="29" t="s">
        <v>70</v>
      </c>
    </row>
    <row r="48" spans="1:15" x14ac:dyDescent="0.25">
      <c r="A48" s="28" t="s">
        <v>71</v>
      </c>
      <c r="B48" s="226" t="s">
        <v>72</v>
      </c>
      <c r="C48" s="226"/>
      <c r="D48" s="226"/>
      <c r="E48" s="226"/>
      <c r="F48" s="226"/>
      <c r="G48" s="226"/>
      <c r="H48" s="226"/>
      <c r="I48" s="226"/>
      <c r="J48" s="226"/>
      <c r="K48" s="29"/>
    </row>
    <row r="49" spans="1:11" x14ac:dyDescent="0.25">
      <c r="A49" s="28" t="s">
        <v>73</v>
      </c>
      <c r="B49" s="226" t="s">
        <v>74</v>
      </c>
      <c r="C49" s="226">
        <v>20</v>
      </c>
      <c r="D49" s="226" t="s">
        <v>75</v>
      </c>
      <c r="E49" s="226">
        <v>550</v>
      </c>
      <c r="F49" s="226" t="s">
        <v>76</v>
      </c>
      <c r="G49" s="226" t="s">
        <v>77</v>
      </c>
      <c r="H49" s="226"/>
      <c r="I49" s="226"/>
      <c r="J49" s="226"/>
      <c r="K49" s="29"/>
    </row>
    <row r="50" spans="1:11" x14ac:dyDescent="0.25">
      <c r="A50" s="28" t="s">
        <v>78</v>
      </c>
      <c r="B50" s="226" t="s">
        <v>74</v>
      </c>
      <c r="C50" s="226">
        <v>20</v>
      </c>
      <c r="D50" s="226" t="s">
        <v>75</v>
      </c>
      <c r="E50" s="226">
        <v>550</v>
      </c>
      <c r="F50" s="226" t="s">
        <v>76</v>
      </c>
      <c r="G50" s="226" t="s">
        <v>77</v>
      </c>
      <c r="H50" s="226"/>
      <c r="I50" s="226"/>
      <c r="J50" s="226"/>
      <c r="K50" s="29"/>
    </row>
    <row r="51" spans="1:11" x14ac:dyDescent="0.25">
      <c r="A51" s="28" t="s">
        <v>79</v>
      </c>
      <c r="B51" s="226" t="s">
        <v>74</v>
      </c>
      <c r="C51" s="226">
        <v>20</v>
      </c>
      <c r="D51" s="226" t="s">
        <v>75</v>
      </c>
      <c r="E51" s="226">
        <v>550</v>
      </c>
      <c r="F51" s="226" t="s">
        <v>76</v>
      </c>
      <c r="G51" s="226" t="s">
        <v>77</v>
      </c>
      <c r="H51" s="226"/>
      <c r="I51" s="226"/>
      <c r="J51" s="226"/>
      <c r="K51" s="29"/>
    </row>
    <row r="52" spans="1:11" x14ac:dyDescent="0.25">
      <c r="A52" s="28" t="s">
        <v>80</v>
      </c>
      <c r="B52" s="226" t="s">
        <v>74</v>
      </c>
      <c r="C52" s="226">
        <v>20</v>
      </c>
      <c r="D52" s="226" t="s">
        <v>75</v>
      </c>
      <c r="E52" s="226">
        <v>550</v>
      </c>
      <c r="F52" s="226" t="s">
        <v>76</v>
      </c>
      <c r="G52" s="226" t="s">
        <v>77</v>
      </c>
      <c r="H52" s="226"/>
      <c r="I52" s="226"/>
      <c r="J52" s="226"/>
      <c r="K52" s="29"/>
    </row>
    <row r="53" spans="1:11" x14ac:dyDescent="0.25">
      <c r="A53" s="28" t="s">
        <v>81</v>
      </c>
      <c r="B53" s="226" t="s">
        <v>74</v>
      </c>
      <c r="C53" s="226">
        <v>20</v>
      </c>
      <c r="D53" s="226" t="s">
        <v>75</v>
      </c>
      <c r="E53" s="226">
        <v>550</v>
      </c>
      <c r="F53" s="226" t="s">
        <v>76</v>
      </c>
      <c r="G53" s="226" t="s">
        <v>77</v>
      </c>
      <c r="H53" s="226"/>
      <c r="I53" s="226"/>
      <c r="J53" s="226"/>
      <c r="K53" s="29"/>
    </row>
    <row r="54" spans="1:11" x14ac:dyDescent="0.25">
      <c r="A54" s="28" t="s">
        <v>82</v>
      </c>
      <c r="B54" s="226" t="s">
        <v>74</v>
      </c>
      <c r="C54" s="226">
        <v>20</v>
      </c>
      <c r="D54" s="226" t="s">
        <v>75</v>
      </c>
      <c r="E54" s="226">
        <v>550</v>
      </c>
      <c r="F54" s="226" t="s">
        <v>76</v>
      </c>
      <c r="G54" s="226" t="s">
        <v>77</v>
      </c>
      <c r="H54" s="226"/>
      <c r="I54" s="226"/>
      <c r="J54" s="226"/>
      <c r="K54" s="29"/>
    </row>
    <row r="55" spans="1:11" x14ac:dyDescent="0.25">
      <c r="A55" s="28" t="s">
        <v>83</v>
      </c>
      <c r="B55" s="226" t="s">
        <v>74</v>
      </c>
      <c r="C55" s="226">
        <v>20</v>
      </c>
      <c r="D55" s="226" t="s">
        <v>75</v>
      </c>
      <c r="E55" s="226">
        <v>550</v>
      </c>
      <c r="F55" s="226" t="s">
        <v>76</v>
      </c>
      <c r="G55" s="226" t="s">
        <v>77</v>
      </c>
      <c r="H55" s="226"/>
      <c r="I55" s="226"/>
      <c r="J55" s="226"/>
      <c r="K55" s="29"/>
    </row>
    <row r="56" spans="1:11" x14ac:dyDescent="0.25">
      <c r="A56" s="28" t="s">
        <v>84</v>
      </c>
      <c r="B56" s="226" t="s">
        <v>74</v>
      </c>
      <c r="C56" s="226">
        <v>20</v>
      </c>
      <c r="D56" s="226" t="s">
        <v>75</v>
      </c>
      <c r="E56" s="226">
        <v>550</v>
      </c>
      <c r="F56" s="226" t="s">
        <v>76</v>
      </c>
      <c r="G56" s="226" t="s">
        <v>77</v>
      </c>
      <c r="H56" s="226"/>
      <c r="I56" s="226"/>
      <c r="J56" s="226"/>
      <c r="K56" s="29"/>
    </row>
    <row r="57" spans="1:11" x14ac:dyDescent="0.25">
      <c r="A57" s="28" t="s">
        <v>85</v>
      </c>
      <c r="B57" s="226" t="s">
        <v>74</v>
      </c>
      <c r="C57" s="226">
        <v>20</v>
      </c>
      <c r="D57" s="226" t="s">
        <v>75</v>
      </c>
      <c r="E57" s="226">
        <v>550</v>
      </c>
      <c r="F57" s="226" t="s">
        <v>76</v>
      </c>
      <c r="G57" s="226" t="s">
        <v>77</v>
      </c>
      <c r="H57" s="226"/>
      <c r="I57" s="226"/>
      <c r="J57" s="226"/>
      <c r="K57" s="29"/>
    </row>
    <row r="58" spans="1:11" x14ac:dyDescent="0.25">
      <c r="A58" s="28" t="s">
        <v>37</v>
      </c>
      <c r="B58" s="226"/>
      <c r="C58" s="226" t="s">
        <v>73</v>
      </c>
      <c r="D58" s="226" t="s">
        <v>78</v>
      </c>
      <c r="E58" s="226" t="s">
        <v>79</v>
      </c>
      <c r="F58" s="226" t="s">
        <v>80</v>
      </c>
      <c r="G58" s="226" t="s">
        <v>81</v>
      </c>
      <c r="H58" s="226" t="s">
        <v>82</v>
      </c>
      <c r="I58" s="226" t="s">
        <v>83</v>
      </c>
      <c r="J58" s="226" t="s">
        <v>84</v>
      </c>
      <c r="K58" s="29" t="s">
        <v>85</v>
      </c>
    </row>
    <row r="59" spans="1:11" x14ac:dyDescent="0.25">
      <c r="A59" s="30"/>
      <c r="B59" s="31"/>
      <c r="C59" s="31" t="s">
        <v>77</v>
      </c>
      <c r="D59" s="31" t="s">
        <v>77</v>
      </c>
      <c r="E59" s="31" t="s">
        <v>77</v>
      </c>
      <c r="F59" s="31" t="s">
        <v>77</v>
      </c>
      <c r="G59" s="31" t="s">
        <v>77</v>
      </c>
      <c r="H59" s="31" t="s">
        <v>77</v>
      </c>
      <c r="I59" s="31" t="s">
        <v>77</v>
      </c>
      <c r="J59" s="31" t="s">
        <v>77</v>
      </c>
      <c r="K59" s="32" t="s">
        <v>77</v>
      </c>
    </row>
  </sheetData>
  <sheetProtection algorithmName="SHA-512" hashValue="XClDyR5oaSzWCDMatlSO0pv693rTOAJuyH71DjtupYJkMbPbdT6KbwyqfNBwNaxhUittoK1Hkc+OhbF0cW6eeA==" saltValue="+tYLKqYrPUe5MMg6WFrNyA==" spinCount="100000" sheet="1" objects="1" scenarios="1" autoFilter="0"/>
  <mergeCells count="3">
    <mergeCell ref="A1:N1"/>
    <mergeCell ref="A24:O24"/>
    <mergeCell ref="A45:K4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0" tint="-0.34998626667073579"/>
  </sheetPr>
  <dimension ref="D3:M12"/>
  <sheetViews>
    <sheetView tabSelected="1" topLeftCell="D1" workbookViewId="0">
      <selection activeCell="Y32" sqref="Y32"/>
    </sheetView>
  </sheetViews>
  <sheetFormatPr baseColWidth="10" defaultColWidth="9.140625" defaultRowHeight="15" x14ac:dyDescent="0.25"/>
  <cols>
    <col min="2" max="2" width="15.28515625" customWidth="1"/>
  </cols>
  <sheetData>
    <row r="3" spans="4:13" x14ac:dyDescent="0.25">
      <c r="D3" s="223"/>
    </row>
    <row r="4" spans="4:13" x14ac:dyDescent="0.25">
      <c r="D4" s="223"/>
    </row>
    <row r="5" spans="4:13" x14ac:dyDescent="0.25">
      <c r="D5" s="223"/>
    </row>
    <row r="6" spans="4:13" x14ac:dyDescent="0.25">
      <c r="D6" s="223"/>
    </row>
    <row r="7" spans="4:13" x14ac:dyDescent="0.25">
      <c r="K7" s="227" t="s">
        <v>267</v>
      </c>
    </row>
    <row r="10" spans="4:13" x14ac:dyDescent="0.25">
      <c r="K10" s="224" t="s">
        <v>263</v>
      </c>
      <c r="M10" t="s">
        <v>266</v>
      </c>
    </row>
    <row r="11" spans="4:13" x14ac:dyDescent="0.25">
      <c r="K11" s="224" t="s">
        <v>264</v>
      </c>
    </row>
    <row r="12" spans="4:13" x14ac:dyDescent="0.25">
      <c r="K12" s="224" t="s">
        <v>265</v>
      </c>
    </row>
  </sheetData>
  <sheetProtection algorithmName="SHA-512" hashValue="ml8UTnX/qji3z3YVVekQtPQCHDlWVQwaryYsyy25RZQAEKQVyr0szP5IOhDWIdKM9kilTgApP7ZwVzXpTeHOkA==" saltValue="d0VxYSov86x5mvU1FTIKnQ==" spinCount="100000" sheet="1" objects="1" scenarios="1" autoFilter="0"/>
  <dataValidations disablePrompts="1" count="1">
    <dataValidation type="list" allowBlank="1" showInputMessage="1" showErrorMessage="1" promptTitle="dfghjk" prompt="ddfghjddfghjxcfg" sqref="B4" xr:uid="{F4CC69DF-A5B8-46B1-AF60-0808BF96A8D2}">
      <formula1>"Tus du Congélateur, Tus de l'étuve OMIA, Tus de l'étuve DOVER"</formula1>
    </dataValidation>
  </dataValidations>
  <pageMargins left="0.7" right="0.7" top="0.75" bottom="0.75" header="0.3" footer="0.3"/>
  <drawing r:id="rId1"/>
  <legacyDrawing r:id="rId2"/>
  <controls>
    <mc:AlternateContent xmlns:mc="http://schemas.openxmlformats.org/markup-compatibility/2006">
      <mc:Choice Requires="x14">
        <control shapeId="10243" r:id="rId3" name="ComboBox1">
          <controlPr defaultSize="0" autoLine="0" altText="sedrftgyh" linkedCell="K7" listFillRange="K10:K13" r:id="rId4">
            <anchor moveWithCells="1">
              <from>
                <xdr:col>7</xdr:col>
                <xdr:colOff>561975</xdr:colOff>
                <xdr:row>4</xdr:row>
                <xdr:rowOff>152400</xdr:rowOff>
              </from>
              <to>
                <xdr:col>15</xdr:col>
                <xdr:colOff>457200</xdr:colOff>
                <xdr:row>11</xdr:row>
                <xdr:rowOff>114300</xdr:rowOff>
              </to>
            </anchor>
          </controlPr>
        </control>
      </mc:Choice>
      <mc:Fallback>
        <control shapeId="10243" r:id="rId3" name="ComboBox1"/>
      </mc:Fallback>
    </mc:AlternateContent>
    <mc:AlternateContent xmlns:mc="http://schemas.openxmlformats.org/markup-compatibility/2006">
      <mc:Choice Requires="x14">
        <control shapeId="10245" r:id="rId5" name="Button 5">
          <controlPr defaultSize="0" print="0" autoFill="0" autoPict="0" macro="[0]!clear_all_content">
            <anchor moveWithCells="1" sizeWithCells="1">
              <from>
                <xdr:col>18</xdr:col>
                <xdr:colOff>238125</xdr:colOff>
                <xdr:row>5</xdr:row>
                <xdr:rowOff>104775</xdr:rowOff>
              </from>
              <to>
                <xdr:col>24</xdr:col>
                <xdr:colOff>219075</xdr:colOff>
                <xdr:row>11</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A9129-E532-4BCC-8E4B-14B3C10A9F69}">
  <sheetPr codeName="Feuil2">
    <tabColor theme="8" tint="0.39997558519241921"/>
  </sheetPr>
  <dimension ref="A1:P53"/>
  <sheetViews>
    <sheetView zoomScaleNormal="100" workbookViewId="0">
      <selection activeCell="C7" sqref="C7"/>
    </sheetView>
  </sheetViews>
  <sheetFormatPr baseColWidth="10" defaultRowHeight="15" x14ac:dyDescent="0.25"/>
  <cols>
    <col min="1" max="1" width="13.5703125" bestFit="1" customWidth="1"/>
    <col min="2" max="2" width="14.7109375" bestFit="1" customWidth="1"/>
    <col min="3" max="3" width="18.85546875" bestFit="1" customWidth="1"/>
    <col min="4" max="4" width="23.42578125" customWidth="1"/>
    <col min="5" max="5" width="11.5703125" bestFit="1" customWidth="1"/>
    <col min="6" max="6" width="8.42578125" bestFit="1" customWidth="1"/>
    <col min="12" max="12" width="29" customWidth="1"/>
    <col min="13" max="13" width="21.42578125" bestFit="1" customWidth="1"/>
    <col min="14" max="14" width="17.28515625" bestFit="1" customWidth="1"/>
    <col min="15" max="15" width="25.85546875" bestFit="1" customWidth="1"/>
  </cols>
  <sheetData>
    <row r="1" spans="1:16" x14ac:dyDescent="0.25">
      <c r="A1" s="1"/>
      <c r="B1" s="1"/>
      <c r="C1" s="1"/>
      <c r="D1" s="1"/>
      <c r="E1" s="1"/>
      <c r="F1" s="1"/>
      <c r="G1" s="1"/>
      <c r="H1" s="1"/>
      <c r="I1" s="1"/>
      <c r="J1" s="1"/>
      <c r="K1" s="1"/>
      <c r="L1" s="1"/>
      <c r="M1" s="1"/>
      <c r="N1" s="1"/>
      <c r="O1" s="1"/>
    </row>
    <row r="2" spans="1:16" ht="15" customHeight="1" x14ac:dyDescent="0.25">
      <c r="A2" s="1"/>
      <c r="B2" s="162" t="s">
        <v>11</v>
      </c>
      <c r="C2" s="163"/>
      <c r="D2" s="163"/>
      <c r="E2" s="163"/>
      <c r="F2" s="163"/>
      <c r="G2" s="163"/>
      <c r="H2" s="163"/>
      <c r="I2" s="163"/>
      <c r="J2" s="163"/>
      <c r="K2" s="163"/>
      <c r="L2" s="1"/>
      <c r="M2" s="1"/>
      <c r="N2" s="1"/>
      <c r="O2" s="1"/>
    </row>
    <row r="3" spans="1:16" ht="15" customHeight="1" x14ac:dyDescent="0.25">
      <c r="A3" s="1"/>
      <c r="B3" s="163"/>
      <c r="C3" s="163"/>
      <c r="D3" s="163"/>
      <c r="E3" s="163"/>
      <c r="F3" s="163"/>
      <c r="G3" s="163"/>
      <c r="H3" s="163"/>
      <c r="I3" s="163"/>
      <c r="J3" s="163"/>
      <c r="K3" s="163"/>
      <c r="L3" s="1"/>
      <c r="M3" s="1"/>
      <c r="N3" s="1"/>
      <c r="O3" s="1"/>
    </row>
    <row r="4" spans="1:16" ht="57" x14ac:dyDescent="0.25">
      <c r="A4" s="1"/>
      <c r="B4" s="2"/>
      <c r="C4" s="2"/>
      <c r="D4" s="2"/>
      <c r="E4" s="2"/>
      <c r="F4" s="2"/>
      <c r="G4" s="2"/>
      <c r="H4" s="2"/>
      <c r="I4" s="2"/>
      <c r="J4" s="2"/>
      <c r="K4" s="2"/>
      <c r="L4" s="1"/>
      <c r="M4" s="1"/>
      <c r="N4" s="1"/>
      <c r="O4" s="1"/>
    </row>
    <row r="5" spans="1:16" x14ac:dyDescent="0.25">
      <c r="A5" s="164" t="s">
        <v>0</v>
      </c>
      <c r="B5" s="164"/>
      <c r="C5" s="164"/>
      <c r="D5" s="232"/>
      <c r="E5" s="1"/>
      <c r="F5" s="1"/>
      <c r="G5" s="1"/>
      <c r="H5" s="1"/>
      <c r="I5" s="1"/>
      <c r="J5" s="1"/>
      <c r="K5" s="1"/>
      <c r="L5" s="1"/>
      <c r="M5" s="1"/>
      <c r="N5" s="1"/>
      <c r="O5" s="24"/>
    </row>
    <row r="6" spans="1:16" x14ac:dyDescent="0.25">
      <c r="A6" s="1"/>
      <c r="B6" s="1"/>
      <c r="C6" s="1"/>
      <c r="D6" s="1"/>
      <c r="E6" s="1"/>
      <c r="F6" s="1"/>
      <c r="G6" s="1"/>
      <c r="H6" s="1"/>
      <c r="I6" s="1"/>
      <c r="J6" s="1"/>
      <c r="K6" s="1"/>
      <c r="L6" s="1"/>
      <c r="M6" s="1"/>
      <c r="N6" s="1"/>
      <c r="O6" s="1"/>
      <c r="P6" s="24"/>
    </row>
    <row r="7" spans="1:16" x14ac:dyDescent="0.25">
      <c r="A7" s="164" t="s">
        <v>1</v>
      </c>
      <c r="B7" s="164"/>
      <c r="C7" s="4"/>
      <c r="D7" s="1"/>
      <c r="E7" s="164" t="s">
        <v>19</v>
      </c>
      <c r="F7" s="164"/>
      <c r="G7" s="4"/>
      <c r="H7" s="1"/>
      <c r="I7" s="1"/>
      <c r="J7" s="1"/>
      <c r="K7" s="1"/>
      <c r="L7" s="1"/>
      <c r="M7" s="1"/>
      <c r="N7" s="1"/>
      <c r="O7" s="5"/>
    </row>
    <row r="8" spans="1:16" x14ac:dyDescent="0.25">
      <c r="A8" s="164" t="s">
        <v>2</v>
      </c>
      <c r="B8" s="164"/>
      <c r="C8" s="6"/>
      <c r="D8" s="1"/>
      <c r="E8" s="164" t="s">
        <v>20</v>
      </c>
      <c r="F8" s="164"/>
      <c r="G8" s="6"/>
      <c r="H8" s="1"/>
      <c r="I8" s="1"/>
      <c r="J8" s="1"/>
      <c r="K8" s="1"/>
      <c r="L8" s="1"/>
      <c r="M8" s="1"/>
      <c r="N8" s="1"/>
      <c r="O8" s="5"/>
    </row>
    <row r="9" spans="1:16" x14ac:dyDescent="0.25">
      <c r="A9" s="1"/>
      <c r="B9" s="1"/>
      <c r="C9" s="1"/>
      <c r="D9" s="1"/>
      <c r="E9" s="1"/>
      <c r="F9" s="1"/>
      <c r="G9" s="1"/>
      <c r="H9" s="1"/>
      <c r="I9" s="1"/>
      <c r="J9" s="1"/>
      <c r="K9" s="1"/>
      <c r="L9" s="1"/>
      <c r="M9" s="1"/>
      <c r="N9" s="1"/>
      <c r="O9" s="5"/>
    </row>
    <row r="10" spans="1:16" x14ac:dyDescent="0.25">
      <c r="A10" s="160" t="s">
        <v>3</v>
      </c>
      <c r="B10" s="161"/>
      <c r="C10" s="7"/>
      <c r="D10" s="1"/>
      <c r="E10" s="160" t="s">
        <v>21</v>
      </c>
      <c r="F10" s="161"/>
      <c r="G10" s="8"/>
      <c r="H10" s="1"/>
      <c r="I10" s="1"/>
      <c r="J10" s="1"/>
      <c r="K10" s="1"/>
      <c r="L10" s="1"/>
      <c r="M10" s="1"/>
      <c r="N10" s="1"/>
      <c r="O10" s="1"/>
    </row>
    <row r="11" spans="1:16" x14ac:dyDescent="0.25">
      <c r="A11" s="160" t="s">
        <v>4</v>
      </c>
      <c r="B11" s="161"/>
      <c r="C11" s="8"/>
      <c r="D11" s="1"/>
      <c r="E11" s="164" t="s">
        <v>22</v>
      </c>
      <c r="F11" s="164"/>
      <c r="G11" s="228">
        <v>9</v>
      </c>
      <c r="H11" s="1"/>
      <c r="I11" s="1"/>
      <c r="J11" s="1"/>
      <c r="K11" s="1"/>
      <c r="L11" s="1"/>
      <c r="M11" s="1"/>
      <c r="N11" s="1"/>
      <c r="O11" s="1"/>
    </row>
    <row r="12" spans="1:16" x14ac:dyDescent="0.25">
      <c r="A12" s="1"/>
      <c r="B12" s="1"/>
      <c r="C12" s="1"/>
      <c r="D12" s="1"/>
      <c r="E12" s="164" t="s">
        <v>23</v>
      </c>
      <c r="F12" s="164"/>
      <c r="G12" s="10"/>
      <c r="H12" s="1"/>
      <c r="I12" s="1"/>
      <c r="J12" s="1"/>
      <c r="K12" s="1"/>
      <c r="L12" s="1"/>
      <c r="M12" s="1"/>
      <c r="N12" s="1"/>
      <c r="O12" s="1"/>
    </row>
    <row r="13" spans="1:16" x14ac:dyDescent="0.25">
      <c r="A13" s="1"/>
      <c r="B13" s="1"/>
      <c r="C13" s="1"/>
      <c r="D13" s="1"/>
      <c r="E13" s="1"/>
      <c r="F13" s="1"/>
      <c r="G13" s="1"/>
      <c r="H13" s="1"/>
      <c r="I13" s="1"/>
      <c r="J13" s="1"/>
      <c r="K13" s="1"/>
      <c r="L13" s="1"/>
      <c r="M13" s="1"/>
      <c r="N13" s="1"/>
      <c r="O13" s="1"/>
    </row>
    <row r="14" spans="1:16" x14ac:dyDescent="0.25">
      <c r="A14" s="160" t="s">
        <v>5</v>
      </c>
      <c r="B14" s="161"/>
      <c r="C14" s="4"/>
      <c r="D14" s="1"/>
      <c r="E14" s="1"/>
      <c r="F14" s="1"/>
      <c r="G14" s="1"/>
      <c r="H14" s="1"/>
      <c r="I14" s="1"/>
      <c r="J14" s="1"/>
      <c r="K14" s="1"/>
      <c r="L14" s="1"/>
      <c r="M14" s="1"/>
      <c r="N14" s="1"/>
      <c r="O14" s="1"/>
    </row>
    <row r="15" spans="1:16" x14ac:dyDescent="0.25">
      <c r="A15" s="160" t="s">
        <v>6</v>
      </c>
      <c r="B15" s="161"/>
      <c r="C15" s="10"/>
      <c r="D15" s="1"/>
      <c r="E15" s="1"/>
      <c r="F15" s="1"/>
      <c r="G15" s="1"/>
      <c r="H15" s="1"/>
      <c r="I15" s="1"/>
      <c r="J15" s="1"/>
      <c r="K15" s="1"/>
      <c r="L15" s="1"/>
      <c r="M15" s="1"/>
      <c r="N15" s="1"/>
      <c r="O15" s="1"/>
    </row>
    <row r="16" spans="1:16" x14ac:dyDescent="0.25">
      <c r="A16" s="1"/>
      <c r="B16" s="1"/>
      <c r="C16" s="1"/>
      <c r="D16" s="1"/>
      <c r="E16" s="1"/>
      <c r="F16" s="1"/>
      <c r="G16" s="1"/>
      <c r="H16" s="1"/>
      <c r="I16" s="1"/>
      <c r="J16" s="1"/>
      <c r="K16" s="1"/>
      <c r="L16" s="1"/>
      <c r="M16" s="1"/>
      <c r="N16" s="1"/>
      <c r="O16" s="1"/>
    </row>
    <row r="17" spans="1:15" x14ac:dyDescent="0.25">
      <c r="A17" s="1"/>
      <c r="B17" s="1"/>
      <c r="C17" s="1"/>
      <c r="D17" s="1"/>
      <c r="E17" s="1"/>
      <c r="F17" s="1"/>
      <c r="G17" s="1"/>
      <c r="H17" s="1"/>
      <c r="I17" s="1"/>
      <c r="J17" s="1"/>
      <c r="K17" s="1"/>
      <c r="L17" s="1"/>
      <c r="M17" s="1"/>
      <c r="N17" s="1"/>
      <c r="O17" s="1"/>
    </row>
    <row r="18" spans="1:15" x14ac:dyDescent="0.25">
      <c r="A18" s="1"/>
      <c r="B18" s="1"/>
      <c r="C18" s="1"/>
      <c r="D18" s="1"/>
      <c r="E18" s="1"/>
      <c r="F18" s="1"/>
      <c r="G18" s="1"/>
      <c r="H18" s="1"/>
      <c r="I18" s="1"/>
      <c r="J18" s="1"/>
      <c r="K18" s="1"/>
      <c r="L18" s="1"/>
      <c r="M18" s="1"/>
      <c r="N18" s="1"/>
      <c r="O18" s="1"/>
    </row>
    <row r="19" spans="1:15" x14ac:dyDescent="0.25">
      <c r="A19" s="3" t="s">
        <v>7</v>
      </c>
      <c r="B19" s="230">
        <v>-30</v>
      </c>
      <c r="C19" s="1"/>
      <c r="D19" s="1"/>
      <c r="E19" s="1"/>
      <c r="F19" s="1"/>
      <c r="G19" s="1"/>
      <c r="H19" s="1"/>
      <c r="I19" s="1"/>
      <c r="J19" s="1"/>
      <c r="K19" s="1"/>
      <c r="L19" s="1"/>
      <c r="M19" s="1"/>
      <c r="N19" s="1"/>
      <c r="O19" s="1"/>
    </row>
    <row r="20" spans="1:15" x14ac:dyDescent="0.25">
      <c r="A20" s="3" t="s">
        <v>8</v>
      </c>
      <c r="B20" s="11"/>
      <c r="C20" s="1"/>
      <c r="D20" s="1"/>
      <c r="E20" s="1"/>
      <c r="F20" s="1"/>
      <c r="G20" s="1"/>
      <c r="H20" s="1"/>
      <c r="I20" s="1"/>
      <c r="J20" s="1"/>
      <c r="K20" s="1"/>
      <c r="L20" s="1"/>
      <c r="M20" s="1"/>
      <c r="N20" s="1"/>
      <c r="O20" s="1"/>
    </row>
    <row r="21" spans="1:15" ht="15.75" thickBot="1" x14ac:dyDescent="0.3">
      <c r="A21" s="1"/>
      <c r="B21" s="1"/>
      <c r="C21" s="1"/>
      <c r="D21" s="1"/>
      <c r="E21" s="1"/>
      <c r="F21" s="1"/>
      <c r="G21" s="1"/>
      <c r="H21" s="1"/>
      <c r="I21" s="1"/>
      <c r="J21" s="1"/>
      <c r="K21" s="1"/>
      <c r="L21" s="1"/>
      <c r="M21" s="1"/>
      <c r="N21" s="1"/>
      <c r="O21" s="1"/>
    </row>
    <row r="22" spans="1:15" ht="15.75" thickBot="1" x14ac:dyDescent="0.3">
      <c r="A22" s="12" t="s">
        <v>9</v>
      </c>
      <c r="B22" s="13" t="s">
        <v>12</v>
      </c>
      <c r="C22" s="13" t="s">
        <v>15</v>
      </c>
      <c r="D22" s="13" t="s">
        <v>17</v>
      </c>
      <c r="E22" s="14" t="s">
        <v>24</v>
      </c>
      <c r="F22" s="1"/>
      <c r="G22" s="1"/>
      <c r="H22" s="1"/>
      <c r="I22" s="1"/>
      <c r="J22" s="1"/>
      <c r="K22" s="1"/>
      <c r="L22" s="1"/>
      <c r="M22" s="1"/>
      <c r="N22" s="1"/>
      <c r="O22" s="1"/>
    </row>
    <row r="23" spans="1:15" x14ac:dyDescent="0.25">
      <c r="A23" s="15">
        <v>1</v>
      </c>
      <c r="B23" s="11"/>
      <c r="C23" s="11"/>
      <c r="D23" s="11"/>
      <c r="E23" s="11"/>
      <c r="F23" s="1"/>
      <c r="G23" s="1"/>
      <c r="H23" s="1"/>
      <c r="I23" s="1"/>
      <c r="J23" s="1"/>
      <c r="K23" s="1"/>
      <c r="L23" s="1"/>
      <c r="M23" s="1"/>
      <c r="N23" s="1"/>
      <c r="O23" s="1"/>
    </row>
    <row r="24" spans="1:15" x14ac:dyDescent="0.25">
      <c r="A24" s="19">
        <v>2</v>
      </c>
      <c r="B24" s="11"/>
      <c r="C24" s="11"/>
      <c r="D24" s="11"/>
      <c r="E24" s="11"/>
      <c r="F24" s="1"/>
      <c r="G24" s="1"/>
      <c r="H24" s="1"/>
      <c r="I24" s="1"/>
      <c r="J24" s="1"/>
      <c r="K24" s="1"/>
      <c r="L24" s="1"/>
      <c r="M24" s="1"/>
      <c r="N24" s="1"/>
      <c r="O24" s="1"/>
    </row>
    <row r="25" spans="1:15" x14ac:dyDescent="0.25">
      <c r="A25" s="15">
        <v>3</v>
      </c>
      <c r="B25" s="11"/>
      <c r="C25" s="11"/>
      <c r="D25" s="11"/>
      <c r="E25" s="11"/>
      <c r="F25" s="1"/>
      <c r="G25" s="1"/>
      <c r="H25" s="1"/>
      <c r="I25" s="1"/>
      <c r="J25" s="1"/>
      <c r="K25" s="1"/>
      <c r="L25" s="1"/>
      <c r="M25" s="1"/>
      <c r="N25" s="1"/>
      <c r="O25" s="1"/>
    </row>
    <row r="26" spans="1:15" x14ac:dyDescent="0.25">
      <c r="A26" s="19">
        <v>4</v>
      </c>
      <c r="B26" s="11"/>
      <c r="C26" s="11"/>
      <c r="D26" s="11"/>
      <c r="E26" s="11"/>
      <c r="F26" s="1"/>
      <c r="G26" s="1"/>
      <c r="H26" s="1"/>
      <c r="I26" s="1"/>
      <c r="J26" s="1"/>
      <c r="K26" s="1"/>
      <c r="L26" s="1"/>
      <c r="M26" s="1"/>
      <c r="N26" s="1"/>
      <c r="O26" s="1"/>
    </row>
    <row r="27" spans="1:15" x14ac:dyDescent="0.25">
      <c r="A27" s="15">
        <v>5</v>
      </c>
      <c r="B27" s="11"/>
      <c r="C27" s="11"/>
      <c r="D27" s="11"/>
      <c r="E27" s="11"/>
      <c r="F27" s="1"/>
      <c r="G27" s="1"/>
      <c r="H27" s="1"/>
      <c r="I27" s="1"/>
      <c r="J27" s="1"/>
      <c r="K27" s="1"/>
      <c r="L27" s="1"/>
      <c r="M27" s="1"/>
      <c r="N27" s="1"/>
      <c r="O27" s="1"/>
    </row>
    <row r="28" spans="1:15" x14ac:dyDescent="0.25">
      <c r="A28" s="19">
        <v>6</v>
      </c>
      <c r="B28" s="11"/>
      <c r="C28" s="11"/>
      <c r="D28" s="11"/>
      <c r="E28" s="11"/>
      <c r="F28" s="1"/>
      <c r="G28" s="1"/>
      <c r="H28" s="1"/>
      <c r="I28" s="1"/>
      <c r="J28" s="1"/>
      <c r="K28" s="1"/>
      <c r="L28" s="1"/>
      <c r="M28" s="1"/>
      <c r="N28" s="1"/>
      <c r="O28" s="1"/>
    </row>
    <row r="29" spans="1:15" x14ac:dyDescent="0.25">
      <c r="A29" s="15">
        <v>7</v>
      </c>
      <c r="B29" s="11"/>
      <c r="C29" s="11"/>
      <c r="D29" s="11"/>
      <c r="E29" s="11"/>
      <c r="F29" s="1"/>
      <c r="G29" s="1"/>
      <c r="H29" s="1"/>
      <c r="I29" s="1"/>
      <c r="J29" s="1"/>
      <c r="K29" s="1"/>
      <c r="L29" s="1"/>
      <c r="M29" s="1"/>
      <c r="N29" s="1"/>
      <c r="O29" s="1"/>
    </row>
    <row r="30" spans="1:15" x14ac:dyDescent="0.25">
      <c r="A30" s="19">
        <v>8</v>
      </c>
      <c r="B30" s="11"/>
      <c r="C30" s="11"/>
      <c r="D30" s="11"/>
      <c r="E30" s="11"/>
      <c r="F30" s="1"/>
      <c r="G30" s="1"/>
      <c r="H30" s="1"/>
      <c r="I30" s="1"/>
      <c r="J30" s="1"/>
      <c r="K30" s="1"/>
      <c r="L30" s="1"/>
      <c r="M30" s="1"/>
      <c r="N30" s="1"/>
      <c r="O30" s="1"/>
    </row>
    <row r="31" spans="1:15" x14ac:dyDescent="0.25">
      <c r="A31" s="15">
        <v>9</v>
      </c>
      <c r="B31" s="11"/>
      <c r="C31" s="11"/>
      <c r="D31" s="11"/>
      <c r="E31" s="11"/>
      <c r="F31" s="1"/>
      <c r="G31" s="1"/>
      <c r="H31" s="1"/>
      <c r="I31" s="1"/>
      <c r="J31" s="1"/>
      <c r="K31" s="1"/>
      <c r="L31" s="1"/>
      <c r="M31" s="1"/>
      <c r="N31" s="1"/>
      <c r="O31" s="1"/>
    </row>
    <row r="32" spans="1:15" x14ac:dyDescent="0.25">
      <c r="A32" s="19">
        <v>10</v>
      </c>
      <c r="B32" s="11"/>
      <c r="C32" s="11"/>
      <c r="D32" s="11"/>
      <c r="E32" s="11"/>
      <c r="F32" s="1"/>
      <c r="G32" s="1"/>
      <c r="H32" s="1"/>
      <c r="I32" s="1"/>
      <c r="J32" s="1"/>
      <c r="K32" s="1"/>
      <c r="L32" s="1"/>
      <c r="M32" s="1"/>
      <c r="N32" s="1"/>
      <c r="O32" s="1"/>
    </row>
    <row r="33" spans="1:15" x14ac:dyDescent="0.25">
      <c r="A33" s="15">
        <v>11</v>
      </c>
      <c r="B33" s="11"/>
      <c r="C33" s="11"/>
      <c r="D33" s="11"/>
      <c r="E33" s="11"/>
      <c r="F33" s="1"/>
      <c r="G33" s="1"/>
      <c r="H33" s="1"/>
      <c r="I33" s="1"/>
      <c r="J33" s="1"/>
      <c r="K33" s="1"/>
      <c r="L33" s="1"/>
      <c r="M33" s="1"/>
      <c r="N33" s="1"/>
      <c r="O33" s="1"/>
    </row>
    <row r="34" spans="1:15" x14ac:dyDescent="0.25">
      <c r="A34" s="19">
        <v>12</v>
      </c>
      <c r="B34" s="11"/>
      <c r="C34" s="11"/>
      <c r="D34" s="11"/>
      <c r="E34" s="11"/>
      <c r="F34" s="1"/>
      <c r="G34" s="1"/>
      <c r="H34" s="1"/>
      <c r="I34" s="1"/>
      <c r="J34" s="1"/>
      <c r="K34" s="1"/>
      <c r="L34" s="1"/>
      <c r="M34" s="1"/>
      <c r="N34" s="1"/>
      <c r="O34" s="1"/>
    </row>
    <row r="35" spans="1:15" x14ac:dyDescent="0.25">
      <c r="A35" s="1"/>
      <c r="B35" s="229"/>
      <c r="C35" s="229"/>
      <c r="D35" s="229"/>
      <c r="E35" s="229"/>
      <c r="F35" s="1"/>
      <c r="G35" s="1"/>
      <c r="H35" s="1"/>
      <c r="I35" s="1"/>
      <c r="J35" s="1"/>
      <c r="K35" s="1"/>
      <c r="L35" s="1"/>
      <c r="M35" s="1"/>
      <c r="N35" s="1"/>
      <c r="O35" s="1"/>
    </row>
    <row r="36" spans="1:15" x14ac:dyDescent="0.25">
      <c r="A36" s="1"/>
      <c r="B36" s="1"/>
      <c r="C36" s="1"/>
      <c r="D36" s="1"/>
      <c r="E36" s="1"/>
      <c r="F36" s="1"/>
      <c r="G36" s="1"/>
      <c r="H36" s="1"/>
      <c r="I36" s="1"/>
      <c r="J36" s="1"/>
      <c r="K36" s="1"/>
      <c r="L36" s="1"/>
      <c r="M36" s="1"/>
      <c r="N36" s="1"/>
      <c r="O36" s="1"/>
    </row>
    <row r="37" spans="1:15" x14ac:dyDescent="0.25">
      <c r="A37" s="1"/>
      <c r="B37" s="1"/>
      <c r="C37" s="1"/>
      <c r="D37" s="1"/>
      <c r="E37" s="1"/>
      <c r="F37" s="1"/>
      <c r="G37" s="1"/>
      <c r="H37" s="1"/>
      <c r="I37" s="1"/>
      <c r="J37" s="1"/>
      <c r="K37" s="1"/>
      <c r="L37" s="1"/>
      <c r="M37" s="1"/>
      <c r="N37" s="1"/>
      <c r="O37" s="1"/>
    </row>
    <row r="38" spans="1:15" ht="26.25" x14ac:dyDescent="0.25">
      <c r="A38" s="1"/>
      <c r="B38" s="165" t="s">
        <v>13</v>
      </c>
      <c r="C38" s="165"/>
      <c r="D38" s="1"/>
      <c r="E38" s="1"/>
      <c r="F38" s="1"/>
      <c r="G38" s="1"/>
      <c r="H38" s="1"/>
      <c r="I38" s="1"/>
      <c r="J38" s="1"/>
      <c r="K38" s="1"/>
      <c r="L38" s="165" t="s">
        <v>31</v>
      </c>
      <c r="M38" s="165"/>
      <c r="N38" s="1"/>
      <c r="O38" s="1"/>
    </row>
    <row r="39" spans="1:15" x14ac:dyDescent="0.25">
      <c r="A39" s="1"/>
      <c r="B39" s="1"/>
      <c r="C39" s="1"/>
      <c r="D39" s="1"/>
      <c r="E39" s="1"/>
      <c r="F39" s="1"/>
      <c r="G39" s="1"/>
      <c r="H39" s="1"/>
      <c r="I39" s="1"/>
      <c r="J39" s="1"/>
      <c r="K39" s="1"/>
      <c r="L39" s="1"/>
      <c r="M39" s="1"/>
      <c r="N39" s="1"/>
      <c r="O39" s="1"/>
    </row>
    <row r="40" spans="1:15" x14ac:dyDescent="0.25">
      <c r="A40" s="164" t="s">
        <v>10</v>
      </c>
      <c r="B40" s="164"/>
      <c r="C40" s="166"/>
      <c r="D40" s="166"/>
      <c r="E40" s="166"/>
      <c r="F40" s="167"/>
      <c r="G40" s="1"/>
      <c r="H40" s="1"/>
      <c r="I40" s="1"/>
      <c r="J40" s="1"/>
      <c r="K40" s="164" t="s">
        <v>27</v>
      </c>
      <c r="L40" s="164"/>
      <c r="M40" s="164"/>
      <c r="N40" s="164"/>
      <c r="O40" s="164"/>
    </row>
    <row r="41" spans="1:15" ht="45" x14ac:dyDescent="0.25">
      <c r="A41" s="164"/>
      <c r="B41" s="164"/>
      <c r="C41" s="3" t="s">
        <v>16</v>
      </c>
      <c r="D41" s="20" t="s">
        <v>18</v>
      </c>
      <c r="E41" s="20" t="s">
        <v>25</v>
      </c>
      <c r="F41" s="20" t="s">
        <v>26</v>
      </c>
      <c r="G41" s="1"/>
      <c r="H41" s="1"/>
      <c r="I41" s="1"/>
      <c r="J41" s="1"/>
      <c r="K41" s="168"/>
      <c r="L41" s="168"/>
      <c r="M41" s="3" t="s">
        <v>33</v>
      </c>
      <c r="N41" s="3" t="s">
        <v>35</v>
      </c>
      <c r="O41" s="3" t="s">
        <v>36</v>
      </c>
    </row>
    <row r="42" spans="1:15" x14ac:dyDescent="0.25">
      <c r="A42" s="160" t="str">
        <f>CONCATENATE("Sonde ", B23)</f>
        <v xml:space="preserve">Sonde </v>
      </c>
      <c r="B42" s="161"/>
      <c r="C42" s="10"/>
      <c r="D42" s="10"/>
      <c r="E42" s="10"/>
      <c r="F42" s="10"/>
      <c r="G42" s="1"/>
      <c r="H42" s="1"/>
      <c r="I42" s="1"/>
      <c r="J42" s="1"/>
      <c r="K42" s="169" t="s">
        <v>28</v>
      </c>
      <c r="L42" s="170"/>
      <c r="M42" s="10"/>
      <c r="N42" s="10"/>
      <c r="O42" s="10"/>
    </row>
    <row r="43" spans="1:15" x14ac:dyDescent="0.25">
      <c r="A43" s="160" t="str">
        <f t="shared" ref="A43:A53" si="0">"Sonde " &amp; B24</f>
        <v xml:space="preserve">Sonde </v>
      </c>
      <c r="B43" s="161"/>
      <c r="C43" s="10"/>
      <c r="D43" s="10"/>
      <c r="E43" s="10"/>
      <c r="F43" s="10"/>
      <c r="G43" s="1"/>
      <c r="H43" s="1"/>
      <c r="I43" s="1"/>
      <c r="J43" s="1"/>
      <c r="K43" s="1"/>
      <c r="L43" s="1"/>
      <c r="M43" s="1"/>
      <c r="N43" s="1"/>
      <c r="O43" s="1"/>
    </row>
    <row r="44" spans="1:15" x14ac:dyDescent="0.25">
      <c r="A44" s="160" t="str">
        <f>"Sonde " &amp; B25</f>
        <v xml:space="preserve">Sonde </v>
      </c>
      <c r="B44" s="161"/>
      <c r="C44" s="10"/>
      <c r="D44" s="10"/>
      <c r="E44" s="10"/>
      <c r="F44" s="10"/>
      <c r="G44" s="1"/>
      <c r="H44" s="1"/>
      <c r="I44" s="1"/>
      <c r="J44" s="1"/>
      <c r="K44" s="1"/>
      <c r="L44" s="1"/>
      <c r="M44" s="1"/>
      <c r="N44" s="1"/>
      <c r="O44" s="1"/>
    </row>
    <row r="45" spans="1:15" x14ac:dyDescent="0.25">
      <c r="A45" s="160" t="str">
        <f t="shared" si="0"/>
        <v xml:space="preserve">Sonde </v>
      </c>
      <c r="B45" s="161"/>
      <c r="C45" s="10"/>
      <c r="D45" s="10"/>
      <c r="E45" s="10"/>
      <c r="F45" s="10"/>
      <c r="G45" s="1"/>
      <c r="H45" s="1"/>
      <c r="I45" s="1"/>
      <c r="J45" s="1"/>
      <c r="K45" s="1"/>
      <c r="L45" s="1"/>
      <c r="M45" s="1"/>
      <c r="N45" s="1"/>
      <c r="O45" s="1"/>
    </row>
    <row r="46" spans="1:15" ht="26.25" x14ac:dyDescent="0.25">
      <c r="A46" s="160" t="str">
        <f t="shared" si="0"/>
        <v xml:space="preserve">Sonde </v>
      </c>
      <c r="B46" s="161"/>
      <c r="C46" s="10"/>
      <c r="D46" s="10"/>
      <c r="E46" s="10"/>
      <c r="F46" s="10"/>
      <c r="G46" s="1"/>
      <c r="H46" s="1"/>
      <c r="I46" s="1"/>
      <c r="J46" s="1"/>
      <c r="K46" s="1"/>
      <c r="L46" s="165" t="s">
        <v>32</v>
      </c>
      <c r="M46" s="165"/>
      <c r="N46" s="1"/>
      <c r="O46" s="1"/>
    </row>
    <row r="47" spans="1:15" ht="45" x14ac:dyDescent="0.25">
      <c r="A47" s="160" t="str">
        <f t="shared" si="0"/>
        <v xml:space="preserve">Sonde </v>
      </c>
      <c r="B47" s="161"/>
      <c r="C47" s="10"/>
      <c r="D47" s="10"/>
      <c r="E47" s="10"/>
      <c r="F47" s="10"/>
      <c r="G47" s="1"/>
      <c r="H47" s="1"/>
      <c r="I47" s="1"/>
      <c r="J47" s="1"/>
      <c r="K47" s="1"/>
      <c r="L47" s="1"/>
      <c r="M47" s="21" t="s">
        <v>34</v>
      </c>
      <c r="N47" s="1"/>
      <c r="O47" s="1"/>
    </row>
    <row r="48" spans="1:15" x14ac:dyDescent="0.25">
      <c r="A48" s="160" t="str">
        <f t="shared" si="0"/>
        <v xml:space="preserve">Sonde </v>
      </c>
      <c r="B48" s="161"/>
      <c r="C48" s="10"/>
      <c r="D48" s="10"/>
      <c r="E48" s="10"/>
      <c r="F48" s="10"/>
      <c r="G48" s="1"/>
      <c r="H48" s="1"/>
      <c r="I48" s="1"/>
      <c r="J48" s="1"/>
      <c r="K48" s="171" t="s">
        <v>29</v>
      </c>
      <c r="L48" s="171"/>
      <c r="M48" s="10"/>
      <c r="N48" s="1"/>
      <c r="O48" s="1"/>
    </row>
    <row r="49" spans="1:15" x14ac:dyDescent="0.25">
      <c r="A49" s="160" t="str">
        <f t="shared" si="0"/>
        <v xml:space="preserve">Sonde </v>
      </c>
      <c r="B49" s="161"/>
      <c r="C49" s="10"/>
      <c r="D49" s="10"/>
      <c r="E49" s="10"/>
      <c r="F49" s="10"/>
      <c r="G49" s="1"/>
      <c r="H49" s="1"/>
      <c r="I49" s="1"/>
      <c r="J49" s="1"/>
      <c r="K49" s="171" t="s">
        <v>30</v>
      </c>
      <c r="L49" s="171"/>
      <c r="M49" s="10"/>
      <c r="N49" s="1"/>
      <c r="O49" s="1"/>
    </row>
    <row r="50" spans="1:15" x14ac:dyDescent="0.25">
      <c r="A50" s="160" t="str">
        <f t="shared" si="0"/>
        <v xml:space="preserve">Sonde </v>
      </c>
      <c r="B50" s="161"/>
      <c r="C50" s="10"/>
      <c r="D50" s="10"/>
      <c r="E50" s="10"/>
      <c r="F50" s="10"/>
      <c r="G50" s="1"/>
      <c r="H50" s="1"/>
      <c r="I50" s="1"/>
      <c r="J50" s="1"/>
      <c r="K50" s="171" t="s">
        <v>31</v>
      </c>
      <c r="L50" s="171"/>
      <c r="M50" s="10"/>
      <c r="N50" s="1"/>
      <c r="O50" s="1"/>
    </row>
    <row r="51" spans="1:15" x14ac:dyDescent="0.25">
      <c r="A51" s="160" t="str">
        <f t="shared" si="0"/>
        <v xml:space="preserve">Sonde </v>
      </c>
      <c r="B51" s="161"/>
      <c r="C51" s="10"/>
      <c r="D51" s="10"/>
      <c r="E51" s="10"/>
      <c r="F51" s="10"/>
      <c r="G51" s="1"/>
      <c r="H51" s="1"/>
      <c r="I51" s="1"/>
      <c r="J51" s="1"/>
      <c r="K51" s="1"/>
      <c r="L51" s="1"/>
      <c r="M51" s="1"/>
      <c r="N51" s="1"/>
      <c r="O51" s="1"/>
    </row>
    <row r="52" spans="1:15" x14ac:dyDescent="0.25">
      <c r="A52" s="160" t="str">
        <f t="shared" si="0"/>
        <v xml:space="preserve">Sonde </v>
      </c>
      <c r="B52" s="161"/>
      <c r="C52" s="10"/>
      <c r="D52" s="10"/>
      <c r="E52" s="10"/>
      <c r="F52" s="10"/>
      <c r="G52" s="1"/>
      <c r="H52" s="1"/>
      <c r="I52" s="1"/>
      <c r="J52" s="1"/>
      <c r="K52" s="1"/>
      <c r="L52" s="1"/>
      <c r="M52" s="1"/>
      <c r="N52" s="1"/>
      <c r="O52" s="1"/>
    </row>
    <row r="53" spans="1:15" x14ac:dyDescent="0.25">
      <c r="A53" s="160" t="str">
        <f t="shared" si="0"/>
        <v xml:space="preserve">Sonde </v>
      </c>
      <c r="B53" s="161"/>
      <c r="C53" s="10"/>
      <c r="D53" s="10"/>
      <c r="E53" s="10"/>
      <c r="F53" s="10"/>
      <c r="G53" s="1"/>
      <c r="H53" s="1"/>
      <c r="I53" s="1"/>
      <c r="J53" s="1"/>
      <c r="K53" s="1"/>
      <c r="L53" s="1"/>
      <c r="M53" s="1"/>
      <c r="N53" s="1"/>
      <c r="O53" s="1"/>
    </row>
  </sheetData>
  <sheetProtection algorithmName="SHA-512" hashValue="Kabdjb+rQSrqAOCXe6rRXbLh0KA1Pjx4Wem5LaUyUnBe8gftfFDqQnYQy1Ir8IYOEu4kNAobIRPeNIxI9C54MQ==" saltValue="FuXgQjuQrr490xiP2IVYjg==" spinCount="100000" sheet="1" objects="1" scenarios="1" autoFilter="0"/>
  <protectedRanges>
    <protectedRange sqref="C10" name="Donnees controleur_8"/>
  </protectedRanges>
  <mergeCells count="36">
    <mergeCell ref="A51:B51"/>
    <mergeCell ref="A52:B52"/>
    <mergeCell ref="A53:B53"/>
    <mergeCell ref="A47:B47"/>
    <mergeCell ref="A48:B48"/>
    <mergeCell ref="K48:L48"/>
    <mergeCell ref="A49:B49"/>
    <mergeCell ref="K49:L49"/>
    <mergeCell ref="A50:B50"/>
    <mergeCell ref="K50:L50"/>
    <mergeCell ref="A46:B46"/>
    <mergeCell ref="L46:M46"/>
    <mergeCell ref="A15:B15"/>
    <mergeCell ref="B38:C38"/>
    <mergeCell ref="L38:M38"/>
    <mergeCell ref="A40:F40"/>
    <mergeCell ref="K40:O40"/>
    <mergeCell ref="A41:B41"/>
    <mergeCell ref="K41:L41"/>
    <mergeCell ref="A42:B42"/>
    <mergeCell ref="K42:L42"/>
    <mergeCell ref="A43:B43"/>
    <mergeCell ref="A44:B44"/>
    <mergeCell ref="A45:B45"/>
    <mergeCell ref="A14:B14"/>
    <mergeCell ref="B2:K3"/>
    <mergeCell ref="A5:C5"/>
    <mergeCell ref="A7:B7"/>
    <mergeCell ref="E7:F7"/>
    <mergeCell ref="A8:B8"/>
    <mergeCell ref="E8:F8"/>
    <mergeCell ref="A10:B10"/>
    <mergeCell ref="E10:F10"/>
    <mergeCell ref="A11:B11"/>
    <mergeCell ref="E11:F11"/>
    <mergeCell ref="E12:F12"/>
  </mergeCells>
  <conditionalFormatting sqref="A1:O53">
    <cfRule type="expression" dxfId="43" priority="1">
      <formula>AND(NOT(CELL("protege", A1)), A1="")</formula>
    </cfRule>
  </conditionalFormatting>
  <dataValidations disablePrompts="1" count="3">
    <dataValidation type="list" showErrorMessage="1" promptTitle="Périodicité" prompt="Veuillez choisir" sqref="C15" xr:uid="{281236F4-D248-4C76-B8CF-13F98E53320A}">
      <formula1>" ,Annuelle,Trimestrielle,Mensuelle"</formula1>
    </dataValidation>
    <dataValidation type="list" showInputMessage="1" showErrorMessage="1" sqref="D16:D17" xr:uid="{142C8FB2-7426-4351-8774-C88B6624DBDF}">
      <formula1>$C$15:$C$17</formula1>
    </dataValidation>
    <dataValidation type="list" allowBlank="1" showInputMessage="1" showErrorMessage="1" sqref="C10" xr:uid="{57573DB8-0398-4CEC-BD8E-E6237B56B594}">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alisation_TUS_Congel">
                <anchor moveWithCells="1" sizeWithCells="1">
                  <from>
                    <xdr:col>8</xdr:col>
                    <xdr:colOff>428625</xdr:colOff>
                    <xdr:row>5</xdr:row>
                    <xdr:rowOff>95250</xdr:rowOff>
                  </from>
                  <to>
                    <xdr:col>12</xdr:col>
                    <xdr:colOff>904875</xdr:colOff>
                    <xdr:row>12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5EC2-3F68-43DD-94D3-A50355865994}">
  <sheetPr codeName="Feuil16">
    <tabColor theme="8" tint="0.39997558519241921"/>
  </sheetPr>
  <dimension ref="A1:M1"/>
  <sheetViews>
    <sheetView workbookViewId="0">
      <selection activeCell="B4" sqref="B4"/>
    </sheetView>
  </sheetViews>
  <sheetFormatPr baseColWidth="10" defaultRowHeight="15" x14ac:dyDescent="0.25"/>
  <cols>
    <col min="1" max="1" width="13.7109375" bestFit="1" customWidth="1"/>
    <col min="2" max="10" width="15" bestFit="1" customWidth="1"/>
    <col min="11" max="13" width="16" bestFit="1" customWidth="1"/>
  </cols>
  <sheetData>
    <row r="1" spans="1:13" x14ac:dyDescent="0.25">
      <c r="A1" s="23" t="s">
        <v>37</v>
      </c>
      <c r="B1" t="s">
        <v>38</v>
      </c>
      <c r="C1" t="s">
        <v>39</v>
      </c>
      <c r="D1" t="s">
        <v>40</v>
      </c>
      <c r="E1" t="s">
        <v>41</v>
      </c>
      <c r="F1" t="s">
        <v>42</v>
      </c>
      <c r="G1" t="s">
        <v>43</v>
      </c>
      <c r="H1" t="s">
        <v>44</v>
      </c>
      <c r="I1" t="s">
        <v>45</v>
      </c>
      <c r="J1" t="s">
        <v>46</v>
      </c>
      <c r="K1" t="s">
        <v>47</v>
      </c>
      <c r="L1" t="s">
        <v>48</v>
      </c>
      <c r="M1" t="s">
        <v>49</v>
      </c>
    </row>
  </sheetData>
  <sheetProtection algorithmName="SHA-512" hashValue="6rcTkjL/MQJIp1a2WsnoB/wOIKVC5T7oqpvpG+Y/KVlsSlW5QgAIGKHLMwXql4urbIs26llwMMYxFyfbHaoj3Q==" saltValue="XGlAYi5gDxWXqSkmRumqd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C997-D30E-4AA8-B9BA-F56A87517468}">
  <sheetPr codeName="Feuil6">
    <tabColor theme="8" tint="0.39997558519241921"/>
  </sheetPr>
  <dimension ref="A1:S25"/>
  <sheetViews>
    <sheetView workbookViewId="0">
      <selection activeCell="B4" sqref="B4"/>
    </sheetView>
  </sheetViews>
  <sheetFormatPr baseColWidth="10" defaultRowHeight="15" x14ac:dyDescent="0.25"/>
  <cols>
    <col min="2" max="3" width="16.42578125" bestFit="1" customWidth="1"/>
    <col min="4" max="11" width="12.7109375" bestFit="1" customWidth="1"/>
    <col min="12" max="14" width="13.7109375" bestFit="1" customWidth="1"/>
    <col min="15" max="15" width="7.140625" customWidth="1"/>
    <col min="17" max="17" width="15.28515625" bestFit="1" customWidth="1"/>
  </cols>
  <sheetData>
    <row r="1" spans="1:19" s="27" customFormat="1" x14ac:dyDescent="0.25">
      <c r="A1" s="172" t="str">
        <f>"-30°C"</f>
        <v>-30°C</v>
      </c>
      <c r="B1" s="172"/>
      <c r="C1" s="172"/>
      <c r="D1" s="172"/>
      <c r="E1" s="172"/>
      <c r="F1" s="172"/>
      <c r="G1" s="172"/>
      <c r="H1" s="172"/>
      <c r="I1" s="172"/>
      <c r="J1" s="172"/>
      <c r="K1" s="172"/>
      <c r="L1" s="172"/>
      <c r="M1" s="172"/>
      <c r="N1" s="172"/>
      <c r="O1" s="172"/>
      <c r="P1" s="172"/>
      <c r="Q1" s="172"/>
      <c r="R1" s="172"/>
      <c r="S1" s="172"/>
    </row>
    <row r="2" spans="1:19" s="27" customFormat="1" x14ac:dyDescent="0.25">
      <c r="A2" s="172"/>
      <c r="B2" s="172"/>
      <c r="C2" s="172"/>
      <c r="D2" s="172"/>
      <c r="E2" s="172"/>
      <c r="F2" s="172"/>
      <c r="G2" s="172"/>
      <c r="H2" s="172"/>
      <c r="I2" s="172"/>
      <c r="J2" s="172"/>
      <c r="K2" s="172"/>
      <c r="L2" s="172"/>
      <c r="M2" s="172"/>
      <c r="N2" s="172"/>
      <c r="O2" s="172"/>
      <c r="P2" s="172"/>
      <c r="Q2" s="172"/>
      <c r="R2" s="172"/>
      <c r="S2" s="172"/>
    </row>
    <row r="3" spans="1:19" s="27" customFormat="1" x14ac:dyDescent="0.25">
      <c r="A3" s="172"/>
      <c r="B3" s="172"/>
      <c r="C3" s="172"/>
      <c r="D3" s="172"/>
      <c r="E3" s="172"/>
      <c r="F3" s="172"/>
      <c r="G3" s="172"/>
      <c r="H3" s="172"/>
      <c r="I3" s="172"/>
      <c r="J3" s="172"/>
      <c r="K3" s="172"/>
      <c r="L3" s="172"/>
      <c r="M3" s="172"/>
      <c r="N3" s="172"/>
      <c r="O3" s="172"/>
      <c r="P3" s="172"/>
      <c r="Q3" s="172"/>
      <c r="R3" s="172"/>
      <c r="S3" s="172"/>
    </row>
    <row r="4" spans="1:19" s="27" customFormat="1" x14ac:dyDescent="0.25">
      <c r="P4" s="33"/>
    </row>
    <row r="5" spans="1:19" s="27" customFormat="1" x14ac:dyDescent="0.25">
      <c r="B5" s="34" t="s">
        <v>24</v>
      </c>
      <c r="C5" s="35" t="e">
        <f>_xlfn.XLOOKUP(INT(SUBSTITUTE(C14,"Connecteur ","")),Mesures_Congel!C23:C34,Mesures_Congel!D23:D34)</f>
        <v>#N/A</v>
      </c>
      <c r="D5" s="35" t="e">
        <f>_xlfn.XLOOKUP(INT(SUBSTITUTE(D14,"Connecteur ","")),Mesures_Congel!C23:C34,Mesures_Congel!D23:D34)</f>
        <v>#N/A</v>
      </c>
      <c r="E5" s="35" t="e">
        <f>_xlfn.XLOOKUP(INT(SUBSTITUTE(E14,"Connecteur ","")),Mesures_Congel!C23:C34,Mesures_Congel!D23:D34)</f>
        <v>#N/A</v>
      </c>
      <c r="F5" s="35" t="e">
        <f>_xlfn.XLOOKUP(INT(SUBSTITUTE(F14,"Connecteur ","")),Mesures_Congel!C23:C34,Mesures_Congel!D23:D34)</f>
        <v>#N/A</v>
      </c>
      <c r="G5" s="35" t="e">
        <f>_xlfn.XLOOKUP(INT(SUBSTITUTE(G14,"Connecteur ","")),Mesures_Congel!C23:C34,Mesures_Congel!D23:D34)</f>
        <v>#N/A</v>
      </c>
      <c r="H5" s="35" t="e">
        <f>_xlfn.XLOOKUP(INT(SUBSTITUTE(H14,"Connecteur ","")),Mesures_Congel!C23:C34,Mesures_Congel!D23:D34)</f>
        <v>#N/A</v>
      </c>
      <c r="I5" s="35" t="e">
        <f>_xlfn.XLOOKUP(INT(SUBSTITUTE(I14,"Connecteur ","")),Mesures_Congel!C23:C34,Mesures_Congel!D23:D34)</f>
        <v>#N/A</v>
      </c>
      <c r="J5" s="35" t="e">
        <f>_xlfn.XLOOKUP(INT(SUBSTITUTE(J14,"Connecteur ","")),Mesures_Congel!C23:C34,Mesures_Congel!D23:D34)</f>
        <v>#N/A</v>
      </c>
      <c r="K5" s="35" t="e">
        <f>_xlfn.XLOOKUP(INT(SUBSTITUTE(K14,"Connecteur ","")),Mesures_Congel!C23:C34,Mesures_Congel!D23:D34)</f>
        <v>#N/A</v>
      </c>
      <c r="L5" s="35" t="e">
        <f>_xlfn.XLOOKUP(INT(SUBSTITUTE(L14,"Connecteur ","")),Mesures_Congel!C23:C34,Mesures_Congel!D23:D34)</f>
        <v>#N/A</v>
      </c>
      <c r="M5" s="35" t="e">
        <f>_xlfn.XLOOKUP(INT(SUBSTITUTE(M14,"Connecteur ","")),Mesures_Congel!C23:C34,Mesures_Congel!D23:D34)</f>
        <v>#N/A</v>
      </c>
      <c r="N5" s="35" t="e">
        <f>_xlfn.XLOOKUP(INT(SUBSTITUTE(N14,"Connecteur ","")),Mesures_Congel!C23:C34,Mesures_Congel!D23:D34)</f>
        <v>#N/A</v>
      </c>
      <c r="P5" s="33"/>
    </row>
    <row r="6" spans="1:19" s="27" customFormat="1" x14ac:dyDescent="0.25">
      <c r="B6" s="34" t="s">
        <v>94</v>
      </c>
      <c r="C6" s="35" t="e">
        <f>_xlfn.XLOOKUP(INT(SUBSTITUTE(C14,"Connecteur ","")),Mesures_Congel!C23:C34,Mesures_Congel!E23:E34)</f>
        <v>#N/A</v>
      </c>
      <c r="D6" s="35" t="e">
        <f>_xlfn.XLOOKUP(INT(SUBSTITUTE(D14,"Connecteur ","")),Mesures_Congel!C23:C34,Mesures_Congel!E23:E34)</f>
        <v>#N/A</v>
      </c>
      <c r="E6" s="35" t="e">
        <f>_xlfn.XLOOKUP(INT(SUBSTITUTE(E14,"Connecteur ","")),Mesures_Congel!C23:C34,Mesures_Congel!E23:E34)</f>
        <v>#N/A</v>
      </c>
      <c r="F6" s="35" t="e">
        <f>_xlfn.XLOOKUP(INT(SUBSTITUTE(F14,"Connecteur ","")),Mesures_Congel!C23:C34,Mesures_Congel!E23:E34)</f>
        <v>#N/A</v>
      </c>
      <c r="G6" s="35" t="e">
        <f>_xlfn.XLOOKUP(INT(SUBSTITUTE(G14,"Connecteur ","")),Mesures_Congel!C23:C34,Mesures_Congel!E23:E34)</f>
        <v>#N/A</v>
      </c>
      <c r="H6" s="35" t="e">
        <f>_xlfn.XLOOKUP(INT(SUBSTITUTE(H14,"Connecteur ","")),Mesures_Congel!C23:C34,Mesures_Congel!E23:E34)</f>
        <v>#N/A</v>
      </c>
      <c r="I6" s="35" t="e">
        <f>_xlfn.XLOOKUP(INT(SUBSTITUTE(I14,"Connecteur ","")),Mesures_Congel!C23:C34,Mesures_Congel!E23:E34)</f>
        <v>#N/A</v>
      </c>
      <c r="J6" s="35" t="e">
        <f>_xlfn.XLOOKUP(INT(SUBSTITUTE(J14,"Connecteur ","")),Mesures_Congel!C23:C34,Mesures_Congel!E23:E34)</f>
        <v>#N/A</v>
      </c>
      <c r="K6" s="35" t="e">
        <f>_xlfn.XLOOKUP(INT(SUBSTITUTE(K14,"Connecteur ","")),Mesures_Congel!C23:C34,Mesures_Congel!E23:E34)</f>
        <v>#N/A</v>
      </c>
      <c r="L6" s="35" t="e">
        <f>_xlfn.XLOOKUP(INT(SUBSTITUTE(L14,"Connecteur ","")),Mesures_Congel!C23:C34,Mesures_Congel!E23:E34)</f>
        <v>#N/A</v>
      </c>
      <c r="M6" s="35" t="e">
        <f>_xlfn.XLOOKUP(INT(SUBSTITUTE(M14,"Connecteur ","")),Mesures_Congel!C23:C34,Mesures_Congel!E23:E34)</f>
        <v>#N/A</v>
      </c>
      <c r="N6" s="35" t="e">
        <f>_xlfn.XLOOKUP(INT(SUBSTITUTE(N14,"Connecteur ","")),Mesures_Congel!C23:C34,Mesures_Congel!E23:E34)</f>
        <v>#N/A</v>
      </c>
      <c r="P6" s="33"/>
    </row>
    <row r="7" spans="1:19" s="27" customFormat="1" x14ac:dyDescent="0.25">
      <c r="P7" s="33"/>
    </row>
    <row r="8" spans="1:19" s="27" customFormat="1" x14ac:dyDescent="0.25">
      <c r="P8" s="33"/>
    </row>
    <row r="9" spans="1:19" s="27" customFormat="1" x14ac:dyDescent="0.25">
      <c r="A9" s="173" t="s">
        <v>95</v>
      </c>
      <c r="B9" s="173"/>
      <c r="C9" s="173"/>
      <c r="D9" s="173"/>
      <c r="E9" s="173"/>
      <c r="F9" s="173"/>
      <c r="G9" s="173"/>
      <c r="H9" s="173"/>
      <c r="I9" s="173"/>
      <c r="J9" s="173"/>
      <c r="K9" s="173"/>
      <c r="L9" s="173"/>
      <c r="M9" s="173"/>
      <c r="N9" s="173"/>
      <c r="P9" s="33"/>
    </row>
    <row r="10" spans="1:19" s="27" customFormat="1" ht="15" customHeight="1" x14ac:dyDescent="0.25">
      <c r="A10" s="33"/>
      <c r="B10" s="34" t="str" cm="1">
        <f t="array" ref="B10:N10">Valeurs_Brutes[#Headers]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P10" s="33"/>
    </row>
    <row r="11" spans="1:19" s="27" customFormat="1" ht="13.5" customHeight="1" x14ac:dyDescent="0.25">
      <c r="A11" s="144" t="s">
        <v>96</v>
      </c>
      <c r="B11" s="37" cm="1">
        <f t="array" ref="B11">Valeurs_Brutes[Date/Heure]</f>
        <v>0</v>
      </c>
      <c r="C11" s="38" cm="1">
        <f t="array" ref="C11:N11">Valeurs_Brutes[[Connecteur 1]:[Connecteur 12]]</f>
        <v>0</v>
      </c>
      <c r="D11" s="38">
        <v>0</v>
      </c>
      <c r="E11" s="38">
        <v>0</v>
      </c>
      <c r="F11" s="38">
        <v>0</v>
      </c>
      <c r="G11" s="38">
        <v>0</v>
      </c>
      <c r="H11" s="38">
        <v>0</v>
      </c>
      <c r="I11" s="38">
        <v>0</v>
      </c>
      <c r="J11" s="38">
        <v>0</v>
      </c>
      <c r="K11" s="38">
        <v>0</v>
      </c>
      <c r="L11" s="38">
        <v>0</v>
      </c>
      <c r="M11" s="38">
        <v>0</v>
      </c>
      <c r="N11" s="38">
        <v>0</v>
      </c>
      <c r="P11" s="33"/>
    </row>
    <row r="12" spans="1:19" s="27" customFormat="1" ht="13.5" customHeight="1" x14ac:dyDescent="0.25">
      <c r="A12" s="143" t="s">
        <v>96</v>
      </c>
      <c r="B12" s="39"/>
      <c r="C12" s="40"/>
      <c r="D12" s="40"/>
      <c r="E12" s="40"/>
      <c r="F12" s="40"/>
      <c r="G12" s="40"/>
      <c r="H12" s="40"/>
      <c r="I12" s="40"/>
      <c r="J12" s="40"/>
      <c r="K12" s="40"/>
      <c r="L12" s="40"/>
      <c r="M12" s="40"/>
      <c r="N12" s="40"/>
      <c r="P12" s="33"/>
    </row>
    <row r="13" spans="1:19" s="174" customFormat="1" x14ac:dyDescent="0.25"/>
    <row r="14" spans="1:19" s="27" customFormat="1" x14ac:dyDescent="0.25">
      <c r="C14" s="41" t="str" cm="1">
        <f t="array" ref="C14:N14">C10:N10</f>
        <v>Connecteur 1</v>
      </c>
      <c r="D14" s="41" t="str">
        <v>Connecteur 2</v>
      </c>
      <c r="E14" s="41" t="str">
        <v>Connecteur 3</v>
      </c>
      <c r="F14" s="41" t="str">
        <v>Connecteur 4</v>
      </c>
      <c r="G14" s="41" t="str">
        <v>Connecteur 5</v>
      </c>
      <c r="H14" s="41" t="str">
        <v>Connecteur 6</v>
      </c>
      <c r="I14" s="41" t="str">
        <v>Connecteur 7</v>
      </c>
      <c r="J14" s="41" t="str">
        <v>Connecteur 8</v>
      </c>
      <c r="K14" s="41" t="str">
        <v>Connecteur 9</v>
      </c>
      <c r="L14" s="41" t="str">
        <v>Connecteur 10</v>
      </c>
      <c r="M14" s="41" t="str">
        <v>Connecteur 11</v>
      </c>
      <c r="N14" s="41" t="str">
        <v>Connecteur 12</v>
      </c>
      <c r="P14" s="33"/>
    </row>
    <row r="15" spans="1:19" s="27" customFormat="1" x14ac:dyDescent="0.25">
      <c r="B15" s="42" t="s">
        <v>97</v>
      </c>
      <c r="C15" s="43" t="e" cm="1">
        <f t="array" ref="C15">MAX(Valeurs_Brutes[Connecteur 1]+'Congel_-30°C'!C5+'Congel_-30°C'!C6)</f>
        <v>#N/A</v>
      </c>
      <c r="D15" s="43" t="e" cm="1">
        <f t="array" ref="D15">MAX(Valeurs_Brutes[Connecteur 2]+'Congel_-30°C'!D5+'Congel_-30°C'!D6)</f>
        <v>#N/A</v>
      </c>
      <c r="E15" s="43" t="e" cm="1">
        <f t="array" ref="E15">MAX(Valeurs_Brutes[Connecteur 3]+'Congel_-30°C'!E5+'Congel_-30°C'!E6)</f>
        <v>#N/A</v>
      </c>
      <c r="F15" s="43" t="e" cm="1">
        <f t="array" ref="F15">MAX(Valeurs_Brutes[Connecteur 4]+'Congel_-30°C'!F5+'Congel_-30°C'!F6)</f>
        <v>#N/A</v>
      </c>
      <c r="G15" s="43" t="e" cm="1">
        <f t="array" ref="G15">MAX(Valeurs_Brutes[Connecteur 5]+'Congel_-30°C'!G5+'Congel_-30°C'!G6)</f>
        <v>#N/A</v>
      </c>
      <c r="H15" s="43" t="e" cm="1">
        <f t="array" ref="H15">MAX(Valeurs_Brutes[Connecteur 6]+'Congel_-30°C'!H5+'Congel_-30°C'!H6)</f>
        <v>#N/A</v>
      </c>
      <c r="I15" s="43" t="e" cm="1">
        <f t="array" ref="I15">MAX(Valeurs_Brutes[Connecteur 7]+'Congel_-30°C'!I5+'Congel_-30°C'!I6)</f>
        <v>#N/A</v>
      </c>
      <c r="J15" s="43" t="e" cm="1">
        <f t="array" ref="J15">MAX(Valeurs_Brutes[Connecteur 8]+'Congel_-30°C'!J5+'Congel_-30°C'!J6)</f>
        <v>#N/A</v>
      </c>
      <c r="K15" s="43" t="e" cm="1">
        <f t="array" ref="K15">MAX(Valeurs_Brutes[Connecteur 9]+'Congel_-30°C'!K5+'Congel_-30°C'!K6)</f>
        <v>#N/A</v>
      </c>
      <c r="L15" s="43" t="e" cm="1">
        <f t="array" ref="L15">MAX(Valeurs_Brutes[Connecteur 10]+'Congel_-30°C'!L5+'Congel_-30°C'!L6)</f>
        <v>#N/A</v>
      </c>
      <c r="M15" s="43" t="e" cm="1">
        <f t="array" ref="M15">MAX(Valeurs_Brutes[Connecteur 11]+'Congel_-30°C'!M5+'Congel_-30°C'!M6)</f>
        <v>#N/A</v>
      </c>
      <c r="N15" s="43" t="e" cm="1">
        <f t="array" ref="N15">MAX(Valeurs_Brutes[Connecteur 12]+'Congel_-30°C'!N5+'Congel_-30°C'!N6)</f>
        <v>#N/A</v>
      </c>
      <c r="O15" s="48">
        <f>R15+Mesures_Congel!B20</f>
        <v>-30</v>
      </c>
      <c r="P15" s="33"/>
      <c r="Q15" s="36" t="s">
        <v>7</v>
      </c>
      <c r="R15" s="35">
        <v>-30</v>
      </c>
    </row>
    <row r="16" spans="1:19" s="27" customFormat="1" x14ac:dyDescent="0.25">
      <c r="B16" s="42" t="s">
        <v>98</v>
      </c>
      <c r="C16" s="43" t="e">
        <f ca="1">MAX(OFFSET(INDEX(Valeurs_Brutes[Connecteur 1],1),COUNT(Valeurs_Brutes[Connecteur 1])-30,0,30))+C5+C6</f>
        <v>#REF!</v>
      </c>
      <c r="D16" s="43" t="e">
        <f ca="1">MAX(OFFSET(INDEX(Valeurs_Brutes[Connecteur 2],1),COUNT(Valeurs_Brutes[Connecteur 2])-30,0,30))+D5+D6</f>
        <v>#REF!</v>
      </c>
      <c r="E16" s="43" t="e">
        <f ca="1">MAX(OFFSET(INDEX(Valeurs_Brutes[Connecteur 3],1),COUNT(Valeurs_Brutes[Connecteur 3])-30,0,30))+E5+E6</f>
        <v>#REF!</v>
      </c>
      <c r="F16" s="43" t="e">
        <f ca="1">MAX(OFFSET(INDEX(Valeurs_Brutes[Connecteur 4],1),COUNT(Valeurs_Brutes[Connecteur 4])-30,0,30))+F5+F6</f>
        <v>#REF!</v>
      </c>
      <c r="G16" s="43" t="e">
        <f ca="1">MAX(OFFSET(INDEX(Valeurs_Brutes[Connecteur 5],1),COUNT(Valeurs_Brutes[Connecteur 5])-30,0,30))+G5+G6</f>
        <v>#REF!</v>
      </c>
      <c r="H16" s="43" t="e">
        <f ca="1">MAX(OFFSET(INDEX(Valeurs_Brutes[Connecteur 6],1),COUNT(Valeurs_Brutes[Connecteur 6])-30,0,30))+H5+H6</f>
        <v>#REF!</v>
      </c>
      <c r="I16" s="43" t="e">
        <f ca="1">MAX(OFFSET(INDEX(Valeurs_Brutes[Connecteur 7],1),COUNT(Valeurs_Brutes[Connecteur 7])-30,0,30))+I5+I6</f>
        <v>#REF!</v>
      </c>
      <c r="J16" s="43" t="e">
        <f ca="1">MAX(OFFSET(INDEX(Valeurs_Brutes[Connecteur 8],1),COUNT(Valeurs_Brutes[Connecteur 8])-30,0,30))+J5+J6</f>
        <v>#REF!</v>
      </c>
      <c r="K16" s="43" t="e">
        <f ca="1">MAX(OFFSET(INDEX(Valeurs_Brutes[Connecteur 9],1),COUNT(Valeurs_Brutes[Connecteur 9])-30,0,30))+K5+K6</f>
        <v>#REF!</v>
      </c>
      <c r="L16" s="43" t="e">
        <f ca="1">MAX(OFFSET(INDEX(Valeurs_Brutes[Connecteur 10],1),COUNT(Valeurs_Brutes[Connecteur 10])-30,0,30))+L5+L6</f>
        <v>#REF!</v>
      </c>
      <c r="M16" s="43" t="e">
        <f ca="1">MAX(OFFSET(INDEX(Valeurs_Brutes[Connecteur 11],1),COUNT(Valeurs_Brutes[Connecteur 11])-30,0,30))+M5+M6</f>
        <v>#REF!</v>
      </c>
      <c r="N16" s="43" t="e">
        <f ca="1">MAX(OFFSET(INDEX(Valeurs_Brutes[Connecteur 12],1),COUNT(Valeurs_Brutes[Connecteur 12])-30,0,30))+N5+N6</f>
        <v>#REF!</v>
      </c>
      <c r="O16" s="48">
        <f>R15+Mesures_Congel!B20</f>
        <v>-30</v>
      </c>
      <c r="P16" s="33"/>
      <c r="Q16" s="36" t="s">
        <v>99</v>
      </c>
      <c r="R16" s="35" t="str">
        <f>"+" &amp; Mesures_Congel!B20 &amp; "°C"</f>
        <v>+°C</v>
      </c>
    </row>
    <row r="17" spans="2:18" s="27" customFormat="1" x14ac:dyDescent="0.25">
      <c r="B17" s="42" t="s">
        <v>100</v>
      </c>
      <c r="C17" s="43" t="e">
        <f ca="1">MIN(OFFSET(INDEX(Valeurs_Brutes[Connecteur 1],1),COUNT(Valeurs_Brutes[Connecteur 1])-30,0,30))+C5+C6</f>
        <v>#REF!</v>
      </c>
      <c r="D17" s="43" t="e">
        <f ca="1">MIN(OFFSET(INDEX(Valeurs_Brutes[Connecteur 2],1),COUNT(Valeurs_Brutes[Connecteur 2])-30,0,30))+D5+D6</f>
        <v>#REF!</v>
      </c>
      <c r="E17" s="43" t="e">
        <f ca="1">MIN(OFFSET(INDEX(Valeurs_Brutes[Connecteur 3],1),COUNT(Valeurs_Brutes[Connecteur 3])-30,0,30))+E5+E6</f>
        <v>#REF!</v>
      </c>
      <c r="F17" s="43" t="e">
        <f ca="1">MIN(OFFSET(INDEX(Valeurs_Brutes[Connecteur 4],1),COUNT(Valeurs_Brutes[Connecteur 4])-30,0,30))+F5+F6</f>
        <v>#REF!</v>
      </c>
      <c r="G17" s="43" t="e">
        <f ca="1">MIN(OFFSET(INDEX(Valeurs_Brutes[Connecteur 5],1),COUNT(Valeurs_Brutes[Connecteur 5])-30,0,30))+G5+G6</f>
        <v>#REF!</v>
      </c>
      <c r="H17" s="43" t="e">
        <f ca="1">MIN(OFFSET(INDEX(Valeurs_Brutes[Connecteur 6],1),COUNT(Valeurs_Brutes[Connecteur 6])-30,0,30))+H5+H6</f>
        <v>#REF!</v>
      </c>
      <c r="I17" s="43" t="e">
        <f ca="1">MIN(OFFSET(INDEX(Valeurs_Brutes[Connecteur 7],1),COUNT(Valeurs_Brutes[Connecteur 7])-30,0,30))+I5+I6</f>
        <v>#REF!</v>
      </c>
      <c r="J17" s="43" t="e">
        <f ca="1">MIN(OFFSET(INDEX(Valeurs_Brutes[Connecteur 8],1),COUNT(Valeurs_Brutes[Connecteur 8])-30,0,30))+J5+J6</f>
        <v>#REF!</v>
      </c>
      <c r="K17" s="43" t="e">
        <f ca="1">MIN(OFFSET(INDEX(Valeurs_Brutes[Connecteur 9],1),COUNT(Valeurs_Brutes[Connecteur 9])-30,0,30))+K5+K6</f>
        <v>#REF!</v>
      </c>
      <c r="L17" s="43" t="e">
        <f ca="1">MIN(OFFSET(INDEX(Valeurs_Brutes[Connecteur 10],1),COUNT(Valeurs_Brutes[Connecteur 10])-30,0,30))+L5+L6</f>
        <v>#REF!</v>
      </c>
      <c r="M17" s="43" t="e">
        <f ca="1">MIN(OFFSET(INDEX(Valeurs_Brutes[Connecteur 11],1),COUNT(Valeurs_Brutes[Connecteur 11])-30,0,30))+M5+M6</f>
        <v>#REF!</v>
      </c>
      <c r="N17" s="43" t="e">
        <f ca="1">MIN(OFFSET(INDEX(Valeurs_Brutes[Connecteur 12],1),COUNT(Valeurs_Brutes[Connecteur 12])-30,0,30))+N5+N6</f>
        <v>#REF!</v>
      </c>
      <c r="O17" s="48">
        <f>R15 - Mesures_Congel!B20</f>
        <v>-30</v>
      </c>
      <c r="P17" s="33"/>
      <c r="Q17" s="36" t="s">
        <v>101</v>
      </c>
      <c r="R17" s="35" t="str">
        <f>"-" &amp; Mesures_Congel!B20 &amp; "°C"</f>
        <v>-°C</v>
      </c>
    </row>
    <row r="18" spans="2:18" s="27" customFormat="1" x14ac:dyDescent="0.25">
      <c r="B18" s="42" t="s">
        <v>102</v>
      </c>
      <c r="C18" s="43" t="e">
        <f ca="1">AVERAGE(OFFSET(INDEX(Valeurs_Brutes[Connecteur 1],1),COUNT(Valeurs_Brutes[Connecteur 1])-30,0,30))+C5+C6</f>
        <v>#REF!</v>
      </c>
      <c r="D18" s="43" t="e">
        <f ca="1">AVERAGE(OFFSET(INDEX(Valeurs_Brutes[Connecteur 2],1),COUNT(Valeurs_Brutes[Connecteur 2])-30,0,30))+D5+D6</f>
        <v>#REF!</v>
      </c>
      <c r="E18" s="43" t="e">
        <f ca="1">AVERAGE(OFFSET(INDEX(Valeurs_Brutes[Connecteur 3],1),COUNT(Valeurs_Brutes[Connecteur 3])-30,0,30))+E5+E6</f>
        <v>#REF!</v>
      </c>
      <c r="F18" s="43" t="e">
        <f ca="1">AVERAGE(OFFSET(INDEX(Valeurs_Brutes[Connecteur 4],1),COUNT(Valeurs_Brutes[Connecteur 4])-30,0,30))+F5+F6</f>
        <v>#REF!</v>
      </c>
      <c r="G18" s="43" t="e">
        <f ca="1">AVERAGE(OFFSET(INDEX(Valeurs_Brutes[Connecteur 5],1),COUNT(Valeurs_Brutes[Connecteur 5])-30,0,30))+G5+G6</f>
        <v>#REF!</v>
      </c>
      <c r="H18" s="43" t="e">
        <f ca="1">AVERAGE(OFFSET(INDEX(Valeurs_Brutes[Connecteur 6],1),COUNT(Valeurs_Brutes[Connecteur 6])-30,0,30))+H5+H6</f>
        <v>#REF!</v>
      </c>
      <c r="I18" s="43" t="e">
        <f ca="1">AVERAGE(OFFSET(INDEX(Valeurs_Brutes[Connecteur 7],1),COUNT(Valeurs_Brutes[Connecteur 7])-30,0,30))+I5+I6</f>
        <v>#REF!</v>
      </c>
      <c r="J18" s="43" t="e">
        <f ca="1">AVERAGE(OFFSET(INDEX(Valeurs_Brutes[Connecteur 8],1),COUNT(Valeurs_Brutes[Connecteur 8])-30,0,30))+J5+J6</f>
        <v>#REF!</v>
      </c>
      <c r="K18" s="43" t="e">
        <f ca="1">AVERAGE(OFFSET(INDEX(Valeurs_Brutes[Connecteur 9],1),COUNT(Valeurs_Brutes[Connecteur 9])-30,0,30))+K5+K6</f>
        <v>#REF!</v>
      </c>
      <c r="L18" s="43" t="e">
        <f ca="1">AVERAGE(OFFSET(INDEX(Valeurs_Brutes[Connecteur 10],1),COUNT(Valeurs_Brutes[Connecteur 10])-30,0,30))+L5+L6</f>
        <v>#REF!</v>
      </c>
      <c r="M18" s="43" t="e">
        <f ca="1">AVERAGE(OFFSET(INDEX(Valeurs_Brutes[Connecteur 11],1),COUNT(Valeurs_Brutes[Connecteur 11])-30,0,30))+M5+M6</f>
        <v>#REF!</v>
      </c>
      <c r="N18" s="43" t="e">
        <f ca="1">AVERAGE(OFFSET(INDEX(Valeurs_Brutes[Connecteur 12],1),COUNT(Valeurs_Brutes[Connecteur 12])-30,0,30))+N5+N6</f>
        <v>#REF!</v>
      </c>
      <c r="O18" s="44"/>
      <c r="P18" s="33"/>
    </row>
    <row r="19" spans="2:18" s="27" customFormat="1" x14ac:dyDescent="0.25">
      <c r="B19" s="42" t="s">
        <v>103</v>
      </c>
      <c r="C19" s="45" t="e">
        <f ca="1">C16-C17</f>
        <v>#REF!</v>
      </c>
      <c r="D19" s="45" t="e">
        <f t="shared" ref="D19:N19" ca="1" si="0">D16-D17</f>
        <v>#REF!</v>
      </c>
      <c r="E19" s="45" t="e">
        <f t="shared" ca="1" si="0"/>
        <v>#REF!</v>
      </c>
      <c r="F19" s="45" t="e">
        <f t="shared" ca="1" si="0"/>
        <v>#REF!</v>
      </c>
      <c r="G19" s="45" t="e">
        <f t="shared" ca="1" si="0"/>
        <v>#REF!</v>
      </c>
      <c r="H19" s="45" t="e">
        <f t="shared" ca="1" si="0"/>
        <v>#REF!</v>
      </c>
      <c r="I19" s="45" t="e">
        <f t="shared" ca="1" si="0"/>
        <v>#REF!</v>
      </c>
      <c r="J19" s="45" t="e">
        <f t="shared" ca="1" si="0"/>
        <v>#REF!</v>
      </c>
      <c r="K19" s="45" t="e">
        <f t="shared" ca="1" si="0"/>
        <v>#REF!</v>
      </c>
      <c r="L19" s="45" t="e">
        <f t="shared" ca="1" si="0"/>
        <v>#REF!</v>
      </c>
      <c r="M19" s="45" t="e">
        <f t="shared" ca="1" si="0"/>
        <v>#REF!</v>
      </c>
      <c r="N19" s="45" t="e">
        <f t="shared" ca="1" si="0"/>
        <v>#REF!</v>
      </c>
      <c r="O19" s="44"/>
      <c r="P19" s="33"/>
    </row>
    <row r="20" spans="2:18" s="27" customFormat="1" x14ac:dyDescent="0.25">
      <c r="B20" s="42" t="s">
        <v>104</v>
      </c>
      <c r="C20" s="175" t="e">
        <f ca="1">ABS(MAX(C16:N16)- MIN(C17:N17))</f>
        <v>#REF!</v>
      </c>
      <c r="D20" s="175"/>
      <c r="E20" s="175"/>
      <c r="F20" s="175"/>
      <c r="G20" s="175"/>
      <c r="H20" s="175"/>
      <c r="I20" s="175"/>
      <c r="J20" s="175"/>
      <c r="K20" s="175"/>
      <c r="L20" s="175"/>
      <c r="M20" s="175"/>
      <c r="N20" s="175"/>
      <c r="O20" s="175"/>
      <c r="P20" s="33"/>
    </row>
    <row r="21" spans="2:18" s="27" customFormat="1" x14ac:dyDescent="0.25">
      <c r="B21" s="42" t="s">
        <v>105</v>
      </c>
      <c r="C21" s="175" t="e">
        <f ca="1">AVERAGE(C18:N18)</f>
        <v>#REF!</v>
      </c>
      <c r="D21" s="175"/>
      <c r="E21" s="175"/>
      <c r="F21" s="175"/>
      <c r="G21" s="175"/>
      <c r="H21" s="175"/>
      <c r="I21" s="175"/>
      <c r="J21" s="175"/>
      <c r="K21" s="175"/>
      <c r="L21" s="175"/>
      <c r="M21" s="175"/>
      <c r="N21" s="175"/>
      <c r="O21" s="175"/>
      <c r="P21" s="33"/>
    </row>
    <row r="22" spans="2:18" s="27" customFormat="1" x14ac:dyDescent="0.25">
      <c r="B22" s="36" t="s">
        <v>106</v>
      </c>
      <c r="C22" s="46" t="e">
        <f ca="1">STDEV(OFFSET(INDEX(Valeurs_Brutes[Connecteur 1],1),COUNT(Valeurs_Brutes[Connecteur 1])-30,0,30))+C5+C6</f>
        <v>#REF!</v>
      </c>
      <c r="D22" s="46" t="e">
        <f ca="1">STDEV(OFFSET(INDEX(Valeurs_Brutes[Connecteur 2],1),COUNT(Valeurs_Brutes[Connecteur 2])-30,0,30))+D5+D6</f>
        <v>#REF!</v>
      </c>
      <c r="E22" s="46" t="e">
        <f ca="1">STDEV(OFFSET(INDEX(Valeurs_Brutes[Connecteur 3],1),COUNT(Valeurs_Brutes[Connecteur 3])-30,0,30))+E5+E6</f>
        <v>#REF!</v>
      </c>
      <c r="F22" s="46" t="e">
        <f ca="1">STDEV(OFFSET(INDEX(Valeurs_Brutes[Connecteur 4],1),COUNT(Valeurs_Brutes[Connecteur 4])-30,0,30))+F5+F6</f>
        <v>#REF!</v>
      </c>
      <c r="G22" s="46" t="e">
        <f ca="1">STDEV(OFFSET(INDEX(Valeurs_Brutes[Connecteur 5],1),COUNT(Valeurs_Brutes[Connecteur 5])-30,0,30))+G5+G6</f>
        <v>#REF!</v>
      </c>
      <c r="H22" s="46" t="e">
        <f ca="1">STDEV(OFFSET(INDEX(Valeurs_Brutes[Connecteur 6],1),COUNT(Valeurs_Brutes[Connecteur 6])-30,0,30))+H5+H6</f>
        <v>#REF!</v>
      </c>
      <c r="I22" s="46" t="e">
        <f ca="1">STDEV(OFFSET(INDEX(Valeurs_Brutes[Connecteur 7],1),COUNT(Valeurs_Brutes[Connecteur 7])-30,0,30))+I5+I6</f>
        <v>#REF!</v>
      </c>
      <c r="J22" s="46" t="e">
        <f ca="1">STDEV(OFFSET(INDEX(Valeurs_Brutes[Connecteur 8],1),COUNT(Valeurs_Brutes[Connecteur 8])-30,0,30))+J5+J6</f>
        <v>#REF!</v>
      </c>
      <c r="K22" s="46" t="e">
        <f ca="1">STDEV(OFFSET(INDEX(Valeurs_Brutes[Connecteur 9],1),COUNT(Valeurs_Brutes[Connecteur 9])-30,0,30))+K5+K6</f>
        <v>#REF!</v>
      </c>
      <c r="L22" s="46" t="e">
        <f ca="1">STDEV(OFFSET(INDEX(Valeurs_Brutes[Connecteur 10],1),COUNT(Valeurs_Brutes[Connecteur 10])-30,0,30))+L5+L6</f>
        <v>#REF!</v>
      </c>
      <c r="M22" s="46" t="e">
        <f ca="1">STDEV(OFFSET(INDEX(Valeurs_Brutes[Connecteur 11],1),COUNT(Valeurs_Brutes[Connecteur 11])-30,0,30))+M5+M6</f>
        <v>#REF!</v>
      </c>
      <c r="N22" s="46" t="e">
        <f ca="1">STDEV(OFFSET(INDEX(Valeurs_Brutes[Connecteur 12],1),COUNT(Valeurs_Brutes[Connecteur 12])-30,0,30))+N5+N6</f>
        <v>#REF!</v>
      </c>
      <c r="O22" s="44"/>
      <c r="P22" s="33"/>
      <c r="Q22" s="47"/>
    </row>
    <row r="23" spans="2:18" s="27" customFormat="1" x14ac:dyDescent="0.25">
      <c r="P23" s="33"/>
    </row>
    <row r="24" spans="2:18" s="27" customFormat="1" x14ac:dyDescent="0.25">
      <c r="P24" s="33"/>
    </row>
    <row r="25" spans="2:18" s="27" customFormat="1" x14ac:dyDescent="0.25">
      <c r="P25" s="33"/>
    </row>
  </sheetData>
  <sheetProtection algorithmName="SHA-512" hashValue="q3EV59wTXih9LTeg4qXNaURr23apv9gCIjx9f9MYBQfbYRROZhq6QqcDalah2Wp7j+iYyB8JW7NPTS6QIQkUgw==" saltValue="GNYmzpsfBTPhEs9Cs6yEcQ==" spinCount="100000" sheet="1" objects="1" scenarios="1" autoFilter="0"/>
  <mergeCells count="5">
    <mergeCell ref="A1:S3"/>
    <mergeCell ref="A9:N9"/>
    <mergeCell ref="A13:XFD13"/>
    <mergeCell ref="C20:O20"/>
    <mergeCell ref="C21:O21"/>
  </mergeCells>
  <conditionalFormatting sqref="C15:N15">
    <cfRule type="cellIs" dxfId="42" priority="3" operator="greaterThan">
      <formula>$O$15</formula>
    </cfRule>
  </conditionalFormatting>
  <conditionalFormatting sqref="C16:N16">
    <cfRule type="cellIs" dxfId="41" priority="2" operator="greaterThan">
      <formula>$O$16</formula>
    </cfRule>
  </conditionalFormatting>
  <conditionalFormatting sqref="C17:N17">
    <cfRule type="cellIs" dxfId="40" priority="1" operator="lessThan">
      <formula>$O$17</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9AE95-EA86-4988-A93A-ADE799AB79B4}">
  <sheetPr codeName="Feuil18">
    <tabColor theme="8" tint="0.39997558519241921"/>
  </sheetPr>
  <dimension ref="A5:J308"/>
  <sheetViews>
    <sheetView view="pageLayout" topLeftCell="A253" zoomScale="70" zoomScaleNormal="60" zoomScaleSheetLayoutView="77" zoomScalePageLayoutView="70" workbookViewId="0">
      <selection activeCell="B4" sqref="B4"/>
    </sheetView>
  </sheetViews>
  <sheetFormatPr baseColWidth="10" defaultRowHeight="15" x14ac:dyDescent="0.25"/>
  <cols>
    <col min="1" max="1" width="13.5703125" bestFit="1" customWidth="1"/>
    <col min="2" max="2" width="42.7109375" customWidth="1"/>
    <col min="3" max="3" width="27" customWidth="1"/>
    <col min="4" max="4" width="18.28515625" customWidth="1"/>
    <col min="5" max="5" width="19" customWidth="1"/>
    <col min="6" max="6" width="29.42578125" bestFit="1" customWidth="1"/>
    <col min="7" max="7" width="24.28515625" bestFit="1" customWidth="1"/>
    <col min="8" max="8" width="25.42578125" customWidth="1"/>
    <col min="9" max="9" width="18.5703125" customWidth="1"/>
  </cols>
  <sheetData>
    <row r="5" spans="2:9" ht="26.25" x14ac:dyDescent="0.25">
      <c r="B5" s="88" t="s">
        <v>144</v>
      </c>
      <c r="C5" s="88"/>
      <c r="D5" s="88"/>
      <c r="E5" s="88"/>
      <c r="F5" s="88"/>
      <c r="G5" s="88"/>
      <c r="H5" s="88"/>
      <c r="I5" s="89"/>
    </row>
    <row r="10" spans="2:9" ht="21" x14ac:dyDescent="0.25">
      <c r="C10" s="192" t="s">
        <v>145</v>
      </c>
      <c r="D10" s="192"/>
      <c r="E10" s="193">
        <f>Mesures_Congel!D5</f>
        <v>0</v>
      </c>
      <c r="F10" s="193"/>
    </row>
    <row r="11" spans="2:9" ht="21" x14ac:dyDescent="0.25">
      <c r="C11" s="90"/>
      <c r="D11" s="90"/>
      <c r="E11" s="91"/>
      <c r="F11" s="91"/>
    </row>
    <row r="12" spans="2:9" x14ac:dyDescent="0.25">
      <c r="C12" s="92" t="s">
        <v>1</v>
      </c>
      <c r="D12" s="93">
        <f>Mesures_Congel!C7</f>
        <v>0</v>
      </c>
      <c r="F12" s="92" t="s">
        <v>19</v>
      </c>
      <c r="G12" s="93">
        <f>Mesures_Congel!G7</f>
        <v>0</v>
      </c>
    </row>
    <row r="13" spans="2:9" ht="15.75" x14ac:dyDescent="0.25">
      <c r="C13" s="94" t="s">
        <v>2</v>
      </c>
      <c r="D13" s="95">
        <f>Mesures_Congel!C8</f>
        <v>0</v>
      </c>
      <c r="F13" s="96" t="s">
        <v>20</v>
      </c>
      <c r="G13" s="95">
        <f>Mesures_Congel!G8</f>
        <v>0</v>
      </c>
    </row>
    <row r="14" spans="2:9" ht="15.75" x14ac:dyDescent="0.25">
      <c r="C14" s="97"/>
      <c r="D14" s="98"/>
      <c r="G14" s="99"/>
    </row>
    <row r="15" spans="2:9" ht="15.75" x14ac:dyDescent="0.25">
      <c r="C15" s="100" t="s">
        <v>146</v>
      </c>
      <c r="D15" s="101">
        <f>Mesures_Congel!C14</f>
        <v>0</v>
      </c>
      <c r="F15" s="92" t="s">
        <v>147</v>
      </c>
      <c r="G15" s="102">
        <f>Mesures_Congel!C15</f>
        <v>0</v>
      </c>
    </row>
    <row r="16" spans="2:9" ht="15.75" x14ac:dyDescent="0.25">
      <c r="C16" s="100" t="s">
        <v>148</v>
      </c>
      <c r="D16" s="103">
        <f>Mesures_Congel!G11</f>
        <v>9</v>
      </c>
      <c r="F16" s="92" t="s">
        <v>149</v>
      </c>
      <c r="G16" s="102">
        <f>Mesures_Congel!G12</f>
        <v>0</v>
      </c>
    </row>
    <row r="17" spans="1:9" ht="15.75" x14ac:dyDescent="0.25">
      <c r="C17" s="97"/>
      <c r="D17" s="98"/>
      <c r="F17" s="97"/>
      <c r="G17" s="27"/>
    </row>
    <row r="18" spans="1:9" ht="15.75" x14ac:dyDescent="0.25">
      <c r="C18" s="100" t="s">
        <v>150</v>
      </c>
      <c r="D18" s="140">
        <f>Mesures_Congel!C11</f>
        <v>0</v>
      </c>
      <c r="F18" s="92" t="s">
        <v>151</v>
      </c>
      <c r="G18" s="141">
        <f>Mesures_Congel!G10</f>
        <v>0</v>
      </c>
    </row>
    <row r="19" spans="1:9" ht="15.75" x14ac:dyDescent="0.25">
      <c r="C19" s="94" t="s">
        <v>152</v>
      </c>
      <c r="D19" s="101">
        <f>Mesures_Congel!C10</f>
        <v>0</v>
      </c>
    </row>
    <row r="20" spans="1:9" ht="15.75" x14ac:dyDescent="0.25">
      <c r="C20" s="97"/>
      <c r="D20" s="98"/>
    </row>
    <row r="21" spans="1:9" ht="15.75" x14ac:dyDescent="0.25">
      <c r="C21" s="97"/>
      <c r="D21" s="98"/>
    </row>
    <row r="28" spans="1:9" ht="36" x14ac:dyDescent="0.55000000000000004">
      <c r="A28" s="180" t="s">
        <v>153</v>
      </c>
      <c r="B28" s="180"/>
    </row>
    <row r="30" spans="1:9" x14ac:dyDescent="0.25">
      <c r="A30" s="194" t="s">
        <v>154</v>
      </c>
      <c r="B30" s="194"/>
      <c r="C30" s="194"/>
      <c r="D30" s="194"/>
      <c r="E30" s="194"/>
      <c r="F30" s="194"/>
      <c r="G30" s="194"/>
      <c r="H30" s="194"/>
      <c r="I30" s="194"/>
    </row>
    <row r="31" spans="1:9" x14ac:dyDescent="0.25">
      <c r="A31" s="194"/>
      <c r="B31" s="194"/>
      <c r="C31" s="194"/>
      <c r="D31" s="194"/>
      <c r="E31" s="194"/>
      <c r="F31" s="194"/>
      <c r="G31" s="194"/>
      <c r="H31" s="194"/>
      <c r="I31" s="194"/>
    </row>
    <row r="32" spans="1:9" x14ac:dyDescent="0.25">
      <c r="A32" s="194"/>
      <c r="B32" s="194"/>
      <c r="C32" s="194"/>
      <c r="D32" s="194"/>
      <c r="E32" s="194"/>
      <c r="F32" s="194"/>
      <c r="G32" s="194"/>
      <c r="H32" s="194"/>
      <c r="I32" s="194"/>
    </row>
    <row r="33" spans="1:9" x14ac:dyDescent="0.25">
      <c r="A33" s="194"/>
      <c r="B33" s="194"/>
      <c r="C33" s="194"/>
      <c r="D33" s="194"/>
      <c r="E33" s="194"/>
      <c r="F33" s="194"/>
      <c r="G33" s="194"/>
      <c r="H33" s="194"/>
      <c r="I33" s="194"/>
    </row>
    <row r="34" spans="1:9" x14ac:dyDescent="0.25">
      <c r="A34" s="194"/>
      <c r="B34" s="194"/>
      <c r="C34" s="194"/>
      <c r="D34" s="194"/>
      <c r="E34" s="194"/>
      <c r="F34" s="194"/>
      <c r="G34" s="194"/>
      <c r="H34" s="194"/>
      <c r="I34" s="194"/>
    </row>
    <row r="35" spans="1:9" x14ac:dyDescent="0.25">
      <c r="A35" s="194"/>
      <c r="B35" s="194"/>
      <c r="C35" s="194"/>
      <c r="D35" s="194"/>
      <c r="E35" s="194"/>
      <c r="F35" s="194"/>
      <c r="G35" s="194"/>
      <c r="H35" s="194"/>
      <c r="I35" s="194"/>
    </row>
    <row r="36" spans="1:9" x14ac:dyDescent="0.25">
      <c r="A36" s="194"/>
      <c r="B36" s="194"/>
      <c r="C36" s="194"/>
      <c r="D36" s="194"/>
      <c r="E36" s="194"/>
      <c r="F36" s="194"/>
      <c r="G36" s="194"/>
      <c r="H36" s="194"/>
      <c r="I36" s="194"/>
    </row>
    <row r="37" spans="1:9" x14ac:dyDescent="0.25">
      <c r="A37" s="194"/>
      <c r="B37" s="194"/>
      <c r="C37" s="194"/>
      <c r="D37" s="194"/>
      <c r="E37" s="194"/>
      <c r="F37" s="194"/>
      <c r="G37" s="194"/>
      <c r="H37" s="194"/>
      <c r="I37" s="194"/>
    </row>
    <row r="38" spans="1:9" x14ac:dyDescent="0.25">
      <c r="A38" s="194"/>
      <c r="B38" s="194"/>
      <c r="C38" s="194"/>
      <c r="D38" s="194"/>
      <c r="E38" s="194"/>
      <c r="F38" s="194"/>
      <c r="G38" s="194"/>
      <c r="H38" s="194"/>
      <c r="I38" s="194"/>
    </row>
    <row r="39" spans="1:9" x14ac:dyDescent="0.25">
      <c r="A39" s="194"/>
      <c r="B39" s="194"/>
      <c r="C39" s="194"/>
      <c r="D39" s="194"/>
      <c r="E39" s="194"/>
      <c r="F39" s="194"/>
      <c r="G39" s="194"/>
      <c r="H39" s="194"/>
      <c r="I39" s="194"/>
    </row>
    <row r="40" spans="1:9" x14ac:dyDescent="0.25">
      <c r="A40" s="194"/>
      <c r="B40" s="194"/>
      <c r="C40" s="194"/>
      <c r="D40" s="194"/>
      <c r="E40" s="194"/>
      <c r="F40" s="194"/>
      <c r="G40" s="194"/>
      <c r="H40" s="194"/>
      <c r="I40" s="194"/>
    </row>
    <row r="41" spans="1:9" x14ac:dyDescent="0.25">
      <c r="A41" s="194"/>
      <c r="B41" s="194"/>
      <c r="C41" s="194"/>
      <c r="D41" s="194"/>
      <c r="E41" s="194"/>
      <c r="F41" s="194"/>
      <c r="G41" s="194"/>
      <c r="H41" s="194"/>
      <c r="I41" s="194"/>
    </row>
    <row r="42" spans="1:9" x14ac:dyDescent="0.25">
      <c r="A42" s="194"/>
      <c r="B42" s="194"/>
      <c r="C42" s="194"/>
      <c r="D42" s="194"/>
      <c r="E42" s="194"/>
      <c r="F42" s="194"/>
      <c r="G42" s="194"/>
      <c r="H42" s="194"/>
      <c r="I42" s="194"/>
    </row>
    <row r="43" spans="1:9" x14ac:dyDescent="0.25">
      <c r="A43" s="194"/>
      <c r="B43" s="194"/>
      <c r="C43" s="194"/>
      <c r="D43" s="194"/>
      <c r="E43" s="194"/>
      <c r="F43" s="194"/>
      <c r="G43" s="194"/>
      <c r="H43" s="194"/>
      <c r="I43" s="194"/>
    </row>
    <row r="44" spans="1:9" x14ac:dyDescent="0.25">
      <c r="A44" s="194"/>
      <c r="B44" s="194"/>
      <c r="C44" s="194"/>
      <c r="D44" s="194"/>
      <c r="E44" s="194"/>
      <c r="F44" s="194"/>
      <c r="G44" s="194"/>
      <c r="H44" s="194"/>
      <c r="I44" s="194"/>
    </row>
    <row r="45" spans="1:9" x14ac:dyDescent="0.25">
      <c r="A45" s="194"/>
      <c r="B45" s="194"/>
      <c r="C45" s="194"/>
      <c r="D45" s="194"/>
      <c r="E45" s="194"/>
      <c r="F45" s="194"/>
      <c r="G45" s="194"/>
      <c r="H45" s="194"/>
      <c r="I45" s="194"/>
    </row>
    <row r="46" spans="1:9" x14ac:dyDescent="0.25">
      <c r="A46" s="194"/>
      <c r="B46" s="194"/>
      <c r="C46" s="194"/>
      <c r="D46" s="194"/>
      <c r="E46" s="194"/>
      <c r="F46" s="194"/>
      <c r="G46" s="194"/>
      <c r="H46" s="194"/>
      <c r="I46" s="194"/>
    </row>
    <row r="47" spans="1:9" x14ac:dyDescent="0.25">
      <c r="A47" s="194"/>
      <c r="B47" s="194"/>
      <c r="C47" s="194"/>
      <c r="D47" s="194"/>
      <c r="E47" s="194"/>
      <c r="F47" s="194"/>
      <c r="G47" s="194"/>
      <c r="H47" s="194"/>
      <c r="I47" s="194"/>
    </row>
    <row r="51" spans="2:8" ht="36" x14ac:dyDescent="0.25">
      <c r="C51" s="182" t="s">
        <v>155</v>
      </c>
      <c r="D51" s="182"/>
      <c r="E51" s="182"/>
      <c r="F51" s="182"/>
    </row>
    <row r="52" spans="2:8" ht="20.25" customHeight="1" x14ac:dyDescent="0.25">
      <c r="B52" s="105"/>
    </row>
    <row r="53" spans="2:8" ht="23.25" x14ac:dyDescent="0.25">
      <c r="B53" s="106" t="s">
        <v>156</v>
      </c>
    </row>
    <row r="55" spans="2:8" ht="21" x14ac:dyDescent="0.25">
      <c r="B55" s="107" t="s">
        <v>157</v>
      </c>
      <c r="E55" s="191" t="s">
        <v>158</v>
      </c>
      <c r="F55" s="191"/>
      <c r="G55" s="191"/>
      <c r="H55" s="108"/>
    </row>
    <row r="56" spans="2:8" ht="21" customHeight="1" x14ac:dyDescent="0.25">
      <c r="B56" s="107" t="s">
        <v>159</v>
      </c>
      <c r="E56" s="191" t="s">
        <v>160</v>
      </c>
      <c r="F56" s="191"/>
      <c r="G56" s="191"/>
      <c r="H56" s="191"/>
    </row>
    <row r="57" spans="2:8" ht="21" x14ac:dyDescent="0.25">
      <c r="B57" s="107" t="s">
        <v>161</v>
      </c>
      <c r="E57" s="191" t="s">
        <v>162</v>
      </c>
      <c r="F57" s="191"/>
      <c r="G57" s="108"/>
      <c r="H57" s="108"/>
    </row>
    <row r="59" spans="2:8" ht="23.25" x14ac:dyDescent="0.25">
      <c r="B59" s="106" t="s">
        <v>163</v>
      </c>
    </row>
    <row r="61" spans="2:8" ht="21" x14ac:dyDescent="0.25">
      <c r="B61" s="191" t="s">
        <v>164</v>
      </c>
      <c r="C61" s="191"/>
      <c r="D61" s="191"/>
      <c r="E61" s="191" t="s">
        <v>165</v>
      </c>
      <c r="F61" s="191"/>
      <c r="G61" s="191"/>
    </row>
    <row r="62" spans="2:8" ht="21" x14ac:dyDescent="0.25">
      <c r="B62" s="191" t="s">
        <v>166</v>
      </c>
      <c r="C62" s="191"/>
      <c r="D62" s="191"/>
    </row>
    <row r="64" spans="2:8" ht="21" x14ac:dyDescent="0.25">
      <c r="B64" s="107" t="s">
        <v>167</v>
      </c>
    </row>
    <row r="66" spans="1:10" ht="21" x14ac:dyDescent="0.25">
      <c r="B66" s="191" t="s">
        <v>168</v>
      </c>
      <c r="C66" s="191"/>
      <c r="D66" s="191"/>
      <c r="E66" s="191" t="s">
        <v>169</v>
      </c>
      <c r="F66" s="191"/>
      <c r="G66" s="191"/>
      <c r="H66" s="191"/>
      <c r="I66" s="191"/>
    </row>
    <row r="67" spans="1:10" ht="23.25" x14ac:dyDescent="0.25">
      <c r="B67" s="191" t="s">
        <v>170</v>
      </c>
      <c r="C67" s="191"/>
      <c r="D67" s="191"/>
      <c r="E67" s="191" t="s">
        <v>171</v>
      </c>
      <c r="F67" s="191"/>
      <c r="G67" s="191"/>
      <c r="H67" s="191"/>
      <c r="I67" s="191"/>
    </row>
    <row r="68" spans="1:10" ht="21" x14ac:dyDescent="0.25">
      <c r="B68" s="191" t="s">
        <v>172</v>
      </c>
      <c r="C68" s="191"/>
      <c r="D68" s="191"/>
      <c r="E68" s="191" t="s">
        <v>173</v>
      </c>
      <c r="F68" s="191"/>
      <c r="G68" s="191"/>
      <c r="H68" s="191"/>
      <c r="I68" s="191"/>
    </row>
    <row r="69" spans="1:10" ht="23.25" x14ac:dyDescent="0.25">
      <c r="B69" s="191" t="s">
        <v>174</v>
      </c>
      <c r="C69" s="191"/>
      <c r="D69" s="191"/>
      <c r="E69" s="191" t="s">
        <v>175</v>
      </c>
      <c r="F69" s="191"/>
      <c r="G69" s="191"/>
      <c r="H69" s="191"/>
      <c r="I69" s="108"/>
    </row>
    <row r="72" spans="1:10" ht="21" customHeight="1" x14ac:dyDescent="0.25">
      <c r="A72" s="183" t="s">
        <v>176</v>
      </c>
      <c r="B72" s="183"/>
      <c r="C72" s="183"/>
      <c r="D72" s="183"/>
      <c r="E72" s="183"/>
      <c r="F72" s="183"/>
      <c r="G72" s="183"/>
      <c r="H72" s="183"/>
      <c r="I72" s="183"/>
      <c r="J72" s="183"/>
    </row>
    <row r="73" spans="1:10" ht="21" customHeight="1" x14ac:dyDescent="0.25">
      <c r="A73" s="183"/>
      <c r="B73" s="183"/>
      <c r="C73" s="183"/>
      <c r="D73" s="183"/>
      <c r="E73" s="183"/>
      <c r="F73" s="183"/>
      <c r="G73" s="183"/>
      <c r="H73" s="183"/>
      <c r="I73" s="183"/>
      <c r="J73" s="183"/>
    </row>
    <row r="74" spans="1:10" ht="15" customHeight="1" x14ac:dyDescent="0.25">
      <c r="A74" s="183"/>
      <c r="B74" s="183"/>
      <c r="C74" s="183"/>
      <c r="D74" s="183"/>
      <c r="E74" s="183"/>
      <c r="F74" s="183"/>
      <c r="G74" s="183"/>
      <c r="H74" s="183"/>
      <c r="I74" s="183"/>
      <c r="J74" s="183"/>
    </row>
    <row r="75" spans="1:10" ht="15" customHeight="1" x14ac:dyDescent="0.25">
      <c r="A75" s="183"/>
      <c r="B75" s="183"/>
      <c r="C75" s="183"/>
      <c r="D75" s="183"/>
      <c r="E75" s="183"/>
      <c r="F75" s="183"/>
      <c r="G75" s="183"/>
      <c r="H75" s="183"/>
      <c r="I75" s="183"/>
      <c r="J75" s="183"/>
    </row>
    <row r="76" spans="1:10" x14ac:dyDescent="0.25">
      <c r="A76" s="183"/>
      <c r="B76" s="183"/>
      <c r="C76" s="183"/>
      <c r="D76" s="183"/>
      <c r="E76" s="183"/>
      <c r="F76" s="183"/>
      <c r="G76" s="183"/>
      <c r="H76" s="183"/>
      <c r="I76" s="183"/>
      <c r="J76" s="183"/>
    </row>
    <row r="77" spans="1:10" x14ac:dyDescent="0.25">
      <c r="A77" s="183"/>
      <c r="B77" s="183"/>
      <c r="C77" s="183"/>
      <c r="D77" s="183"/>
      <c r="E77" s="183"/>
      <c r="F77" s="183"/>
      <c r="G77" s="183"/>
      <c r="H77" s="183"/>
      <c r="I77" s="183"/>
      <c r="J77" s="183"/>
    </row>
    <row r="78" spans="1:10" x14ac:dyDescent="0.25">
      <c r="A78" s="183"/>
      <c r="B78" s="183"/>
      <c r="C78" s="183"/>
      <c r="D78" s="183"/>
      <c r="E78" s="183"/>
      <c r="F78" s="183"/>
      <c r="G78" s="183"/>
      <c r="H78" s="183"/>
      <c r="I78" s="183"/>
      <c r="J78" s="183"/>
    </row>
    <row r="79" spans="1:10" x14ac:dyDescent="0.25">
      <c r="A79" s="183"/>
      <c r="B79" s="183"/>
      <c r="C79" s="183"/>
      <c r="D79" s="183"/>
      <c r="E79" s="183"/>
      <c r="F79" s="183"/>
      <c r="G79" s="183"/>
      <c r="H79" s="183"/>
      <c r="I79" s="183"/>
      <c r="J79" s="183"/>
    </row>
    <row r="80" spans="1:10" x14ac:dyDescent="0.25">
      <c r="A80" s="183"/>
      <c r="B80" s="183"/>
      <c r="C80" s="183"/>
      <c r="D80" s="183"/>
      <c r="E80" s="183"/>
      <c r="F80" s="183"/>
      <c r="G80" s="183"/>
      <c r="H80" s="183"/>
      <c r="I80" s="183"/>
      <c r="J80" s="183"/>
    </row>
    <row r="81" spans="1:10" x14ac:dyDescent="0.25">
      <c r="A81" s="183"/>
      <c r="B81" s="183"/>
      <c r="C81" s="183"/>
      <c r="D81" s="183"/>
      <c r="E81" s="183"/>
      <c r="F81" s="183"/>
      <c r="G81" s="183"/>
      <c r="H81" s="183"/>
      <c r="I81" s="183"/>
      <c r="J81" s="183"/>
    </row>
    <row r="85" spans="1:10" ht="36" x14ac:dyDescent="0.25">
      <c r="C85" s="182" t="s">
        <v>177</v>
      </c>
      <c r="D85" s="182"/>
      <c r="E85" s="182"/>
      <c r="F85" s="182"/>
      <c r="G85" s="182"/>
    </row>
    <row r="87" spans="1:10" ht="26.25" x14ac:dyDescent="0.25">
      <c r="B87" s="109" t="s">
        <v>178</v>
      </c>
    </row>
    <row r="89" spans="1:10" ht="21" x14ac:dyDescent="0.25">
      <c r="B89" s="107" t="s">
        <v>179</v>
      </c>
      <c r="C89" s="107"/>
      <c r="E89" s="107"/>
      <c r="F89" s="107"/>
      <c r="G89" s="107"/>
      <c r="H89" s="108"/>
    </row>
    <row r="90" spans="1:10" ht="21" x14ac:dyDescent="0.25">
      <c r="B90" s="107" t="s">
        <v>180</v>
      </c>
      <c r="C90" s="107"/>
      <c r="E90" s="107"/>
      <c r="F90" s="107"/>
      <c r="G90" s="107"/>
      <c r="H90" s="108"/>
    </row>
    <row r="91" spans="1:10" ht="21" x14ac:dyDescent="0.25">
      <c r="B91" s="107" t="s">
        <v>181</v>
      </c>
      <c r="C91" s="107"/>
      <c r="E91" s="107"/>
      <c r="F91" s="107"/>
      <c r="G91" s="107"/>
      <c r="H91" s="108"/>
    </row>
    <row r="92" spans="1:10" ht="21" x14ac:dyDescent="0.25">
      <c r="B92" s="107" t="s">
        <v>182</v>
      </c>
      <c r="C92" s="107"/>
      <c r="E92" s="107"/>
      <c r="F92" s="107"/>
      <c r="G92" s="107"/>
      <c r="H92" s="108"/>
    </row>
    <row r="93" spans="1:10" ht="21" x14ac:dyDescent="0.25">
      <c r="B93" s="110"/>
      <c r="C93" s="110"/>
      <c r="E93" s="107"/>
      <c r="F93" s="107"/>
      <c r="G93" s="107"/>
      <c r="H93" s="108"/>
    </row>
    <row r="94" spans="1:10" ht="17.25" x14ac:dyDescent="0.25">
      <c r="A94" s="111"/>
      <c r="C94" s="184" t="s">
        <v>10</v>
      </c>
      <c r="D94" s="184"/>
      <c r="E94" s="184"/>
      <c r="F94" s="184"/>
      <c r="G94" s="184"/>
      <c r="H94" s="111"/>
      <c r="I94" s="111"/>
    </row>
    <row r="95" spans="1:10" ht="34.5" x14ac:dyDescent="0.25">
      <c r="A95" s="111"/>
      <c r="B95" s="111"/>
      <c r="C95" s="112"/>
      <c r="D95" s="112" t="s">
        <v>16</v>
      </c>
      <c r="E95" s="113" t="s">
        <v>18</v>
      </c>
      <c r="F95" s="113" t="s">
        <v>25</v>
      </c>
      <c r="G95" s="113" t="s">
        <v>26</v>
      </c>
      <c r="H95" s="114"/>
      <c r="I95" s="114"/>
    </row>
    <row r="96" spans="1:10" ht="17.25" x14ac:dyDescent="0.25">
      <c r="A96" s="111"/>
      <c r="B96" s="111"/>
      <c r="C96" s="112" t="str" cm="1">
        <f t="array" ref="C96:C107">Mesures_Congel!A42:A53</f>
        <v xml:space="preserve">Sonde </v>
      </c>
      <c r="D96" s="115" cm="1">
        <f t="array" ref="D96:G107">Mesures_Congel!C42:F53</f>
        <v>0</v>
      </c>
      <c r="E96" s="115">
        <v>0</v>
      </c>
      <c r="F96" s="115">
        <v>0</v>
      </c>
      <c r="G96" s="115">
        <v>0</v>
      </c>
      <c r="H96" s="111"/>
      <c r="I96" s="111"/>
    </row>
    <row r="97" spans="1:9" ht="17.25" x14ac:dyDescent="0.25">
      <c r="A97" s="111"/>
      <c r="B97" s="111"/>
      <c r="C97" s="112" t="str">
        <v xml:space="preserve">Sonde </v>
      </c>
      <c r="D97" s="115">
        <v>0</v>
      </c>
      <c r="E97" s="115">
        <v>0</v>
      </c>
      <c r="F97" s="115">
        <v>0</v>
      </c>
      <c r="G97" s="115">
        <v>0</v>
      </c>
      <c r="H97" s="111"/>
      <c r="I97" s="111"/>
    </row>
    <row r="98" spans="1:9" ht="17.25" x14ac:dyDescent="0.25">
      <c r="A98" s="111"/>
      <c r="B98" s="111"/>
      <c r="C98" s="112" t="str">
        <v xml:space="preserve">Sonde </v>
      </c>
      <c r="D98" s="115">
        <v>0</v>
      </c>
      <c r="E98" s="115">
        <v>0</v>
      </c>
      <c r="F98" s="115">
        <v>0</v>
      </c>
      <c r="G98" s="115">
        <v>0</v>
      </c>
      <c r="H98" s="111"/>
      <c r="I98" s="111"/>
    </row>
    <row r="99" spans="1:9" ht="17.25" x14ac:dyDescent="0.25">
      <c r="A99" s="111"/>
      <c r="B99" s="111"/>
      <c r="C99" s="112" t="str">
        <v xml:space="preserve">Sonde </v>
      </c>
      <c r="D99" s="115">
        <v>0</v>
      </c>
      <c r="E99" s="115">
        <v>0</v>
      </c>
      <c r="F99" s="115">
        <v>0</v>
      </c>
      <c r="G99" s="115">
        <v>0</v>
      </c>
      <c r="H99" s="111"/>
      <c r="I99" s="111"/>
    </row>
    <row r="100" spans="1:9" ht="17.25" x14ac:dyDescent="0.25">
      <c r="A100" s="111"/>
      <c r="B100" s="111"/>
      <c r="C100" s="112" t="str">
        <v xml:space="preserve">Sonde </v>
      </c>
      <c r="D100" s="115">
        <v>0</v>
      </c>
      <c r="E100" s="115">
        <v>0</v>
      </c>
      <c r="F100" s="115">
        <v>0</v>
      </c>
      <c r="G100" s="115">
        <v>0</v>
      </c>
      <c r="H100" s="111"/>
      <c r="I100" s="111"/>
    </row>
    <row r="101" spans="1:9" ht="17.25" x14ac:dyDescent="0.25">
      <c r="A101" s="111"/>
      <c r="B101" s="111"/>
      <c r="C101" s="112" t="str">
        <v xml:space="preserve">Sonde </v>
      </c>
      <c r="D101" s="115">
        <v>0</v>
      </c>
      <c r="E101" s="115">
        <v>0</v>
      </c>
      <c r="F101" s="115">
        <v>0</v>
      </c>
      <c r="G101" s="115">
        <v>0</v>
      </c>
      <c r="H101" s="111"/>
      <c r="I101" s="111"/>
    </row>
    <row r="102" spans="1:9" ht="17.25" x14ac:dyDescent="0.25">
      <c r="A102" s="111"/>
      <c r="B102" s="111"/>
      <c r="C102" s="112" t="str">
        <v xml:space="preserve">Sonde </v>
      </c>
      <c r="D102" s="115">
        <v>0</v>
      </c>
      <c r="E102" s="115">
        <v>0</v>
      </c>
      <c r="F102" s="115">
        <v>0</v>
      </c>
      <c r="G102" s="115">
        <v>0</v>
      </c>
      <c r="H102" s="111"/>
      <c r="I102" s="111"/>
    </row>
    <row r="103" spans="1:9" ht="17.25" x14ac:dyDescent="0.25">
      <c r="A103" s="111"/>
      <c r="B103" s="111"/>
      <c r="C103" s="112" t="str">
        <v xml:space="preserve">Sonde </v>
      </c>
      <c r="D103" s="115">
        <v>0</v>
      </c>
      <c r="E103" s="115">
        <v>0</v>
      </c>
      <c r="F103" s="115">
        <v>0</v>
      </c>
      <c r="G103" s="115">
        <v>0</v>
      </c>
      <c r="H103" s="111"/>
      <c r="I103" s="111"/>
    </row>
    <row r="104" spans="1:9" ht="17.25" x14ac:dyDescent="0.25">
      <c r="A104" s="111"/>
      <c r="B104" s="111"/>
      <c r="C104" s="112" t="str">
        <v xml:space="preserve">Sonde </v>
      </c>
      <c r="D104" s="115">
        <v>0</v>
      </c>
      <c r="E104" s="115">
        <v>0</v>
      </c>
      <c r="F104" s="115">
        <v>0</v>
      </c>
      <c r="G104" s="115">
        <v>0</v>
      </c>
      <c r="H104" s="111"/>
      <c r="I104" s="111"/>
    </row>
    <row r="105" spans="1:9" ht="17.25" x14ac:dyDescent="0.25">
      <c r="A105" s="111"/>
      <c r="B105" s="111"/>
      <c r="C105" s="112" t="str">
        <v xml:space="preserve">Sonde </v>
      </c>
      <c r="D105" s="115">
        <v>0</v>
      </c>
      <c r="E105" s="115">
        <v>0</v>
      </c>
      <c r="F105" s="115">
        <v>0</v>
      </c>
      <c r="G105" s="115">
        <v>0</v>
      </c>
      <c r="H105" s="111"/>
      <c r="I105" s="111"/>
    </row>
    <row r="106" spans="1:9" ht="17.25" x14ac:dyDescent="0.25">
      <c r="A106" s="111"/>
      <c r="B106" s="111"/>
      <c r="C106" s="112" t="str">
        <v xml:space="preserve">Sonde </v>
      </c>
      <c r="D106" s="115">
        <v>0</v>
      </c>
      <c r="E106" s="115">
        <v>0</v>
      </c>
      <c r="F106" s="115">
        <v>0</v>
      </c>
      <c r="G106" s="115">
        <v>0</v>
      </c>
      <c r="H106" s="111"/>
      <c r="I106" s="111"/>
    </row>
    <row r="107" spans="1:9" ht="17.25" x14ac:dyDescent="0.25">
      <c r="A107" s="111"/>
      <c r="B107" s="111"/>
      <c r="C107" s="112" t="str">
        <v xml:space="preserve">Sonde </v>
      </c>
      <c r="D107" s="115">
        <v>0</v>
      </c>
      <c r="E107" s="115">
        <v>0</v>
      </c>
      <c r="F107" s="115">
        <v>0</v>
      </c>
      <c r="G107" s="115">
        <v>0</v>
      </c>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185" t="s">
        <v>183</v>
      </c>
      <c r="C116" s="185"/>
      <c r="D116" s="185"/>
      <c r="E116" s="185"/>
      <c r="F116" s="185"/>
    </row>
    <row r="118" spans="1:9" ht="26.25" x14ac:dyDescent="0.25">
      <c r="B118" s="109" t="s">
        <v>184</v>
      </c>
    </row>
    <row r="119" spans="1:9" ht="21" x14ac:dyDescent="0.3">
      <c r="E119" s="107" t="s">
        <v>185</v>
      </c>
      <c r="F119" s="107"/>
      <c r="G119" s="116">
        <f>Mesures_Congel!$M$42</f>
        <v>0</v>
      </c>
    </row>
    <row r="120" spans="1:9" ht="21" x14ac:dyDescent="0.3">
      <c r="B120" s="117" t="s">
        <v>186</v>
      </c>
      <c r="C120" s="107" t="s">
        <v>187</v>
      </c>
      <c r="E120" s="107" t="s">
        <v>188</v>
      </c>
      <c r="F120" s="107"/>
      <c r="G120" s="116">
        <f>Mesures_Congel!$N$42</f>
        <v>0</v>
      </c>
    </row>
    <row r="121" spans="1:9" ht="21" x14ac:dyDescent="0.25">
      <c r="B121" s="117" t="s">
        <v>189</v>
      </c>
      <c r="C121" s="110" t="s">
        <v>190</v>
      </c>
      <c r="E121" s="107" t="s">
        <v>191</v>
      </c>
      <c r="F121" s="107"/>
      <c r="G121" s="118">
        <f>Mesures_Congel!$O$42</f>
        <v>0</v>
      </c>
    </row>
    <row r="122" spans="1:9" ht="21" x14ac:dyDescent="0.35">
      <c r="B122" s="119" t="s">
        <v>192</v>
      </c>
      <c r="C122" s="120" t="s">
        <v>193</v>
      </c>
      <c r="E122" s="107" t="s">
        <v>194</v>
      </c>
      <c r="F122" s="107"/>
      <c r="G122" s="121" t="e">
        <f>"±" &amp;  SUBSTITUTE(ROUND(AVERAGE(Mesures_Congel!$D$23:$D$34),2),"-"," ") &amp; "°C"</f>
        <v>#DIV/0!</v>
      </c>
    </row>
    <row r="127" spans="1:9" ht="36" x14ac:dyDescent="0.25">
      <c r="C127" s="182" t="s">
        <v>195</v>
      </c>
      <c r="D127" s="182"/>
      <c r="E127" s="182"/>
      <c r="F127" s="182"/>
    </row>
    <row r="128" spans="1:9" ht="36" x14ac:dyDescent="0.25">
      <c r="B128" s="104"/>
      <c r="C128" s="104"/>
      <c r="D128" s="104"/>
    </row>
    <row r="129" spans="2:9" x14ac:dyDescent="0.25">
      <c r="B129" s="173"/>
      <c r="C129" s="173"/>
      <c r="D129" s="173"/>
      <c r="E129" s="173"/>
      <c r="F129" s="173"/>
      <c r="G129" s="173"/>
      <c r="H129" s="173"/>
      <c r="I129" s="173"/>
    </row>
    <row r="130" spans="2:9" x14ac:dyDescent="0.25">
      <c r="B130" s="173"/>
      <c r="C130" s="173"/>
      <c r="D130" s="173"/>
      <c r="E130" s="173"/>
      <c r="F130" s="173"/>
      <c r="G130" s="173"/>
      <c r="H130" s="173"/>
      <c r="I130" s="173"/>
    </row>
    <row r="131" spans="2:9" x14ac:dyDescent="0.25">
      <c r="B131" s="173"/>
      <c r="C131" s="173"/>
      <c r="D131" s="173"/>
      <c r="E131" s="173"/>
      <c r="F131" s="173"/>
      <c r="G131" s="173"/>
      <c r="H131" s="173"/>
      <c r="I131" s="173"/>
    </row>
    <row r="132" spans="2:9" x14ac:dyDescent="0.25">
      <c r="B132" s="173"/>
      <c r="C132" s="173"/>
      <c r="D132" s="173"/>
      <c r="E132" s="173"/>
      <c r="F132" s="173"/>
      <c r="G132" s="173"/>
      <c r="H132" s="173"/>
      <c r="I132" s="173"/>
    </row>
    <row r="133" spans="2:9" x14ac:dyDescent="0.25">
      <c r="B133" s="173"/>
      <c r="C133" s="173"/>
      <c r="D133" s="173"/>
      <c r="E133" s="173"/>
      <c r="F133" s="173"/>
      <c r="G133" s="173"/>
      <c r="H133" s="173"/>
      <c r="I133" s="173"/>
    </row>
    <row r="134" spans="2:9" x14ac:dyDescent="0.25">
      <c r="B134" s="173"/>
      <c r="C134" s="173"/>
      <c r="D134" s="173"/>
      <c r="E134" s="173"/>
      <c r="F134" s="173"/>
      <c r="G134" s="173"/>
      <c r="H134" s="173"/>
      <c r="I134" s="173"/>
    </row>
    <row r="135" spans="2:9" x14ac:dyDescent="0.25">
      <c r="B135" s="173"/>
      <c r="C135" s="173"/>
      <c r="D135" s="173"/>
      <c r="E135" s="173"/>
      <c r="F135" s="173"/>
      <c r="G135" s="173"/>
      <c r="H135" s="173"/>
      <c r="I135" s="173"/>
    </row>
    <row r="136" spans="2:9" x14ac:dyDescent="0.25">
      <c r="B136" s="173"/>
      <c r="C136" s="173"/>
      <c r="D136" s="173"/>
      <c r="E136" s="173"/>
      <c r="F136" s="173"/>
      <c r="G136" s="173"/>
      <c r="H136" s="173"/>
      <c r="I136" s="173"/>
    </row>
    <row r="137" spans="2:9" x14ac:dyDescent="0.25">
      <c r="B137" s="173"/>
      <c r="C137" s="173"/>
      <c r="D137" s="173"/>
      <c r="E137" s="173"/>
      <c r="F137" s="173"/>
      <c r="G137" s="173"/>
      <c r="H137" s="173"/>
      <c r="I137" s="173"/>
    </row>
    <row r="138" spans="2:9" x14ac:dyDescent="0.25">
      <c r="B138" s="173"/>
      <c r="C138" s="173"/>
      <c r="D138" s="173"/>
      <c r="E138" s="173"/>
      <c r="F138" s="173"/>
      <c r="G138" s="173"/>
      <c r="H138" s="173"/>
      <c r="I138" s="173"/>
    </row>
    <row r="139" spans="2:9" x14ac:dyDescent="0.25">
      <c r="B139" s="173"/>
      <c r="C139" s="173"/>
      <c r="D139" s="173"/>
      <c r="E139" s="173"/>
      <c r="F139" s="173"/>
      <c r="G139" s="173"/>
      <c r="H139" s="173"/>
      <c r="I139" s="173"/>
    </row>
    <row r="140" spans="2:9" x14ac:dyDescent="0.25">
      <c r="B140" s="173"/>
      <c r="C140" s="173"/>
      <c r="D140" s="173"/>
      <c r="E140" s="173"/>
      <c r="F140" s="173"/>
      <c r="G140" s="173"/>
      <c r="H140" s="173"/>
      <c r="I140" s="173"/>
    </row>
    <row r="141" spans="2:9" x14ac:dyDescent="0.25">
      <c r="B141" s="173"/>
      <c r="C141" s="173"/>
      <c r="D141" s="173"/>
      <c r="E141" s="173"/>
      <c r="F141" s="173"/>
      <c r="G141" s="173"/>
      <c r="H141" s="173"/>
      <c r="I141" s="173"/>
    </row>
    <row r="142" spans="2:9" x14ac:dyDescent="0.25">
      <c r="B142" s="173"/>
      <c r="C142" s="173"/>
      <c r="D142" s="173"/>
      <c r="E142" s="173"/>
      <c r="F142" s="173"/>
      <c r="G142" s="173"/>
      <c r="H142" s="173"/>
      <c r="I142" s="173"/>
    </row>
    <row r="143" spans="2:9" x14ac:dyDescent="0.25">
      <c r="B143" s="173"/>
      <c r="C143" s="173"/>
      <c r="D143" s="173"/>
      <c r="E143" s="173"/>
      <c r="F143" s="173"/>
      <c r="G143" s="173"/>
      <c r="H143" s="173"/>
      <c r="I143" s="173"/>
    </row>
    <row r="144" spans="2:9" x14ac:dyDescent="0.25">
      <c r="B144" s="173"/>
      <c r="C144" s="173"/>
      <c r="D144" s="173"/>
      <c r="E144" s="173"/>
      <c r="F144" s="173"/>
      <c r="G144" s="173"/>
      <c r="H144" s="173"/>
      <c r="I144" s="173"/>
    </row>
    <row r="163" spans="1:8" ht="36" x14ac:dyDescent="0.25">
      <c r="C163" s="182" t="s">
        <v>196</v>
      </c>
      <c r="D163" s="182"/>
      <c r="E163" s="182"/>
      <c r="F163" s="182"/>
      <c r="G163" s="182"/>
      <c r="H163" s="182"/>
    </row>
    <row r="167" spans="1:8" x14ac:dyDescent="0.25">
      <c r="A167" s="122" t="str" cm="1">
        <f t="array" ref="A167:C179">Mesures_Congel!A22:C34</f>
        <v>Positions</v>
      </c>
      <c r="B167" s="122" t="str">
        <v>Thermocouples</v>
      </c>
      <c r="C167" s="122" t="str">
        <v>N° voie Enregistreur</v>
      </c>
    </row>
    <row r="168" spans="1:8" x14ac:dyDescent="0.25">
      <c r="A168" s="122">
        <v>1</v>
      </c>
      <c r="B168" s="123">
        <v>0</v>
      </c>
      <c r="C168" s="124">
        <v>0</v>
      </c>
    </row>
    <row r="169" spans="1:8" x14ac:dyDescent="0.25">
      <c r="A169" s="122">
        <v>2</v>
      </c>
      <c r="B169" s="123">
        <v>0</v>
      </c>
      <c r="C169" s="124">
        <v>0</v>
      </c>
    </row>
    <row r="170" spans="1:8" x14ac:dyDescent="0.25">
      <c r="A170" s="122">
        <v>3</v>
      </c>
      <c r="B170" s="123">
        <v>0</v>
      </c>
      <c r="C170" s="124">
        <v>0</v>
      </c>
    </row>
    <row r="171" spans="1:8" x14ac:dyDescent="0.25">
      <c r="A171" s="122">
        <v>4</v>
      </c>
      <c r="B171" s="123">
        <v>0</v>
      </c>
      <c r="C171" s="124">
        <v>0</v>
      </c>
    </row>
    <row r="172" spans="1:8" x14ac:dyDescent="0.25">
      <c r="A172" s="122">
        <v>5</v>
      </c>
      <c r="B172" s="123">
        <v>0</v>
      </c>
      <c r="C172" s="124">
        <v>0</v>
      </c>
    </row>
    <row r="173" spans="1:8" x14ac:dyDescent="0.25">
      <c r="A173" s="122">
        <v>6</v>
      </c>
      <c r="B173" s="123">
        <v>0</v>
      </c>
      <c r="C173" s="124">
        <v>0</v>
      </c>
    </row>
    <row r="174" spans="1:8" x14ac:dyDescent="0.25">
      <c r="A174" s="122">
        <v>7</v>
      </c>
      <c r="B174" s="123">
        <v>0</v>
      </c>
      <c r="C174" s="124">
        <v>0</v>
      </c>
    </row>
    <row r="175" spans="1:8" x14ac:dyDescent="0.25">
      <c r="A175" s="122">
        <v>8</v>
      </c>
      <c r="B175" s="123">
        <v>0</v>
      </c>
      <c r="C175" s="124">
        <v>0</v>
      </c>
    </row>
    <row r="176" spans="1:8" x14ac:dyDescent="0.25">
      <c r="A176" s="122">
        <v>9</v>
      </c>
      <c r="B176" s="123">
        <v>0</v>
      </c>
      <c r="C176" s="124">
        <v>0</v>
      </c>
    </row>
    <row r="177" spans="1:3" x14ac:dyDescent="0.25">
      <c r="A177" s="122">
        <v>10</v>
      </c>
      <c r="B177" s="123">
        <v>0</v>
      </c>
      <c r="C177" s="124">
        <v>0</v>
      </c>
    </row>
    <row r="178" spans="1:3" x14ac:dyDescent="0.25">
      <c r="A178" s="122">
        <v>11</v>
      </c>
      <c r="B178" s="123">
        <v>0</v>
      </c>
      <c r="C178" s="124">
        <v>0</v>
      </c>
    </row>
    <row r="179" spans="1:3" x14ac:dyDescent="0.25">
      <c r="A179" s="122">
        <v>12</v>
      </c>
      <c r="B179" s="123">
        <v>0</v>
      </c>
      <c r="C179" s="124">
        <v>0</v>
      </c>
    </row>
    <row r="196" spans="1:9" ht="36" x14ac:dyDescent="0.25">
      <c r="C196" s="182" t="s">
        <v>197</v>
      </c>
      <c r="D196" s="182"/>
      <c r="E196" s="182"/>
      <c r="F196" s="182"/>
      <c r="G196" s="182"/>
      <c r="H196" s="182"/>
    </row>
    <row r="200" spans="1:9" x14ac:dyDescent="0.25">
      <c r="A200" s="122" t="str" cm="1">
        <f t="array" ref="A200:B201">Mesures_Congel!$A$19:$B$20</f>
        <v>Consignes</v>
      </c>
      <c r="B200" s="124">
        <v>-30</v>
      </c>
      <c r="G200" s="186" t="s">
        <v>198</v>
      </c>
      <c r="H200" s="187"/>
      <c r="I200" s="188"/>
    </row>
    <row r="201" spans="1:9" x14ac:dyDescent="0.25">
      <c r="A201" s="122" t="str">
        <v>Tolérances +/-</v>
      </c>
      <c r="B201" s="124">
        <v>0</v>
      </c>
      <c r="G201" s="22" t="s">
        <v>199</v>
      </c>
      <c r="H201" s="22" t="s">
        <v>200</v>
      </c>
      <c r="I201" s="22" t="s">
        <v>201</v>
      </c>
    </row>
    <row r="202" spans="1:9" x14ac:dyDescent="0.25">
      <c r="G202" s="125" t="e" cm="1">
        <f t="array" ref="G202">INDEX(Valeurs_Brutes[Date/Heure], COUNTA(Valeurs_Brutes[Date/Heure])-30)</f>
        <v>#VALUE!</v>
      </c>
      <c r="H202" s="125" cm="1">
        <f t="array" ref="H202">INDEX(Valeurs_Brutes[Date/Heure], COUNTA(Valeurs_Brutes[Date/Heure]))</f>
        <v>0</v>
      </c>
      <c r="I202" s="125" t="e">
        <f>H202-G202</f>
        <v>#VALUE!</v>
      </c>
    </row>
    <row r="205" spans="1:9" ht="23.25" x14ac:dyDescent="0.25">
      <c r="B205" s="189" t="s">
        <v>202</v>
      </c>
      <c r="C205" s="189"/>
    </row>
    <row r="208" spans="1:9" ht="30" x14ac:dyDescent="0.25">
      <c r="B208" s="126" t="s">
        <v>203</v>
      </c>
      <c r="C208" s="127" t="s">
        <v>204</v>
      </c>
      <c r="D208" s="127" t="s">
        <v>119</v>
      </c>
      <c r="E208" s="128" t="s">
        <v>205</v>
      </c>
      <c r="F208" s="127" t="s">
        <v>206</v>
      </c>
    </row>
    <row r="209" spans="1:6" x14ac:dyDescent="0.25">
      <c r="B209" s="129" t="s">
        <v>207</v>
      </c>
      <c r="C209" s="130" t="str">
        <f>B200 &amp; "°C"</f>
        <v>-30°C</v>
      </c>
      <c r="D209" s="130" t="s">
        <v>208</v>
      </c>
      <c r="E209" s="130" t="s">
        <v>208</v>
      </c>
      <c r="F209" s="131" t="s">
        <v>208</v>
      </c>
    </row>
    <row r="210" spans="1:6" x14ac:dyDescent="0.25">
      <c r="B210" s="129" t="s">
        <v>209</v>
      </c>
      <c r="C210" s="130" t="str">
        <f>B200 &amp; "°C"</f>
        <v>-30°C</v>
      </c>
      <c r="D210" s="130" t="s">
        <v>208</v>
      </c>
      <c r="E210" s="130" t="s">
        <v>208</v>
      </c>
      <c r="F210" s="131" t="s">
        <v>208</v>
      </c>
    </row>
    <row r="211" spans="1:6" ht="15" customHeight="1" x14ac:dyDescent="0.25">
      <c r="A211" s="190" t="s">
        <v>210</v>
      </c>
      <c r="B211" s="129" t="s">
        <v>211</v>
      </c>
      <c r="C211" s="132" t="e">
        <f ca="1">MAX('Congel_-30°C'!C16:N16)</f>
        <v>#REF!</v>
      </c>
      <c r="D211" s="130" t="e">
        <f ca="1">_xlfn.XLOOKUP(INT(SUBSTITUTE(E211,"Connecteur ","")),Mesures_Congel!$C$23:$C$34,Mesures_Congel!$A$23:$A$34)</f>
        <v>#REF!</v>
      </c>
      <c r="E211" s="130" t="e" cm="1">
        <f t="array" aca="1" ref="E211" ca="1">_xlfn.XLOOKUP(C211,'Congel_-30°C'!C16:N16,_xlfn.ANCHORARRAY('Congel_-30°C'!C14))</f>
        <v>#REF!</v>
      </c>
      <c r="F211" s="130" t="e">
        <f ca="1">_xlfn.XLOOKUP(INT(SUBSTITUTE(E211,"Connecteur ","")),Mesures_Congel!$C$23:$C$34,Mesures_Congel!$B$23:$B$34)</f>
        <v>#REF!</v>
      </c>
    </row>
    <row r="212" spans="1:6" x14ac:dyDescent="0.25">
      <c r="A212" s="190"/>
      <c r="B212" s="129" t="s">
        <v>212</v>
      </c>
      <c r="C212" s="132" t="e">
        <f ca="1">MIN('Congel_-30°C'!C16:N16)</f>
        <v>#REF!</v>
      </c>
      <c r="D212" s="130" t="e">
        <f ca="1">_xlfn.XLOOKUP(INT(SUBSTITUTE(E212,"Connecteur ","")),Mesures_Congel!$C$23:$C$34,Mesures_Congel!$A$23:$A$34)</f>
        <v>#REF!</v>
      </c>
      <c r="E212" s="130" t="e" cm="1">
        <f t="array" aca="1" ref="E212" ca="1">_xlfn.XLOOKUP(C212,'Congel_-30°C'!C16:N16,_xlfn.ANCHORARRAY('Congel_-30°C'!C14))</f>
        <v>#REF!</v>
      </c>
      <c r="F212" s="131" t="e">
        <f ca="1">_xlfn.XLOOKUP(INT(SUBSTITUTE(E212,"Connecteur ","")),Mesures_Congel!$C$23:$C$34,Mesures_Congel!$B$23:$B$34)</f>
        <v>#REF!</v>
      </c>
    </row>
    <row r="213" spans="1:6" ht="34.5" customHeight="1" x14ac:dyDescent="0.25">
      <c r="A213" s="190"/>
      <c r="B213" s="129" t="s">
        <v>213</v>
      </c>
      <c r="C213" s="132" t="e">
        <f ca="1">MIN('Congel_-30°C'!C17:N17)</f>
        <v>#REF!</v>
      </c>
      <c r="D213" s="130" t="e">
        <f ca="1">_xlfn.XLOOKUP(INT(SUBSTITUTE(E213,"Connecteur ","")),Mesures_Congel!$C$23:$C$34,Mesures_Congel!$A$23:$A$34)</f>
        <v>#REF!</v>
      </c>
      <c r="E213" s="130" t="e" cm="1">
        <f t="array" aca="1" ref="E213" ca="1">_xlfn.XLOOKUP(C213,'Congel_-30°C'!C16:N16,_xlfn.ANCHORARRAY('Congel_-30°C'!C14))</f>
        <v>#REF!</v>
      </c>
      <c r="F213" s="131" t="e">
        <f ca="1">_xlfn.XLOOKUP(INT(SUBSTITUTE(E213,"Connecteur ","")),Mesures_Congel!$C$23:$C$34,Mesures_Congel!$B$23:$B$34)</f>
        <v>#REF!</v>
      </c>
    </row>
    <row r="214" spans="1:6" x14ac:dyDescent="0.25">
      <c r="A214" s="190"/>
      <c r="B214" s="129" t="s">
        <v>214</v>
      </c>
      <c r="C214" s="132" t="e">
        <f ca="1">'Congel_-30°C'!C21</f>
        <v>#REF!</v>
      </c>
      <c r="D214" s="130" t="s">
        <v>208</v>
      </c>
      <c r="E214" s="130" t="s">
        <v>208</v>
      </c>
      <c r="F214" s="131" t="s">
        <v>208</v>
      </c>
    </row>
    <row r="215" spans="1:6" x14ac:dyDescent="0.25">
      <c r="C215" s="89"/>
      <c r="D215" s="89"/>
      <c r="E215" s="89"/>
      <c r="F215" s="89"/>
    </row>
    <row r="226" spans="2:9" ht="36" x14ac:dyDescent="0.25">
      <c r="B226" s="182" t="s">
        <v>215</v>
      </c>
      <c r="C226" s="182"/>
      <c r="D226" s="182"/>
      <c r="E226" s="182"/>
      <c r="F226" s="182"/>
    </row>
    <row r="229" spans="2:9" x14ac:dyDescent="0.25">
      <c r="B229" s="173" t="s">
        <v>216</v>
      </c>
      <c r="C229" s="173"/>
    </row>
    <row r="232" spans="2:9" x14ac:dyDescent="0.25">
      <c r="C232" s="27"/>
      <c r="D232" s="27"/>
      <c r="E232" s="27"/>
      <c r="F232" s="177" t="s">
        <v>198</v>
      </c>
      <c r="G232" s="179"/>
      <c r="H232" s="179"/>
      <c r="I232" s="178"/>
    </row>
    <row r="233" spans="2:9" ht="30" x14ac:dyDescent="0.25">
      <c r="C233" s="36" t="s">
        <v>9</v>
      </c>
      <c r="D233" s="36" t="s">
        <v>12</v>
      </c>
      <c r="E233" s="133" t="s">
        <v>217</v>
      </c>
      <c r="F233" s="36" t="s">
        <v>218</v>
      </c>
      <c r="G233" s="36" t="s">
        <v>219</v>
      </c>
      <c r="H233" s="36" t="s">
        <v>220</v>
      </c>
      <c r="I233" s="36" t="s">
        <v>221</v>
      </c>
    </row>
    <row r="234" spans="2:9" x14ac:dyDescent="0.25">
      <c r="C234" s="38" cm="1">
        <f t="array" ref="C234:E245">Mesures_Congel!$A$23:$C$34</f>
        <v>1</v>
      </c>
      <c r="D234" s="38">
        <v>0</v>
      </c>
      <c r="E234" s="38">
        <v>0</v>
      </c>
      <c r="F234" s="134" t="e" cm="1">
        <f t="array" ref="F234">_xlfn.XLOOKUP(SUBSTITUTE(Congel_PV!E234,Congel_PV!E234,"Connecteur " &amp; Congel_PV!E234),_xlfn.ANCHORARRAY('Congel_-30°C'!C14),'Congel_-30°C'!C17:N17)</f>
        <v>#N/A</v>
      </c>
      <c r="G234" s="134" t="e" cm="1">
        <f t="array" ref="G234">_xlfn.XLOOKUP(SUBSTITUTE(Congel_PV!E234,Congel_PV!E234,"Connecteur " &amp; Congel_PV!E234),_xlfn.ANCHORARRAY('Congel_-30°C'!C14),'Congel_-30°C'!C16:N16)</f>
        <v>#N/A</v>
      </c>
      <c r="H234" s="134" t="e" cm="1">
        <f t="array" ref="H234">_xlfn.XLOOKUP(SUBSTITUTE(Congel_PV!E234,Congel_PV!E234,"Connecteur " &amp; Congel_PV!E234),_xlfn.ANCHORARRAY('Congel_-30°C'!C14),'Congel_-30°C'!C18:N18)</f>
        <v>#N/A</v>
      </c>
      <c r="I234" s="134" t="e" cm="1">
        <f t="array" ref="I234">_xlfn.XLOOKUP(SUBSTITUTE(Congel_PV!E234,Congel_PV!E234,"Connecteur " &amp; Congel_PV!E234),_xlfn.ANCHORARRAY('Congel_-30°C'!C14),'Congel_-30°C'!C19:N19)</f>
        <v>#N/A</v>
      </c>
    </row>
    <row r="235" spans="2:9" x14ac:dyDescent="0.25">
      <c r="C235" s="38">
        <v>2</v>
      </c>
      <c r="D235" s="38">
        <v>0</v>
      </c>
      <c r="E235" s="38">
        <v>0</v>
      </c>
      <c r="F235" s="134" t="e" cm="1">
        <f t="array" ref="F235">_xlfn.XLOOKUP(SUBSTITUTE(Congel_PV!E235,Congel_PV!E235,"Connecteur " &amp; Congel_PV!E235),_xlfn.ANCHORARRAY('Congel_-30°C'!C14),'Congel_-30°C'!C17:N17)</f>
        <v>#N/A</v>
      </c>
      <c r="G235" s="134" t="e" cm="1">
        <f t="array" ref="G235">_xlfn.XLOOKUP(SUBSTITUTE(Congel_PV!E235,Congel_PV!E235,"Connecteur " &amp; Congel_PV!E235),_xlfn.ANCHORARRAY('Congel_-30°C'!C14),'Congel_-30°C'!C16:N16)</f>
        <v>#N/A</v>
      </c>
      <c r="H235" s="134" t="e" cm="1">
        <f t="array" ref="H235">_xlfn.XLOOKUP(SUBSTITUTE(Congel_PV!E235,Congel_PV!E235,"Connecteur " &amp; Congel_PV!E235),_xlfn.ANCHORARRAY('Congel_-30°C'!C14),'Congel_-30°C'!C18:N18)</f>
        <v>#N/A</v>
      </c>
      <c r="I235" s="134" t="e" cm="1">
        <f t="array" ref="I235">_xlfn.XLOOKUP(SUBSTITUTE(Congel_PV!E235,Congel_PV!E235,"Connecteur " &amp; Congel_PV!E235),_xlfn.ANCHORARRAY('Congel_-30°C'!C14),'Congel_-30°C'!C19:N19)</f>
        <v>#N/A</v>
      </c>
    </row>
    <row r="236" spans="2:9" x14ac:dyDescent="0.25">
      <c r="C236" s="38">
        <v>3</v>
      </c>
      <c r="D236" s="38">
        <v>0</v>
      </c>
      <c r="E236" s="38">
        <v>0</v>
      </c>
      <c r="F236" s="134" t="e" cm="1">
        <f t="array" ref="F236">_xlfn.XLOOKUP(SUBSTITUTE(Congel_PV!E236,Congel_PV!E236,"Connecteur " &amp; Congel_PV!E236),_xlfn.ANCHORARRAY('Congel_-30°C'!C14),'Congel_-30°C'!C17:N17)</f>
        <v>#N/A</v>
      </c>
      <c r="G236" s="134" t="e" cm="1">
        <f t="array" ref="G236">_xlfn.XLOOKUP(SUBSTITUTE(Congel_PV!E236,Congel_PV!E236,"Connecteur " &amp; Congel_PV!E236),_xlfn.ANCHORARRAY('Congel_-30°C'!C14),'Congel_-30°C'!C16:N16)</f>
        <v>#N/A</v>
      </c>
      <c r="H236" s="134" t="e" cm="1">
        <f t="array" ref="H236">_xlfn.XLOOKUP(SUBSTITUTE(Congel_PV!E236,Congel_PV!E236,"Connecteur " &amp; Congel_PV!E236),_xlfn.ANCHORARRAY('Congel_-30°C'!C14),'Congel_-30°C'!C18:N18)</f>
        <v>#N/A</v>
      </c>
      <c r="I236" s="134" t="e" cm="1">
        <f t="array" ref="I236">_xlfn.XLOOKUP(SUBSTITUTE(Congel_PV!E236,Congel_PV!E236,"Connecteur " &amp; Congel_PV!E236),_xlfn.ANCHORARRAY('Congel_-30°C'!C14),'Congel_-30°C'!C19:N19)</f>
        <v>#N/A</v>
      </c>
    </row>
    <row r="237" spans="2:9" x14ac:dyDescent="0.25">
      <c r="C237" s="38">
        <v>4</v>
      </c>
      <c r="D237" s="38">
        <v>0</v>
      </c>
      <c r="E237" s="38">
        <v>0</v>
      </c>
      <c r="F237" s="134" t="e" cm="1">
        <f t="array" ref="F237">_xlfn.XLOOKUP(SUBSTITUTE(Congel_PV!E237,Congel_PV!E237,"Connecteur " &amp; Congel_PV!E237),_xlfn.ANCHORARRAY('Congel_-30°C'!C14),'Congel_-30°C'!C17:N17)</f>
        <v>#N/A</v>
      </c>
      <c r="G237" s="134" t="e" cm="1">
        <f t="array" ref="G237">_xlfn.XLOOKUP(SUBSTITUTE(Congel_PV!E237,Congel_PV!E237,"Connecteur " &amp; Congel_PV!E237),_xlfn.ANCHORARRAY('Congel_-30°C'!C14),'Congel_-30°C'!C16:N16)</f>
        <v>#N/A</v>
      </c>
      <c r="H237" s="134" t="e" cm="1">
        <f t="array" ref="H237">_xlfn.XLOOKUP(SUBSTITUTE(Congel_PV!E237,Congel_PV!E237,"Connecteur " &amp; Congel_PV!E237),_xlfn.ANCHORARRAY('Congel_-30°C'!C14),'Congel_-30°C'!C18:N18)</f>
        <v>#N/A</v>
      </c>
      <c r="I237" s="134" t="e" cm="1">
        <f t="array" ref="I237">_xlfn.XLOOKUP(SUBSTITUTE(Congel_PV!E237,Congel_PV!E237,"Connecteur " &amp; Congel_PV!E237),_xlfn.ANCHORARRAY('Congel_-30°C'!C14),'Congel_-30°C'!C19:N19)</f>
        <v>#N/A</v>
      </c>
    </row>
    <row r="238" spans="2:9" x14ac:dyDescent="0.25">
      <c r="C238" s="38">
        <v>5</v>
      </c>
      <c r="D238" s="38">
        <v>0</v>
      </c>
      <c r="E238" s="38">
        <v>0</v>
      </c>
      <c r="F238" s="134" t="e" cm="1">
        <f t="array" ref="F238">_xlfn.XLOOKUP(SUBSTITUTE(Congel_PV!E238,Congel_PV!E238,"Connecteur " &amp; Congel_PV!E238),_xlfn.ANCHORARRAY('Congel_-30°C'!C14),'Congel_-30°C'!C17:N17)</f>
        <v>#N/A</v>
      </c>
      <c r="G238" s="134" t="e" cm="1">
        <f t="array" ref="G238">_xlfn.XLOOKUP(SUBSTITUTE(Congel_PV!E238,Congel_PV!E238,"Connecteur "&amp;Congel_PV!E238),_xlfn.ANCHORARRAY('Congel_-30°C'!C14),'Congel_-30°C'!C16:N16)</f>
        <v>#N/A</v>
      </c>
      <c r="H238" s="134" t="e" cm="1">
        <f t="array" ref="H238">_xlfn.XLOOKUP(SUBSTITUTE(Congel_PV!E238,Congel_PV!E238,"Connecteur " &amp; Congel_PV!E238),_xlfn.ANCHORARRAY('Congel_-30°C'!C14),'Congel_-30°C'!C18:N18)</f>
        <v>#N/A</v>
      </c>
      <c r="I238" s="134" t="e" cm="1">
        <f t="array" ref="I238">_xlfn.XLOOKUP(SUBSTITUTE(Congel_PV!E238,Congel_PV!E238,"Connecteur " &amp; Congel_PV!E238),_xlfn.ANCHORARRAY('Congel_-30°C'!C14),'Congel_-30°C'!C19:N19)</f>
        <v>#N/A</v>
      </c>
    </row>
    <row r="239" spans="2:9" x14ac:dyDescent="0.25">
      <c r="C239" s="38">
        <v>6</v>
      </c>
      <c r="D239" s="38">
        <v>0</v>
      </c>
      <c r="E239" s="38">
        <v>0</v>
      </c>
      <c r="F239" s="134" t="e" cm="1">
        <f t="array" ref="F239">_xlfn.XLOOKUP(SUBSTITUTE(Congel_PV!E239,Congel_PV!E239,"Connecteur " &amp; Congel_PV!E239),_xlfn.ANCHORARRAY('Congel_-30°C'!C14),'Congel_-30°C'!C17:N17)</f>
        <v>#N/A</v>
      </c>
      <c r="G239" s="134" t="e" cm="1">
        <f t="array" ref="G239">_xlfn.XLOOKUP(SUBSTITUTE(Congel_PV!E239,Congel_PV!E239,"Connecteur " &amp; Congel_PV!E239),_xlfn.ANCHORARRAY('Congel_-30°C'!C14),'Congel_-30°C'!C16:N16)</f>
        <v>#N/A</v>
      </c>
      <c r="H239" s="134" t="e" cm="1">
        <f t="array" ref="H239">_xlfn.XLOOKUP(SUBSTITUTE(Congel_PV!E239,Congel_PV!E239,"Connecteur " &amp; Congel_PV!E239),_xlfn.ANCHORARRAY('Congel_-30°C'!C14),'Congel_-30°C'!C18:N18)</f>
        <v>#N/A</v>
      </c>
      <c r="I239" s="134" t="e" cm="1">
        <f t="array" ref="I239">_xlfn.XLOOKUP(SUBSTITUTE(Congel_PV!E239,Congel_PV!E239,"Connecteur " &amp; Congel_PV!E239),_xlfn.ANCHORARRAY('Congel_-30°C'!C14),'Congel_-30°C'!C19:N19)</f>
        <v>#N/A</v>
      </c>
    </row>
    <row r="240" spans="2:9" x14ac:dyDescent="0.25">
      <c r="C240" s="38">
        <v>7</v>
      </c>
      <c r="D240" s="38">
        <v>0</v>
      </c>
      <c r="E240" s="38">
        <v>0</v>
      </c>
      <c r="F240" s="134" t="e" cm="1">
        <f t="array" ref="F240">_xlfn.XLOOKUP(SUBSTITUTE(Congel_PV!E240,Congel_PV!E240,"Connecteur " &amp; Congel_PV!E240),_xlfn.ANCHORARRAY('Congel_-30°C'!C14),'Congel_-30°C'!C17:N17)</f>
        <v>#N/A</v>
      </c>
      <c r="G240" s="134" t="e" cm="1">
        <f t="array" ref="G240">_xlfn.XLOOKUP(SUBSTITUTE(Congel_PV!E240,Congel_PV!E240,"Connecteur " &amp; Congel_PV!E240),_xlfn.ANCHORARRAY('Congel_-30°C'!C14),'Congel_-30°C'!C16:N16)</f>
        <v>#N/A</v>
      </c>
      <c r="H240" s="134" t="e" cm="1">
        <f t="array" ref="H240">_xlfn.XLOOKUP(SUBSTITUTE(Congel_PV!E240,Congel_PV!E240,"Connecteur " &amp; Congel_PV!E240),_xlfn.ANCHORARRAY('Congel_-30°C'!C14),'Congel_-30°C'!C18:N18)</f>
        <v>#N/A</v>
      </c>
      <c r="I240" s="134" t="e" cm="1">
        <f t="array" ref="I240">_xlfn.XLOOKUP(SUBSTITUTE(Congel_PV!E240,Congel_PV!E240,"Connecteur " &amp; Congel_PV!E240),_xlfn.ANCHORARRAY('Congel_-30°C'!C14),'Congel_-30°C'!C19:N19)</f>
        <v>#N/A</v>
      </c>
    </row>
    <row r="241" spans="2:9" x14ac:dyDescent="0.25">
      <c r="C241" s="38">
        <v>8</v>
      </c>
      <c r="D241" s="38">
        <v>0</v>
      </c>
      <c r="E241" s="38">
        <v>0</v>
      </c>
      <c r="F241" s="134" t="e" cm="1">
        <f t="array" ref="F241">_xlfn.XLOOKUP(SUBSTITUTE(Congel_PV!E241,Congel_PV!E241,"Connecteur " &amp; Congel_PV!E241),_xlfn.ANCHORARRAY('Congel_-30°C'!C14),'Congel_-30°C'!C17:N17)</f>
        <v>#N/A</v>
      </c>
      <c r="G241" s="134" t="e" cm="1">
        <f t="array" ref="G241">_xlfn.XLOOKUP(SUBSTITUTE(Congel_PV!E241,Congel_PV!E241,"Connecteur " &amp; Congel_PV!E241),_xlfn.ANCHORARRAY('Congel_-30°C'!C14),'Congel_-30°C'!C16:N16)</f>
        <v>#N/A</v>
      </c>
      <c r="H241" s="134" t="e" cm="1">
        <f t="array" ref="H241">_xlfn.XLOOKUP(SUBSTITUTE(Congel_PV!E241,Congel_PV!E241,"Connecteur " &amp; Congel_PV!E241),_xlfn.ANCHORARRAY('Congel_-30°C'!C14),'Congel_-30°C'!C18:N18)</f>
        <v>#N/A</v>
      </c>
      <c r="I241" s="134" t="e" cm="1">
        <f t="array" ref="I241">_xlfn.XLOOKUP(SUBSTITUTE(Congel_PV!E241,Congel_PV!E241,"Connecteur " &amp; Congel_PV!E241),_xlfn.ANCHORARRAY('Congel_-30°C'!C14),'Congel_-30°C'!C19:N19)</f>
        <v>#N/A</v>
      </c>
    </row>
    <row r="242" spans="2:9" x14ac:dyDescent="0.25">
      <c r="C242" s="38">
        <v>9</v>
      </c>
      <c r="D242" s="38">
        <v>0</v>
      </c>
      <c r="E242" s="38">
        <v>0</v>
      </c>
      <c r="F242" s="134" t="e" cm="1">
        <f t="array" ref="F242">_xlfn.XLOOKUP(SUBSTITUTE(Congel_PV!E242,Congel_PV!E242,"Connecteur " &amp; Congel_PV!E242),_xlfn.ANCHORARRAY('Congel_-30°C'!C14),'Congel_-30°C'!C17:N17)</f>
        <v>#N/A</v>
      </c>
      <c r="G242" s="134" t="e" cm="1">
        <f t="array" ref="G242">_xlfn.XLOOKUP(SUBSTITUTE(Congel_PV!E242,Congel_PV!E242,"Connecteur " &amp; Congel_PV!E242),_xlfn.ANCHORARRAY('Congel_-30°C'!C14),'Congel_-30°C'!C16:N16)</f>
        <v>#N/A</v>
      </c>
      <c r="H242" s="134" t="e" cm="1">
        <f t="array" ref="H242">_xlfn.XLOOKUP(SUBSTITUTE(Congel_PV!E242,Congel_PV!E242,"Connecteur " &amp; Congel_PV!E242),_xlfn.ANCHORARRAY('Congel_-30°C'!C14),'Congel_-30°C'!C18:N18)</f>
        <v>#N/A</v>
      </c>
      <c r="I242" s="134" t="e" cm="1">
        <f t="array" ref="I242">_xlfn.XLOOKUP(SUBSTITUTE(Congel_PV!E242,Congel_PV!E242,"Connecteur " &amp; Congel_PV!E242),_xlfn.ANCHORARRAY('Congel_-30°C'!C14),'Congel_-30°C'!C19:N19)</f>
        <v>#N/A</v>
      </c>
    </row>
    <row r="243" spans="2:9" x14ac:dyDescent="0.25">
      <c r="C243" s="38">
        <v>10</v>
      </c>
      <c r="D243" s="38">
        <v>0</v>
      </c>
      <c r="E243" s="38">
        <v>0</v>
      </c>
      <c r="F243" s="134" t="e" cm="1">
        <f t="array" ref="F243">_xlfn.XLOOKUP(SUBSTITUTE(Congel_PV!E243,Congel_PV!E243,"Connecteur " &amp; Congel_PV!E243),_xlfn.ANCHORARRAY('Congel_-30°C'!C14),'Congel_-30°C'!C17:N17)</f>
        <v>#N/A</v>
      </c>
      <c r="G243" s="134" t="e" cm="1">
        <f t="array" ref="G243">_xlfn.XLOOKUP(SUBSTITUTE(Congel_PV!E243,Congel_PV!E243,"Connecteur " &amp; Congel_PV!E243),_xlfn.ANCHORARRAY('Congel_-30°C'!C14),'Congel_-30°C'!C16:N16)</f>
        <v>#N/A</v>
      </c>
      <c r="H243" s="134" t="e" cm="1">
        <f t="array" ref="H243">_xlfn.XLOOKUP(SUBSTITUTE(Congel_PV!E243,Congel_PV!E243,"Connecteur " &amp; Congel_PV!E243),_xlfn.ANCHORARRAY('Congel_-30°C'!C14),'Congel_-30°C'!C18:N18)</f>
        <v>#N/A</v>
      </c>
      <c r="I243" s="134" t="e" cm="1">
        <f t="array" ref="I243">_xlfn.XLOOKUP(SUBSTITUTE(Congel_PV!E243,Congel_PV!E243,"Connecteur " &amp; Congel_PV!E243),_xlfn.ANCHORARRAY('Congel_-30°C'!C14),'Congel_-30°C'!C19:N19)</f>
        <v>#N/A</v>
      </c>
    </row>
    <row r="244" spans="2:9" x14ac:dyDescent="0.25">
      <c r="C244" s="38">
        <v>11</v>
      </c>
      <c r="D244" s="38">
        <v>0</v>
      </c>
      <c r="E244" s="38">
        <v>0</v>
      </c>
      <c r="F244" s="134" t="e" cm="1">
        <f t="array" ref="F244">_xlfn.XLOOKUP(SUBSTITUTE(Congel_PV!E244,Congel_PV!E244,"Connecteur " &amp; Congel_PV!E244),_xlfn.ANCHORARRAY('Congel_-30°C'!C14),'Congel_-30°C'!C17:N17)</f>
        <v>#N/A</v>
      </c>
      <c r="G244" s="134" t="e" cm="1">
        <f t="array" ref="G244">_xlfn.XLOOKUP(SUBSTITUTE(Congel_PV!E244,Congel_PV!E244,"Connecteur " &amp; Congel_PV!E244),_xlfn.ANCHORARRAY('Congel_-30°C'!C14),'Congel_-30°C'!C16:N16)</f>
        <v>#N/A</v>
      </c>
      <c r="H244" s="134" t="e" cm="1">
        <f t="array" ref="H244">_xlfn.XLOOKUP(SUBSTITUTE(Congel_PV!E244,Congel_PV!E244,"Connecteur " &amp; Congel_PV!E244),_xlfn.ANCHORARRAY('Congel_-30°C'!C14),'Congel_-30°C'!C18:N18)</f>
        <v>#N/A</v>
      </c>
      <c r="I244" s="134" t="e" cm="1">
        <f t="array" ref="I244">_xlfn.XLOOKUP(SUBSTITUTE(Congel_PV!E244,Congel_PV!E244,"Connecteur " &amp; Congel_PV!E244),_xlfn.ANCHORARRAY('Congel_-30°C'!C14),'Congel_-30°C'!C19:N19)</f>
        <v>#N/A</v>
      </c>
    </row>
    <row r="245" spans="2:9" x14ac:dyDescent="0.25">
      <c r="C245" s="38">
        <v>12</v>
      </c>
      <c r="D245" s="38">
        <v>0</v>
      </c>
      <c r="E245" s="38">
        <v>0</v>
      </c>
      <c r="F245" s="134" t="e" cm="1">
        <f t="array" ref="F245">_xlfn.XLOOKUP(SUBSTITUTE(Congel_PV!E245,Congel_PV!E245,"Connecteur " &amp; Congel_PV!E245),_xlfn.ANCHORARRAY('Congel_-30°C'!C14),'Congel_-30°C'!C17:N17)</f>
        <v>#N/A</v>
      </c>
      <c r="G245" s="134" t="e" cm="1">
        <f t="array" ref="G245">_xlfn.XLOOKUP(SUBSTITUTE(Congel_PV!E245,Congel_PV!E245,"Connecteur " &amp; Congel_PV!E245),_xlfn.ANCHORARRAY('Congel_-30°C'!C14),'Congel_-30°C'!C16:N16)</f>
        <v>#N/A</v>
      </c>
      <c r="H245" s="134" t="e" cm="1">
        <f t="array" ref="H245">_xlfn.XLOOKUP(SUBSTITUTE(Congel_PV!E245,Congel_PV!E245,"Connecteur " &amp; Congel_PV!E245),_xlfn.ANCHORARRAY('Congel_-30°C'!C14),'Congel_-30°C'!C18:N18)</f>
        <v>#N/A</v>
      </c>
      <c r="I245" s="134" t="e" cm="1">
        <f t="array" ref="I245">_xlfn.XLOOKUP(SUBSTITUTE(Congel_PV!E245,Congel_PV!E245,"Connecteur " &amp; Congel_PV!E245),_xlfn.ANCHORARRAY('Congel_-30°C'!C14),'Congel_-30°C'!C19:N19)</f>
        <v>#N/A</v>
      </c>
    </row>
    <row r="252" spans="2:9" x14ac:dyDescent="0.25">
      <c r="B252" s="135"/>
    </row>
    <row r="254" spans="2:9" ht="36" x14ac:dyDescent="0.3">
      <c r="C254" s="136" t="s">
        <v>222</v>
      </c>
      <c r="D254" s="137"/>
      <c r="E254" s="137"/>
      <c r="F254" s="137"/>
    </row>
    <row r="257" spans="2:2" x14ac:dyDescent="0.25">
      <c r="B257" t="s">
        <v>223</v>
      </c>
    </row>
    <row r="293" spans="2:8" ht="36" x14ac:dyDescent="0.55000000000000004">
      <c r="G293" s="180" t="s">
        <v>224</v>
      </c>
      <c r="H293" s="180"/>
    </row>
    <row r="297" spans="2:8" ht="23.25" customHeight="1" x14ac:dyDescent="0.25">
      <c r="B297" s="181" t="s">
        <v>225</v>
      </c>
      <c r="C297" s="181"/>
      <c r="D297" s="181"/>
      <c r="E297" s="181"/>
      <c r="F297" s="138" t="e">
        <f ca="1">IF(OR(AVERAGE('Congel_-30°C'!C16:N16)&gt;'Congel_-30°C'!O16,AVERAGE('Congel_-30°C'!C17:N17)&lt;'Congel_-30°C'!O17),"NON CONFORME","CONFORME")</f>
        <v>#REF!</v>
      </c>
      <c r="G297" s="139"/>
    </row>
    <row r="298" spans="2:8" ht="23.25" customHeight="1" x14ac:dyDescent="0.25">
      <c r="B298" s="181"/>
      <c r="C298" s="181"/>
      <c r="D298" s="181"/>
      <c r="E298" s="181"/>
      <c r="F298" s="139"/>
      <c r="G298" s="139"/>
    </row>
    <row r="299" spans="2:8" ht="15" customHeight="1" x14ac:dyDescent="0.25">
      <c r="B299" s="139"/>
      <c r="C299" s="139"/>
      <c r="D299" s="139"/>
      <c r="E299" s="139"/>
      <c r="F299" s="139"/>
      <c r="G299" s="139"/>
    </row>
    <row r="303" spans="2:8" x14ac:dyDescent="0.25">
      <c r="C303" s="129" t="s">
        <v>226</v>
      </c>
      <c r="D303" s="129"/>
      <c r="E303" s="129" t="str">
        <f xml:space="preserve"> "-30°C"</f>
        <v>-30°C</v>
      </c>
    </row>
    <row r="304" spans="2:8" x14ac:dyDescent="0.25">
      <c r="C304" s="176" t="s">
        <v>227</v>
      </c>
      <c r="D304" s="176"/>
      <c r="E304" s="142">
        <f>Mesures_Congel!$B$19</f>
        <v>-30</v>
      </c>
    </row>
    <row r="305" spans="3:5" x14ac:dyDescent="0.25">
      <c r="C305" s="176" t="s">
        <v>228</v>
      </c>
      <c r="D305" s="176"/>
      <c r="E305" s="134" t="e">
        <f ca="1">'Congel_-30°C'!C20</f>
        <v>#REF!</v>
      </c>
    </row>
    <row r="306" spans="3:5" x14ac:dyDescent="0.25">
      <c r="C306" s="176" t="s">
        <v>229</v>
      </c>
      <c r="D306" s="176"/>
      <c r="E306" s="38" t="str">
        <f>"±" &amp; Mesures_Congel!$B$20</f>
        <v>±</v>
      </c>
    </row>
    <row r="307" spans="3:5" x14ac:dyDescent="0.25">
      <c r="C307" s="177" t="s">
        <v>230</v>
      </c>
      <c r="D307" s="178"/>
      <c r="E307" s="38" t="e">
        <f ca="1">IF(F297="CONFORME","OUI","NON")</f>
        <v>#REF!</v>
      </c>
    </row>
    <row r="308" spans="3:5" x14ac:dyDescent="0.25">
      <c r="C308" s="176" t="s">
        <v>231</v>
      </c>
      <c r="D308" s="176"/>
      <c r="E308" s="38">
        <v>2</v>
      </c>
    </row>
  </sheetData>
  <sheetProtection algorithmName="SHA-512" hashValue="IvJQxjkOUCB9059meg52lOCfMPzbRgpejpXZowfLj+o03nyov6bGjYH8nx7QE+3AfDik57SM618bG1eNepctjA==" saltValue="JfotPKqAWHXeOvsZaORTZQ==" spinCount="100000" sheet="1" objects="1" scenarios="1" autoFilter="0"/>
  <mergeCells count="40">
    <mergeCell ref="B66:D66"/>
    <mergeCell ref="E66:I66"/>
    <mergeCell ref="C10:D10"/>
    <mergeCell ref="E10:F10"/>
    <mergeCell ref="A28:B28"/>
    <mergeCell ref="A30:I47"/>
    <mergeCell ref="C51:F51"/>
    <mergeCell ref="E55:G55"/>
    <mergeCell ref="E56:H56"/>
    <mergeCell ref="E57:F57"/>
    <mergeCell ref="B61:D61"/>
    <mergeCell ref="E61:G61"/>
    <mergeCell ref="B62:D62"/>
    <mergeCell ref="B67:D67"/>
    <mergeCell ref="E67:I67"/>
    <mergeCell ref="B68:D68"/>
    <mergeCell ref="E68:I68"/>
    <mergeCell ref="B69:D69"/>
    <mergeCell ref="E69:H69"/>
    <mergeCell ref="B226:F226"/>
    <mergeCell ref="A72:J81"/>
    <mergeCell ref="C85:G85"/>
    <mergeCell ref="C94:G94"/>
    <mergeCell ref="B116:F116"/>
    <mergeCell ref="C127:F127"/>
    <mergeCell ref="B129:I144"/>
    <mergeCell ref="C163:H163"/>
    <mergeCell ref="C196:H196"/>
    <mergeCell ref="G200:I200"/>
    <mergeCell ref="B205:C205"/>
    <mergeCell ref="A211:A214"/>
    <mergeCell ref="C306:D306"/>
    <mergeCell ref="C307:D307"/>
    <mergeCell ref="C308:D308"/>
    <mergeCell ref="B229:C229"/>
    <mergeCell ref="F232:I232"/>
    <mergeCell ref="G293:H293"/>
    <mergeCell ref="B297:E298"/>
    <mergeCell ref="C304:D304"/>
    <mergeCell ref="C305:D305"/>
  </mergeCells>
  <conditionalFormatting sqref="F297">
    <cfRule type="containsText" dxfId="39" priority="1" operator="containsText" text="NON CONFORME">
      <formula>NOT(ISERROR(SEARCH("NON CONFORME",F297)))</formula>
    </cfRule>
    <cfRule type="containsText" dxfId="38" priority="2" operator="containsText" text="CONFORME">
      <formula>NOT(ISERROR(SEARCH("CONFORME",F297)))</formula>
    </cfRule>
  </conditionalFormatting>
  <pageMargins left="0.7" right="0.7" top="0.75" bottom="0.75" header="0.3" footer="0.3"/>
  <pageSetup paperSize="9" scale="55" orientation="landscape" r:id="rId1"/>
  <rowBreaks count="8" manualBreakCount="8">
    <brk id="47" max="9" man="1"/>
    <brk id="81" max="9" man="1"/>
    <brk id="124" max="9" man="1"/>
    <brk id="160" max="9" man="1"/>
    <brk id="192" max="16383" man="1"/>
    <brk id="220" max="9" man="1"/>
    <brk id="252" max="9" man="1"/>
    <brk id="29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9F965-7FE4-437C-8BC9-169AD60C40EF}">
  <sheetPr codeName="Feuil13">
    <tabColor theme="8" tint="0.39997558519241921"/>
  </sheetPr>
  <dimension ref="A1:O37"/>
  <sheetViews>
    <sheetView view="pageBreakPreview" zoomScale="60" zoomScaleNormal="100" workbookViewId="0">
      <selection activeCell="F28" sqref="F28"/>
    </sheetView>
  </sheetViews>
  <sheetFormatPr baseColWidth="10" defaultRowHeight="15.75" x14ac:dyDescent="0.25"/>
  <cols>
    <col min="1" max="1" width="32.5703125" style="49" bestFit="1" customWidth="1"/>
    <col min="2" max="2" width="26.28515625" style="49" bestFit="1" customWidth="1"/>
    <col min="3" max="3" width="35.140625" style="49" customWidth="1"/>
    <col min="4" max="4" width="32.42578125" style="49" customWidth="1"/>
    <col min="5" max="5" width="24.42578125" style="49" bestFit="1" customWidth="1"/>
    <col min="6" max="6" width="18.7109375" style="49" bestFit="1" customWidth="1"/>
    <col min="7" max="7" width="34.140625" style="49" bestFit="1" customWidth="1"/>
    <col min="8" max="8" width="65.42578125" style="49" bestFit="1" customWidth="1"/>
    <col min="9" max="9" width="21.140625" style="49" bestFit="1" customWidth="1"/>
    <col min="10" max="10" width="15.42578125" style="49" bestFit="1" customWidth="1"/>
    <col min="11" max="11" width="14.85546875" style="49" bestFit="1" customWidth="1"/>
    <col min="12" max="12" width="3.140625" style="49" customWidth="1"/>
    <col min="13" max="13" width="28.85546875" style="49" customWidth="1"/>
    <col min="14" max="14" width="32.28515625" style="49" customWidth="1"/>
    <col min="15" max="15" width="36.28515625" style="49" customWidth="1"/>
    <col min="16" max="16" width="16.28515625" style="49" customWidth="1"/>
    <col min="17" max="17" width="35.7109375" style="49" customWidth="1"/>
    <col min="18" max="18" width="36.28515625" style="49" customWidth="1"/>
    <col min="19" max="19" width="35.7109375" style="49" customWidth="1"/>
    <col min="20" max="20" width="36.28515625" style="49" customWidth="1"/>
    <col min="21" max="21" width="35.7109375" style="49" customWidth="1"/>
    <col min="22" max="22" width="36.28515625" style="49" customWidth="1"/>
    <col min="23" max="23" width="35.7109375" style="49" customWidth="1"/>
    <col min="24" max="24" width="36.28515625" style="49" customWidth="1"/>
    <col min="25" max="25" width="16.28515625" style="49" customWidth="1"/>
    <col min="26" max="26" width="78.42578125" style="49" bestFit="1" customWidth="1"/>
    <col min="27" max="27" width="52.7109375" style="49" bestFit="1" customWidth="1"/>
    <col min="28" max="256" width="11.42578125" style="49"/>
    <col min="257" max="257" width="25.85546875" style="49" customWidth="1"/>
    <col min="258" max="258" width="20.85546875" style="49" bestFit="1" customWidth="1"/>
    <col min="259" max="259" width="28.85546875" style="49" customWidth="1"/>
    <col min="260" max="260" width="23.7109375" style="49" customWidth="1"/>
    <col min="261" max="261" width="24.42578125" style="49" bestFit="1" customWidth="1"/>
    <col min="262" max="262" width="21.140625" style="49" customWidth="1"/>
    <col min="263" max="265" width="25.7109375" style="49" customWidth="1"/>
    <col min="266" max="266" width="19.5703125" style="49" customWidth="1"/>
    <col min="267" max="267" width="15.85546875" style="49" customWidth="1"/>
    <col min="268" max="268" width="3.140625" style="49" customWidth="1"/>
    <col min="269" max="269" width="28.85546875" style="49" customWidth="1"/>
    <col min="270" max="270" width="32.28515625" style="49" customWidth="1"/>
    <col min="271" max="271" width="36.28515625" style="49" customWidth="1"/>
    <col min="272" max="272" width="16.28515625" style="49" customWidth="1"/>
    <col min="273" max="273" width="35.7109375" style="49" customWidth="1"/>
    <col min="274" max="274" width="36.28515625" style="49" customWidth="1"/>
    <col min="275" max="275" width="35.7109375" style="49" customWidth="1"/>
    <col min="276" max="276" width="36.28515625" style="49" customWidth="1"/>
    <col min="277" max="277" width="35.7109375" style="49" customWidth="1"/>
    <col min="278" max="278" width="36.28515625" style="49" customWidth="1"/>
    <col min="279" max="279" width="35.7109375" style="49" customWidth="1"/>
    <col min="280" max="280" width="36.28515625" style="49" customWidth="1"/>
    <col min="281" max="281" width="16.28515625" style="49" customWidth="1"/>
    <col min="282" max="282" width="78.42578125" style="49" bestFit="1" customWidth="1"/>
    <col min="283" max="283" width="52.7109375" style="49" bestFit="1" customWidth="1"/>
    <col min="284" max="512" width="11.42578125" style="49"/>
    <col min="513" max="513" width="25.85546875" style="49" customWidth="1"/>
    <col min="514" max="514" width="20.85546875" style="49" bestFit="1" customWidth="1"/>
    <col min="515" max="515" width="28.85546875" style="49" customWidth="1"/>
    <col min="516" max="516" width="23.7109375" style="49" customWidth="1"/>
    <col min="517" max="517" width="24.42578125" style="49" bestFit="1" customWidth="1"/>
    <col min="518" max="518" width="21.140625" style="49" customWidth="1"/>
    <col min="519" max="521" width="25.7109375" style="49" customWidth="1"/>
    <col min="522" max="522" width="19.5703125" style="49" customWidth="1"/>
    <col min="523" max="523" width="15.85546875" style="49" customWidth="1"/>
    <col min="524" max="524" width="3.140625" style="49" customWidth="1"/>
    <col min="525" max="525" width="28.85546875" style="49" customWidth="1"/>
    <col min="526" max="526" width="32.28515625" style="49" customWidth="1"/>
    <col min="527" max="527" width="36.28515625" style="49" customWidth="1"/>
    <col min="528" max="528" width="16.28515625" style="49" customWidth="1"/>
    <col min="529" max="529" width="35.7109375" style="49" customWidth="1"/>
    <col min="530" max="530" width="36.28515625" style="49" customWidth="1"/>
    <col min="531" max="531" width="35.7109375" style="49" customWidth="1"/>
    <col min="532" max="532" width="36.28515625" style="49" customWidth="1"/>
    <col min="533" max="533" width="35.7109375" style="49" customWidth="1"/>
    <col min="534" max="534" width="36.28515625" style="49" customWidth="1"/>
    <col min="535" max="535" width="35.7109375" style="49" customWidth="1"/>
    <col min="536" max="536" width="36.28515625" style="49" customWidth="1"/>
    <col min="537" max="537" width="16.28515625" style="49" customWidth="1"/>
    <col min="538" max="538" width="78.42578125" style="49" bestFit="1" customWidth="1"/>
    <col min="539" max="539" width="52.7109375" style="49" bestFit="1" customWidth="1"/>
    <col min="540" max="768" width="11.42578125" style="49"/>
    <col min="769" max="769" width="25.85546875" style="49" customWidth="1"/>
    <col min="770" max="770" width="20.85546875" style="49" bestFit="1" customWidth="1"/>
    <col min="771" max="771" width="28.85546875" style="49" customWidth="1"/>
    <col min="772" max="772" width="23.7109375" style="49" customWidth="1"/>
    <col min="773" max="773" width="24.42578125" style="49" bestFit="1" customWidth="1"/>
    <col min="774" max="774" width="21.140625" style="49" customWidth="1"/>
    <col min="775" max="777" width="25.7109375" style="49" customWidth="1"/>
    <col min="778" max="778" width="19.5703125" style="49" customWidth="1"/>
    <col min="779" max="779" width="15.85546875" style="49" customWidth="1"/>
    <col min="780" max="780" width="3.140625" style="49" customWidth="1"/>
    <col min="781" max="781" width="28.85546875" style="49" customWidth="1"/>
    <col min="782" max="782" width="32.28515625" style="49" customWidth="1"/>
    <col min="783" max="783" width="36.28515625" style="49" customWidth="1"/>
    <col min="784" max="784" width="16.28515625" style="49" customWidth="1"/>
    <col min="785" max="785" width="35.7109375" style="49" customWidth="1"/>
    <col min="786" max="786" width="36.28515625" style="49" customWidth="1"/>
    <col min="787" max="787" width="35.7109375" style="49" customWidth="1"/>
    <col min="788" max="788" width="36.28515625" style="49" customWidth="1"/>
    <col min="789" max="789" width="35.7109375" style="49" customWidth="1"/>
    <col min="790" max="790" width="36.28515625" style="49" customWidth="1"/>
    <col min="791" max="791" width="35.7109375" style="49" customWidth="1"/>
    <col min="792" max="792" width="36.28515625" style="49" customWidth="1"/>
    <col min="793" max="793" width="16.28515625" style="49" customWidth="1"/>
    <col min="794" max="794" width="78.42578125" style="49" bestFit="1" customWidth="1"/>
    <col min="795" max="795" width="52.7109375" style="49" bestFit="1" customWidth="1"/>
    <col min="796" max="1024" width="11.42578125" style="49"/>
    <col min="1025" max="1025" width="25.85546875" style="49" customWidth="1"/>
    <col min="1026" max="1026" width="20.85546875" style="49" bestFit="1" customWidth="1"/>
    <col min="1027" max="1027" width="28.85546875" style="49" customWidth="1"/>
    <col min="1028" max="1028" width="23.7109375" style="49" customWidth="1"/>
    <col min="1029" max="1029" width="24.42578125" style="49" bestFit="1" customWidth="1"/>
    <col min="1030" max="1030" width="21.140625" style="49" customWidth="1"/>
    <col min="1031" max="1033" width="25.7109375" style="49" customWidth="1"/>
    <col min="1034" max="1034" width="19.5703125" style="49" customWidth="1"/>
    <col min="1035" max="1035" width="15.85546875" style="49" customWidth="1"/>
    <col min="1036" max="1036" width="3.140625" style="49" customWidth="1"/>
    <col min="1037" max="1037" width="28.85546875" style="49" customWidth="1"/>
    <col min="1038" max="1038" width="32.28515625" style="49" customWidth="1"/>
    <col min="1039" max="1039" width="36.28515625" style="49" customWidth="1"/>
    <col min="1040" max="1040" width="16.28515625" style="49" customWidth="1"/>
    <col min="1041" max="1041" width="35.7109375" style="49" customWidth="1"/>
    <col min="1042" max="1042" width="36.28515625" style="49" customWidth="1"/>
    <col min="1043" max="1043" width="35.7109375" style="49" customWidth="1"/>
    <col min="1044" max="1044" width="36.28515625" style="49" customWidth="1"/>
    <col min="1045" max="1045" width="35.7109375" style="49" customWidth="1"/>
    <col min="1046" max="1046" width="36.28515625" style="49" customWidth="1"/>
    <col min="1047" max="1047" width="35.7109375" style="49" customWidth="1"/>
    <col min="1048" max="1048" width="36.28515625" style="49" customWidth="1"/>
    <col min="1049" max="1049" width="16.28515625" style="49" customWidth="1"/>
    <col min="1050" max="1050" width="78.42578125" style="49" bestFit="1" customWidth="1"/>
    <col min="1051" max="1051" width="52.7109375" style="49" bestFit="1" customWidth="1"/>
    <col min="1052" max="1280" width="11.42578125" style="49"/>
    <col min="1281" max="1281" width="25.85546875" style="49" customWidth="1"/>
    <col min="1282" max="1282" width="20.85546875" style="49" bestFit="1" customWidth="1"/>
    <col min="1283" max="1283" width="28.85546875" style="49" customWidth="1"/>
    <col min="1284" max="1284" width="23.7109375" style="49" customWidth="1"/>
    <col min="1285" max="1285" width="24.42578125" style="49" bestFit="1" customWidth="1"/>
    <col min="1286" max="1286" width="21.140625" style="49" customWidth="1"/>
    <col min="1287" max="1289" width="25.7109375" style="49" customWidth="1"/>
    <col min="1290" max="1290" width="19.5703125" style="49" customWidth="1"/>
    <col min="1291" max="1291" width="15.85546875" style="49" customWidth="1"/>
    <col min="1292" max="1292" width="3.140625" style="49" customWidth="1"/>
    <col min="1293" max="1293" width="28.85546875" style="49" customWidth="1"/>
    <col min="1294" max="1294" width="32.28515625" style="49" customWidth="1"/>
    <col min="1295" max="1295" width="36.28515625" style="49" customWidth="1"/>
    <col min="1296" max="1296" width="16.28515625" style="49" customWidth="1"/>
    <col min="1297" max="1297" width="35.7109375" style="49" customWidth="1"/>
    <col min="1298" max="1298" width="36.28515625" style="49" customWidth="1"/>
    <col min="1299" max="1299" width="35.7109375" style="49" customWidth="1"/>
    <col min="1300" max="1300" width="36.28515625" style="49" customWidth="1"/>
    <col min="1301" max="1301" width="35.7109375" style="49" customWidth="1"/>
    <col min="1302" max="1302" width="36.28515625" style="49" customWidth="1"/>
    <col min="1303" max="1303" width="35.7109375" style="49" customWidth="1"/>
    <col min="1304" max="1304" width="36.28515625" style="49" customWidth="1"/>
    <col min="1305" max="1305" width="16.28515625" style="49" customWidth="1"/>
    <col min="1306" max="1306" width="78.42578125" style="49" bestFit="1" customWidth="1"/>
    <col min="1307" max="1307" width="52.7109375" style="49" bestFit="1" customWidth="1"/>
    <col min="1308" max="1536" width="11.42578125" style="49"/>
    <col min="1537" max="1537" width="25.85546875" style="49" customWidth="1"/>
    <col min="1538" max="1538" width="20.85546875" style="49" bestFit="1" customWidth="1"/>
    <col min="1539" max="1539" width="28.85546875" style="49" customWidth="1"/>
    <col min="1540" max="1540" width="23.7109375" style="49" customWidth="1"/>
    <col min="1541" max="1541" width="24.42578125" style="49" bestFit="1" customWidth="1"/>
    <col min="1542" max="1542" width="21.140625" style="49" customWidth="1"/>
    <col min="1543" max="1545" width="25.7109375" style="49" customWidth="1"/>
    <col min="1546" max="1546" width="19.5703125" style="49" customWidth="1"/>
    <col min="1547" max="1547" width="15.85546875" style="49" customWidth="1"/>
    <col min="1548" max="1548" width="3.140625" style="49" customWidth="1"/>
    <col min="1549" max="1549" width="28.85546875" style="49" customWidth="1"/>
    <col min="1550" max="1550" width="32.28515625" style="49" customWidth="1"/>
    <col min="1551" max="1551" width="36.28515625" style="49" customWidth="1"/>
    <col min="1552" max="1552" width="16.28515625" style="49" customWidth="1"/>
    <col min="1553" max="1553" width="35.7109375" style="49" customWidth="1"/>
    <col min="1554" max="1554" width="36.28515625" style="49" customWidth="1"/>
    <col min="1555" max="1555" width="35.7109375" style="49" customWidth="1"/>
    <col min="1556" max="1556" width="36.28515625" style="49" customWidth="1"/>
    <col min="1557" max="1557" width="35.7109375" style="49" customWidth="1"/>
    <col min="1558" max="1558" width="36.28515625" style="49" customWidth="1"/>
    <col min="1559" max="1559" width="35.7109375" style="49" customWidth="1"/>
    <col min="1560" max="1560" width="36.28515625" style="49" customWidth="1"/>
    <col min="1561" max="1561" width="16.28515625" style="49" customWidth="1"/>
    <col min="1562" max="1562" width="78.42578125" style="49" bestFit="1" customWidth="1"/>
    <col min="1563" max="1563" width="52.7109375" style="49" bestFit="1" customWidth="1"/>
    <col min="1564" max="1792" width="11.42578125" style="49"/>
    <col min="1793" max="1793" width="25.85546875" style="49" customWidth="1"/>
    <col min="1794" max="1794" width="20.85546875" style="49" bestFit="1" customWidth="1"/>
    <col min="1795" max="1795" width="28.85546875" style="49" customWidth="1"/>
    <col min="1796" max="1796" width="23.7109375" style="49" customWidth="1"/>
    <col min="1797" max="1797" width="24.42578125" style="49" bestFit="1" customWidth="1"/>
    <col min="1798" max="1798" width="21.140625" style="49" customWidth="1"/>
    <col min="1799" max="1801" width="25.7109375" style="49" customWidth="1"/>
    <col min="1802" max="1802" width="19.5703125" style="49" customWidth="1"/>
    <col min="1803" max="1803" width="15.85546875" style="49" customWidth="1"/>
    <col min="1804" max="1804" width="3.140625" style="49" customWidth="1"/>
    <col min="1805" max="1805" width="28.85546875" style="49" customWidth="1"/>
    <col min="1806" max="1806" width="32.28515625" style="49" customWidth="1"/>
    <col min="1807" max="1807" width="36.28515625" style="49" customWidth="1"/>
    <col min="1808" max="1808" width="16.28515625" style="49" customWidth="1"/>
    <col min="1809" max="1809" width="35.7109375" style="49" customWidth="1"/>
    <col min="1810" max="1810" width="36.28515625" style="49" customWidth="1"/>
    <col min="1811" max="1811" width="35.7109375" style="49" customWidth="1"/>
    <col min="1812" max="1812" width="36.28515625" style="49" customWidth="1"/>
    <col min="1813" max="1813" width="35.7109375" style="49" customWidth="1"/>
    <col min="1814" max="1814" width="36.28515625" style="49" customWidth="1"/>
    <col min="1815" max="1815" width="35.7109375" style="49" customWidth="1"/>
    <col min="1816" max="1816" width="36.28515625" style="49" customWidth="1"/>
    <col min="1817" max="1817" width="16.28515625" style="49" customWidth="1"/>
    <col min="1818" max="1818" width="78.42578125" style="49" bestFit="1" customWidth="1"/>
    <col min="1819" max="1819" width="52.7109375" style="49" bestFit="1" customWidth="1"/>
    <col min="1820" max="2048" width="11.42578125" style="49"/>
    <col min="2049" max="2049" width="25.85546875" style="49" customWidth="1"/>
    <col min="2050" max="2050" width="20.85546875" style="49" bestFit="1" customWidth="1"/>
    <col min="2051" max="2051" width="28.85546875" style="49" customWidth="1"/>
    <col min="2052" max="2052" width="23.7109375" style="49" customWidth="1"/>
    <col min="2053" max="2053" width="24.42578125" style="49" bestFit="1" customWidth="1"/>
    <col min="2054" max="2054" width="21.140625" style="49" customWidth="1"/>
    <col min="2055" max="2057" width="25.7109375" style="49" customWidth="1"/>
    <col min="2058" max="2058" width="19.5703125" style="49" customWidth="1"/>
    <col min="2059" max="2059" width="15.85546875" style="49" customWidth="1"/>
    <col min="2060" max="2060" width="3.140625" style="49" customWidth="1"/>
    <col min="2061" max="2061" width="28.85546875" style="49" customWidth="1"/>
    <col min="2062" max="2062" width="32.28515625" style="49" customWidth="1"/>
    <col min="2063" max="2063" width="36.28515625" style="49" customWidth="1"/>
    <col min="2064" max="2064" width="16.28515625" style="49" customWidth="1"/>
    <col min="2065" max="2065" width="35.7109375" style="49" customWidth="1"/>
    <col min="2066" max="2066" width="36.28515625" style="49" customWidth="1"/>
    <col min="2067" max="2067" width="35.7109375" style="49" customWidth="1"/>
    <col min="2068" max="2068" width="36.28515625" style="49" customWidth="1"/>
    <col min="2069" max="2069" width="35.7109375" style="49" customWidth="1"/>
    <col min="2070" max="2070" width="36.28515625" style="49" customWidth="1"/>
    <col min="2071" max="2071" width="35.7109375" style="49" customWidth="1"/>
    <col min="2072" max="2072" width="36.28515625" style="49" customWidth="1"/>
    <col min="2073" max="2073" width="16.28515625" style="49" customWidth="1"/>
    <col min="2074" max="2074" width="78.42578125" style="49" bestFit="1" customWidth="1"/>
    <col min="2075" max="2075" width="52.7109375" style="49" bestFit="1" customWidth="1"/>
    <col min="2076" max="2304" width="11.42578125" style="49"/>
    <col min="2305" max="2305" width="25.85546875" style="49" customWidth="1"/>
    <col min="2306" max="2306" width="20.85546875" style="49" bestFit="1" customWidth="1"/>
    <col min="2307" max="2307" width="28.85546875" style="49" customWidth="1"/>
    <col min="2308" max="2308" width="23.7109375" style="49" customWidth="1"/>
    <col min="2309" max="2309" width="24.42578125" style="49" bestFit="1" customWidth="1"/>
    <col min="2310" max="2310" width="21.140625" style="49" customWidth="1"/>
    <col min="2311" max="2313" width="25.7109375" style="49" customWidth="1"/>
    <col min="2314" max="2314" width="19.5703125" style="49" customWidth="1"/>
    <col min="2315" max="2315" width="15.85546875" style="49" customWidth="1"/>
    <col min="2316" max="2316" width="3.140625" style="49" customWidth="1"/>
    <col min="2317" max="2317" width="28.85546875" style="49" customWidth="1"/>
    <col min="2318" max="2318" width="32.28515625" style="49" customWidth="1"/>
    <col min="2319" max="2319" width="36.28515625" style="49" customWidth="1"/>
    <col min="2320" max="2320" width="16.28515625" style="49" customWidth="1"/>
    <col min="2321" max="2321" width="35.7109375" style="49" customWidth="1"/>
    <col min="2322" max="2322" width="36.28515625" style="49" customWidth="1"/>
    <col min="2323" max="2323" width="35.7109375" style="49" customWidth="1"/>
    <col min="2324" max="2324" width="36.28515625" style="49" customWidth="1"/>
    <col min="2325" max="2325" width="35.7109375" style="49" customWidth="1"/>
    <col min="2326" max="2326" width="36.28515625" style="49" customWidth="1"/>
    <col min="2327" max="2327" width="35.7109375" style="49" customWidth="1"/>
    <col min="2328" max="2328" width="36.28515625" style="49" customWidth="1"/>
    <col min="2329" max="2329" width="16.28515625" style="49" customWidth="1"/>
    <col min="2330" max="2330" width="78.42578125" style="49" bestFit="1" customWidth="1"/>
    <col min="2331" max="2331" width="52.7109375" style="49" bestFit="1" customWidth="1"/>
    <col min="2332" max="2560" width="11.42578125" style="49"/>
    <col min="2561" max="2561" width="25.85546875" style="49" customWidth="1"/>
    <col min="2562" max="2562" width="20.85546875" style="49" bestFit="1" customWidth="1"/>
    <col min="2563" max="2563" width="28.85546875" style="49" customWidth="1"/>
    <col min="2564" max="2564" width="23.7109375" style="49" customWidth="1"/>
    <col min="2565" max="2565" width="24.42578125" style="49" bestFit="1" customWidth="1"/>
    <col min="2566" max="2566" width="21.140625" style="49" customWidth="1"/>
    <col min="2567" max="2569" width="25.7109375" style="49" customWidth="1"/>
    <col min="2570" max="2570" width="19.5703125" style="49" customWidth="1"/>
    <col min="2571" max="2571" width="15.85546875" style="49" customWidth="1"/>
    <col min="2572" max="2572" width="3.140625" style="49" customWidth="1"/>
    <col min="2573" max="2573" width="28.85546875" style="49" customWidth="1"/>
    <col min="2574" max="2574" width="32.28515625" style="49" customWidth="1"/>
    <col min="2575" max="2575" width="36.28515625" style="49" customWidth="1"/>
    <col min="2576" max="2576" width="16.28515625" style="49" customWidth="1"/>
    <col min="2577" max="2577" width="35.7109375" style="49" customWidth="1"/>
    <col min="2578" max="2578" width="36.28515625" style="49" customWidth="1"/>
    <col min="2579" max="2579" width="35.7109375" style="49" customWidth="1"/>
    <col min="2580" max="2580" width="36.28515625" style="49" customWidth="1"/>
    <col min="2581" max="2581" width="35.7109375" style="49" customWidth="1"/>
    <col min="2582" max="2582" width="36.28515625" style="49" customWidth="1"/>
    <col min="2583" max="2583" width="35.7109375" style="49" customWidth="1"/>
    <col min="2584" max="2584" width="36.28515625" style="49" customWidth="1"/>
    <col min="2585" max="2585" width="16.28515625" style="49" customWidth="1"/>
    <col min="2586" max="2586" width="78.42578125" style="49" bestFit="1" customWidth="1"/>
    <col min="2587" max="2587" width="52.7109375" style="49" bestFit="1" customWidth="1"/>
    <col min="2588" max="2816" width="11.42578125" style="49"/>
    <col min="2817" max="2817" width="25.85546875" style="49" customWidth="1"/>
    <col min="2818" max="2818" width="20.85546875" style="49" bestFit="1" customWidth="1"/>
    <col min="2819" max="2819" width="28.85546875" style="49" customWidth="1"/>
    <col min="2820" max="2820" width="23.7109375" style="49" customWidth="1"/>
    <col min="2821" max="2821" width="24.42578125" style="49" bestFit="1" customWidth="1"/>
    <col min="2822" max="2822" width="21.140625" style="49" customWidth="1"/>
    <col min="2823" max="2825" width="25.7109375" style="49" customWidth="1"/>
    <col min="2826" max="2826" width="19.5703125" style="49" customWidth="1"/>
    <col min="2827" max="2827" width="15.85546875" style="49" customWidth="1"/>
    <col min="2828" max="2828" width="3.140625" style="49" customWidth="1"/>
    <col min="2829" max="2829" width="28.85546875" style="49" customWidth="1"/>
    <col min="2830" max="2830" width="32.28515625" style="49" customWidth="1"/>
    <col min="2831" max="2831" width="36.28515625" style="49" customWidth="1"/>
    <col min="2832" max="2832" width="16.28515625" style="49" customWidth="1"/>
    <col min="2833" max="2833" width="35.7109375" style="49" customWidth="1"/>
    <col min="2834" max="2834" width="36.28515625" style="49" customWidth="1"/>
    <col min="2835" max="2835" width="35.7109375" style="49" customWidth="1"/>
    <col min="2836" max="2836" width="36.28515625" style="49" customWidth="1"/>
    <col min="2837" max="2837" width="35.7109375" style="49" customWidth="1"/>
    <col min="2838" max="2838" width="36.28515625" style="49" customWidth="1"/>
    <col min="2839" max="2839" width="35.7109375" style="49" customWidth="1"/>
    <col min="2840" max="2840" width="36.28515625" style="49" customWidth="1"/>
    <col min="2841" max="2841" width="16.28515625" style="49" customWidth="1"/>
    <col min="2842" max="2842" width="78.42578125" style="49" bestFit="1" customWidth="1"/>
    <col min="2843" max="2843" width="52.7109375" style="49" bestFit="1" customWidth="1"/>
    <col min="2844" max="3072" width="11.42578125" style="49"/>
    <col min="3073" max="3073" width="25.85546875" style="49" customWidth="1"/>
    <col min="3074" max="3074" width="20.85546875" style="49" bestFit="1" customWidth="1"/>
    <col min="3075" max="3075" width="28.85546875" style="49" customWidth="1"/>
    <col min="3076" max="3076" width="23.7109375" style="49" customWidth="1"/>
    <col min="3077" max="3077" width="24.42578125" style="49" bestFit="1" customWidth="1"/>
    <col min="3078" max="3078" width="21.140625" style="49" customWidth="1"/>
    <col min="3079" max="3081" width="25.7109375" style="49" customWidth="1"/>
    <col min="3082" max="3082" width="19.5703125" style="49" customWidth="1"/>
    <col min="3083" max="3083" width="15.85546875" style="49" customWidth="1"/>
    <col min="3084" max="3084" width="3.140625" style="49" customWidth="1"/>
    <col min="3085" max="3085" width="28.85546875" style="49" customWidth="1"/>
    <col min="3086" max="3086" width="32.28515625" style="49" customWidth="1"/>
    <col min="3087" max="3087" width="36.28515625" style="49" customWidth="1"/>
    <col min="3088" max="3088" width="16.28515625" style="49" customWidth="1"/>
    <col min="3089" max="3089" width="35.7109375" style="49" customWidth="1"/>
    <col min="3090" max="3090" width="36.28515625" style="49" customWidth="1"/>
    <col min="3091" max="3091" width="35.7109375" style="49" customWidth="1"/>
    <col min="3092" max="3092" width="36.28515625" style="49" customWidth="1"/>
    <col min="3093" max="3093" width="35.7109375" style="49" customWidth="1"/>
    <col min="3094" max="3094" width="36.28515625" style="49" customWidth="1"/>
    <col min="3095" max="3095" width="35.7109375" style="49" customWidth="1"/>
    <col min="3096" max="3096" width="36.28515625" style="49" customWidth="1"/>
    <col min="3097" max="3097" width="16.28515625" style="49" customWidth="1"/>
    <col min="3098" max="3098" width="78.42578125" style="49" bestFit="1" customWidth="1"/>
    <col min="3099" max="3099" width="52.7109375" style="49" bestFit="1" customWidth="1"/>
    <col min="3100" max="3328" width="11.42578125" style="49"/>
    <col min="3329" max="3329" width="25.85546875" style="49" customWidth="1"/>
    <col min="3330" max="3330" width="20.85546875" style="49" bestFit="1" customWidth="1"/>
    <col min="3331" max="3331" width="28.85546875" style="49" customWidth="1"/>
    <col min="3332" max="3332" width="23.7109375" style="49" customWidth="1"/>
    <col min="3333" max="3333" width="24.42578125" style="49" bestFit="1" customWidth="1"/>
    <col min="3334" max="3334" width="21.140625" style="49" customWidth="1"/>
    <col min="3335" max="3337" width="25.7109375" style="49" customWidth="1"/>
    <col min="3338" max="3338" width="19.5703125" style="49" customWidth="1"/>
    <col min="3339" max="3339" width="15.85546875" style="49" customWidth="1"/>
    <col min="3340" max="3340" width="3.140625" style="49" customWidth="1"/>
    <col min="3341" max="3341" width="28.85546875" style="49" customWidth="1"/>
    <col min="3342" max="3342" width="32.28515625" style="49" customWidth="1"/>
    <col min="3343" max="3343" width="36.28515625" style="49" customWidth="1"/>
    <col min="3344" max="3344" width="16.28515625" style="49" customWidth="1"/>
    <col min="3345" max="3345" width="35.7109375" style="49" customWidth="1"/>
    <col min="3346" max="3346" width="36.28515625" style="49" customWidth="1"/>
    <col min="3347" max="3347" width="35.7109375" style="49" customWidth="1"/>
    <col min="3348" max="3348" width="36.28515625" style="49" customWidth="1"/>
    <col min="3349" max="3349" width="35.7109375" style="49" customWidth="1"/>
    <col min="3350" max="3350" width="36.28515625" style="49" customWidth="1"/>
    <col min="3351" max="3351" width="35.7109375" style="49" customWidth="1"/>
    <col min="3352" max="3352" width="36.28515625" style="49" customWidth="1"/>
    <col min="3353" max="3353" width="16.28515625" style="49" customWidth="1"/>
    <col min="3354" max="3354" width="78.42578125" style="49" bestFit="1" customWidth="1"/>
    <col min="3355" max="3355" width="52.7109375" style="49" bestFit="1" customWidth="1"/>
    <col min="3356" max="3584" width="11.42578125" style="49"/>
    <col min="3585" max="3585" width="25.85546875" style="49" customWidth="1"/>
    <col min="3586" max="3586" width="20.85546875" style="49" bestFit="1" customWidth="1"/>
    <col min="3587" max="3587" width="28.85546875" style="49" customWidth="1"/>
    <col min="3588" max="3588" width="23.7109375" style="49" customWidth="1"/>
    <col min="3589" max="3589" width="24.42578125" style="49" bestFit="1" customWidth="1"/>
    <col min="3590" max="3590" width="21.140625" style="49" customWidth="1"/>
    <col min="3591" max="3593" width="25.7109375" style="49" customWidth="1"/>
    <col min="3594" max="3594" width="19.5703125" style="49" customWidth="1"/>
    <col min="3595" max="3595" width="15.85546875" style="49" customWidth="1"/>
    <col min="3596" max="3596" width="3.140625" style="49" customWidth="1"/>
    <col min="3597" max="3597" width="28.85546875" style="49" customWidth="1"/>
    <col min="3598" max="3598" width="32.28515625" style="49" customWidth="1"/>
    <col min="3599" max="3599" width="36.28515625" style="49" customWidth="1"/>
    <col min="3600" max="3600" width="16.28515625" style="49" customWidth="1"/>
    <col min="3601" max="3601" width="35.7109375" style="49" customWidth="1"/>
    <col min="3602" max="3602" width="36.28515625" style="49" customWidth="1"/>
    <col min="3603" max="3603" width="35.7109375" style="49" customWidth="1"/>
    <col min="3604" max="3604" width="36.28515625" style="49" customWidth="1"/>
    <col min="3605" max="3605" width="35.7109375" style="49" customWidth="1"/>
    <col min="3606" max="3606" width="36.28515625" style="49" customWidth="1"/>
    <col min="3607" max="3607" width="35.7109375" style="49" customWidth="1"/>
    <col min="3608" max="3608" width="36.28515625" style="49" customWidth="1"/>
    <col min="3609" max="3609" width="16.28515625" style="49" customWidth="1"/>
    <col min="3610" max="3610" width="78.42578125" style="49" bestFit="1" customWidth="1"/>
    <col min="3611" max="3611" width="52.7109375" style="49" bestFit="1" customWidth="1"/>
    <col min="3612" max="3840" width="11.42578125" style="49"/>
    <col min="3841" max="3841" width="25.85546875" style="49" customWidth="1"/>
    <col min="3842" max="3842" width="20.85546875" style="49" bestFit="1" customWidth="1"/>
    <col min="3843" max="3843" width="28.85546875" style="49" customWidth="1"/>
    <col min="3844" max="3844" width="23.7109375" style="49" customWidth="1"/>
    <col min="3845" max="3845" width="24.42578125" style="49" bestFit="1" customWidth="1"/>
    <col min="3846" max="3846" width="21.140625" style="49" customWidth="1"/>
    <col min="3847" max="3849" width="25.7109375" style="49" customWidth="1"/>
    <col min="3850" max="3850" width="19.5703125" style="49" customWidth="1"/>
    <col min="3851" max="3851" width="15.85546875" style="49" customWidth="1"/>
    <col min="3852" max="3852" width="3.140625" style="49" customWidth="1"/>
    <col min="3853" max="3853" width="28.85546875" style="49" customWidth="1"/>
    <col min="3854" max="3854" width="32.28515625" style="49" customWidth="1"/>
    <col min="3855" max="3855" width="36.28515625" style="49" customWidth="1"/>
    <col min="3856" max="3856" width="16.28515625" style="49" customWidth="1"/>
    <col min="3857" max="3857" width="35.7109375" style="49" customWidth="1"/>
    <col min="3858" max="3858" width="36.28515625" style="49" customWidth="1"/>
    <col min="3859" max="3859" width="35.7109375" style="49" customWidth="1"/>
    <col min="3860" max="3860" width="36.28515625" style="49" customWidth="1"/>
    <col min="3861" max="3861" width="35.7109375" style="49" customWidth="1"/>
    <col min="3862" max="3862" width="36.28515625" style="49" customWidth="1"/>
    <col min="3863" max="3863" width="35.7109375" style="49" customWidth="1"/>
    <col min="3864" max="3864" width="36.28515625" style="49" customWidth="1"/>
    <col min="3865" max="3865" width="16.28515625" style="49" customWidth="1"/>
    <col min="3866" max="3866" width="78.42578125" style="49" bestFit="1" customWidth="1"/>
    <col min="3867" max="3867" width="52.7109375" style="49" bestFit="1" customWidth="1"/>
    <col min="3868" max="4096" width="11.42578125" style="49"/>
    <col min="4097" max="4097" width="25.85546875" style="49" customWidth="1"/>
    <col min="4098" max="4098" width="20.85546875" style="49" bestFit="1" customWidth="1"/>
    <col min="4099" max="4099" width="28.85546875" style="49" customWidth="1"/>
    <col min="4100" max="4100" width="23.7109375" style="49" customWidth="1"/>
    <col min="4101" max="4101" width="24.42578125" style="49" bestFit="1" customWidth="1"/>
    <col min="4102" max="4102" width="21.140625" style="49" customWidth="1"/>
    <col min="4103" max="4105" width="25.7109375" style="49" customWidth="1"/>
    <col min="4106" max="4106" width="19.5703125" style="49" customWidth="1"/>
    <col min="4107" max="4107" width="15.85546875" style="49" customWidth="1"/>
    <col min="4108" max="4108" width="3.140625" style="49" customWidth="1"/>
    <col min="4109" max="4109" width="28.85546875" style="49" customWidth="1"/>
    <col min="4110" max="4110" width="32.28515625" style="49" customWidth="1"/>
    <col min="4111" max="4111" width="36.28515625" style="49" customWidth="1"/>
    <col min="4112" max="4112" width="16.28515625" style="49" customWidth="1"/>
    <col min="4113" max="4113" width="35.7109375" style="49" customWidth="1"/>
    <col min="4114" max="4114" width="36.28515625" style="49" customWidth="1"/>
    <col min="4115" max="4115" width="35.7109375" style="49" customWidth="1"/>
    <col min="4116" max="4116" width="36.28515625" style="49" customWidth="1"/>
    <col min="4117" max="4117" width="35.7109375" style="49" customWidth="1"/>
    <col min="4118" max="4118" width="36.28515625" style="49" customWidth="1"/>
    <col min="4119" max="4119" width="35.7109375" style="49" customWidth="1"/>
    <col min="4120" max="4120" width="36.28515625" style="49" customWidth="1"/>
    <col min="4121" max="4121" width="16.28515625" style="49" customWidth="1"/>
    <col min="4122" max="4122" width="78.42578125" style="49" bestFit="1" customWidth="1"/>
    <col min="4123" max="4123" width="52.7109375" style="49" bestFit="1" customWidth="1"/>
    <col min="4124" max="4352" width="11.42578125" style="49"/>
    <col min="4353" max="4353" width="25.85546875" style="49" customWidth="1"/>
    <col min="4354" max="4354" width="20.85546875" style="49" bestFit="1" customWidth="1"/>
    <col min="4355" max="4355" width="28.85546875" style="49" customWidth="1"/>
    <col min="4356" max="4356" width="23.7109375" style="49" customWidth="1"/>
    <col min="4357" max="4357" width="24.42578125" style="49" bestFit="1" customWidth="1"/>
    <col min="4358" max="4358" width="21.140625" style="49" customWidth="1"/>
    <col min="4359" max="4361" width="25.7109375" style="49" customWidth="1"/>
    <col min="4362" max="4362" width="19.5703125" style="49" customWidth="1"/>
    <col min="4363" max="4363" width="15.85546875" style="49" customWidth="1"/>
    <col min="4364" max="4364" width="3.140625" style="49" customWidth="1"/>
    <col min="4365" max="4365" width="28.85546875" style="49" customWidth="1"/>
    <col min="4366" max="4366" width="32.28515625" style="49" customWidth="1"/>
    <col min="4367" max="4367" width="36.28515625" style="49" customWidth="1"/>
    <col min="4368" max="4368" width="16.28515625" style="49" customWidth="1"/>
    <col min="4369" max="4369" width="35.7109375" style="49" customWidth="1"/>
    <col min="4370" max="4370" width="36.28515625" style="49" customWidth="1"/>
    <col min="4371" max="4371" width="35.7109375" style="49" customWidth="1"/>
    <col min="4372" max="4372" width="36.28515625" style="49" customWidth="1"/>
    <col min="4373" max="4373" width="35.7109375" style="49" customWidth="1"/>
    <col min="4374" max="4374" width="36.28515625" style="49" customWidth="1"/>
    <col min="4375" max="4375" width="35.7109375" style="49" customWidth="1"/>
    <col min="4376" max="4376" width="36.28515625" style="49" customWidth="1"/>
    <col min="4377" max="4377" width="16.28515625" style="49" customWidth="1"/>
    <col min="4378" max="4378" width="78.42578125" style="49" bestFit="1" customWidth="1"/>
    <col min="4379" max="4379" width="52.7109375" style="49" bestFit="1" customWidth="1"/>
    <col min="4380" max="4608" width="11.42578125" style="49"/>
    <col min="4609" max="4609" width="25.85546875" style="49" customWidth="1"/>
    <col min="4610" max="4610" width="20.85546875" style="49" bestFit="1" customWidth="1"/>
    <col min="4611" max="4611" width="28.85546875" style="49" customWidth="1"/>
    <col min="4612" max="4612" width="23.7109375" style="49" customWidth="1"/>
    <col min="4613" max="4613" width="24.42578125" style="49" bestFit="1" customWidth="1"/>
    <col min="4614" max="4614" width="21.140625" style="49" customWidth="1"/>
    <col min="4615" max="4617" width="25.7109375" style="49" customWidth="1"/>
    <col min="4618" max="4618" width="19.5703125" style="49" customWidth="1"/>
    <col min="4619" max="4619" width="15.85546875" style="49" customWidth="1"/>
    <col min="4620" max="4620" width="3.140625" style="49" customWidth="1"/>
    <col min="4621" max="4621" width="28.85546875" style="49" customWidth="1"/>
    <col min="4622" max="4622" width="32.28515625" style="49" customWidth="1"/>
    <col min="4623" max="4623" width="36.28515625" style="49" customWidth="1"/>
    <col min="4624" max="4624" width="16.28515625" style="49" customWidth="1"/>
    <col min="4625" max="4625" width="35.7109375" style="49" customWidth="1"/>
    <col min="4626" max="4626" width="36.28515625" style="49" customWidth="1"/>
    <col min="4627" max="4627" width="35.7109375" style="49" customWidth="1"/>
    <col min="4628" max="4628" width="36.28515625" style="49" customWidth="1"/>
    <col min="4629" max="4629" width="35.7109375" style="49" customWidth="1"/>
    <col min="4630" max="4630" width="36.28515625" style="49" customWidth="1"/>
    <col min="4631" max="4631" width="35.7109375" style="49" customWidth="1"/>
    <col min="4632" max="4632" width="36.28515625" style="49" customWidth="1"/>
    <col min="4633" max="4633" width="16.28515625" style="49" customWidth="1"/>
    <col min="4634" max="4634" width="78.42578125" style="49" bestFit="1" customWidth="1"/>
    <col min="4635" max="4635" width="52.7109375" style="49" bestFit="1" customWidth="1"/>
    <col min="4636" max="4864" width="11.42578125" style="49"/>
    <col min="4865" max="4865" width="25.85546875" style="49" customWidth="1"/>
    <col min="4866" max="4866" width="20.85546875" style="49" bestFit="1" customWidth="1"/>
    <col min="4867" max="4867" width="28.85546875" style="49" customWidth="1"/>
    <col min="4868" max="4868" width="23.7109375" style="49" customWidth="1"/>
    <col min="4869" max="4869" width="24.42578125" style="49" bestFit="1" customWidth="1"/>
    <col min="4870" max="4870" width="21.140625" style="49" customWidth="1"/>
    <col min="4871" max="4873" width="25.7109375" style="49" customWidth="1"/>
    <col min="4874" max="4874" width="19.5703125" style="49" customWidth="1"/>
    <col min="4875" max="4875" width="15.85546875" style="49" customWidth="1"/>
    <col min="4876" max="4876" width="3.140625" style="49" customWidth="1"/>
    <col min="4877" max="4877" width="28.85546875" style="49" customWidth="1"/>
    <col min="4878" max="4878" width="32.28515625" style="49" customWidth="1"/>
    <col min="4879" max="4879" width="36.28515625" style="49" customWidth="1"/>
    <col min="4880" max="4880" width="16.28515625" style="49" customWidth="1"/>
    <col min="4881" max="4881" width="35.7109375" style="49" customWidth="1"/>
    <col min="4882" max="4882" width="36.28515625" style="49" customWidth="1"/>
    <col min="4883" max="4883" width="35.7109375" style="49" customWidth="1"/>
    <col min="4884" max="4884" width="36.28515625" style="49" customWidth="1"/>
    <col min="4885" max="4885" width="35.7109375" style="49" customWidth="1"/>
    <col min="4886" max="4886" width="36.28515625" style="49" customWidth="1"/>
    <col min="4887" max="4887" width="35.7109375" style="49" customWidth="1"/>
    <col min="4888" max="4888" width="36.28515625" style="49" customWidth="1"/>
    <col min="4889" max="4889" width="16.28515625" style="49" customWidth="1"/>
    <col min="4890" max="4890" width="78.42578125" style="49" bestFit="1" customWidth="1"/>
    <col min="4891" max="4891" width="52.7109375" style="49" bestFit="1" customWidth="1"/>
    <col min="4892" max="5120" width="11.42578125" style="49"/>
    <col min="5121" max="5121" width="25.85546875" style="49" customWidth="1"/>
    <col min="5122" max="5122" width="20.85546875" style="49" bestFit="1" customWidth="1"/>
    <col min="5123" max="5123" width="28.85546875" style="49" customWidth="1"/>
    <col min="5124" max="5124" width="23.7109375" style="49" customWidth="1"/>
    <col min="5125" max="5125" width="24.42578125" style="49" bestFit="1" customWidth="1"/>
    <col min="5126" max="5126" width="21.140625" style="49" customWidth="1"/>
    <col min="5127" max="5129" width="25.7109375" style="49" customWidth="1"/>
    <col min="5130" max="5130" width="19.5703125" style="49" customWidth="1"/>
    <col min="5131" max="5131" width="15.85546875" style="49" customWidth="1"/>
    <col min="5132" max="5132" width="3.140625" style="49" customWidth="1"/>
    <col min="5133" max="5133" width="28.85546875" style="49" customWidth="1"/>
    <col min="5134" max="5134" width="32.28515625" style="49" customWidth="1"/>
    <col min="5135" max="5135" width="36.28515625" style="49" customWidth="1"/>
    <col min="5136" max="5136" width="16.28515625" style="49" customWidth="1"/>
    <col min="5137" max="5137" width="35.7109375" style="49" customWidth="1"/>
    <col min="5138" max="5138" width="36.28515625" style="49" customWidth="1"/>
    <col min="5139" max="5139" width="35.7109375" style="49" customWidth="1"/>
    <col min="5140" max="5140" width="36.28515625" style="49" customWidth="1"/>
    <col min="5141" max="5141" width="35.7109375" style="49" customWidth="1"/>
    <col min="5142" max="5142" width="36.28515625" style="49" customWidth="1"/>
    <col min="5143" max="5143" width="35.7109375" style="49" customWidth="1"/>
    <col min="5144" max="5144" width="36.28515625" style="49" customWidth="1"/>
    <col min="5145" max="5145" width="16.28515625" style="49" customWidth="1"/>
    <col min="5146" max="5146" width="78.42578125" style="49" bestFit="1" customWidth="1"/>
    <col min="5147" max="5147" width="52.7109375" style="49" bestFit="1" customWidth="1"/>
    <col min="5148" max="5376" width="11.42578125" style="49"/>
    <col min="5377" max="5377" width="25.85546875" style="49" customWidth="1"/>
    <col min="5378" max="5378" width="20.85546875" style="49" bestFit="1" customWidth="1"/>
    <col min="5379" max="5379" width="28.85546875" style="49" customWidth="1"/>
    <col min="5380" max="5380" width="23.7109375" style="49" customWidth="1"/>
    <col min="5381" max="5381" width="24.42578125" style="49" bestFit="1" customWidth="1"/>
    <col min="5382" max="5382" width="21.140625" style="49" customWidth="1"/>
    <col min="5383" max="5385" width="25.7109375" style="49" customWidth="1"/>
    <col min="5386" max="5386" width="19.5703125" style="49" customWidth="1"/>
    <col min="5387" max="5387" width="15.85546875" style="49" customWidth="1"/>
    <col min="5388" max="5388" width="3.140625" style="49" customWidth="1"/>
    <col min="5389" max="5389" width="28.85546875" style="49" customWidth="1"/>
    <col min="5390" max="5390" width="32.28515625" style="49" customWidth="1"/>
    <col min="5391" max="5391" width="36.28515625" style="49" customWidth="1"/>
    <col min="5392" max="5392" width="16.28515625" style="49" customWidth="1"/>
    <col min="5393" max="5393" width="35.7109375" style="49" customWidth="1"/>
    <col min="5394" max="5394" width="36.28515625" style="49" customWidth="1"/>
    <col min="5395" max="5395" width="35.7109375" style="49" customWidth="1"/>
    <col min="5396" max="5396" width="36.28515625" style="49" customWidth="1"/>
    <col min="5397" max="5397" width="35.7109375" style="49" customWidth="1"/>
    <col min="5398" max="5398" width="36.28515625" style="49" customWidth="1"/>
    <col min="5399" max="5399" width="35.7109375" style="49" customWidth="1"/>
    <col min="5400" max="5400" width="36.28515625" style="49" customWidth="1"/>
    <col min="5401" max="5401" width="16.28515625" style="49" customWidth="1"/>
    <col min="5402" max="5402" width="78.42578125" style="49" bestFit="1" customWidth="1"/>
    <col min="5403" max="5403" width="52.7109375" style="49" bestFit="1" customWidth="1"/>
    <col min="5404" max="5632" width="11.42578125" style="49"/>
    <col min="5633" max="5633" width="25.85546875" style="49" customWidth="1"/>
    <col min="5634" max="5634" width="20.85546875" style="49" bestFit="1" customWidth="1"/>
    <col min="5635" max="5635" width="28.85546875" style="49" customWidth="1"/>
    <col min="5636" max="5636" width="23.7109375" style="49" customWidth="1"/>
    <col min="5637" max="5637" width="24.42578125" style="49" bestFit="1" customWidth="1"/>
    <col min="5638" max="5638" width="21.140625" style="49" customWidth="1"/>
    <col min="5639" max="5641" width="25.7109375" style="49" customWidth="1"/>
    <col min="5642" max="5642" width="19.5703125" style="49" customWidth="1"/>
    <col min="5643" max="5643" width="15.85546875" style="49" customWidth="1"/>
    <col min="5644" max="5644" width="3.140625" style="49" customWidth="1"/>
    <col min="5645" max="5645" width="28.85546875" style="49" customWidth="1"/>
    <col min="5646" max="5646" width="32.28515625" style="49" customWidth="1"/>
    <col min="5647" max="5647" width="36.28515625" style="49" customWidth="1"/>
    <col min="5648" max="5648" width="16.28515625" style="49" customWidth="1"/>
    <col min="5649" max="5649" width="35.7109375" style="49" customWidth="1"/>
    <col min="5650" max="5650" width="36.28515625" style="49" customWidth="1"/>
    <col min="5651" max="5651" width="35.7109375" style="49" customWidth="1"/>
    <col min="5652" max="5652" width="36.28515625" style="49" customWidth="1"/>
    <col min="5653" max="5653" width="35.7109375" style="49" customWidth="1"/>
    <col min="5654" max="5654" width="36.28515625" style="49" customWidth="1"/>
    <col min="5655" max="5655" width="35.7109375" style="49" customWidth="1"/>
    <col min="5656" max="5656" width="36.28515625" style="49" customWidth="1"/>
    <col min="5657" max="5657" width="16.28515625" style="49" customWidth="1"/>
    <col min="5658" max="5658" width="78.42578125" style="49" bestFit="1" customWidth="1"/>
    <col min="5659" max="5659" width="52.7109375" style="49" bestFit="1" customWidth="1"/>
    <col min="5660" max="5888" width="11.42578125" style="49"/>
    <col min="5889" max="5889" width="25.85546875" style="49" customWidth="1"/>
    <col min="5890" max="5890" width="20.85546875" style="49" bestFit="1" customWidth="1"/>
    <col min="5891" max="5891" width="28.85546875" style="49" customWidth="1"/>
    <col min="5892" max="5892" width="23.7109375" style="49" customWidth="1"/>
    <col min="5893" max="5893" width="24.42578125" style="49" bestFit="1" customWidth="1"/>
    <col min="5894" max="5894" width="21.140625" style="49" customWidth="1"/>
    <col min="5895" max="5897" width="25.7109375" style="49" customWidth="1"/>
    <col min="5898" max="5898" width="19.5703125" style="49" customWidth="1"/>
    <col min="5899" max="5899" width="15.85546875" style="49" customWidth="1"/>
    <col min="5900" max="5900" width="3.140625" style="49" customWidth="1"/>
    <col min="5901" max="5901" width="28.85546875" style="49" customWidth="1"/>
    <col min="5902" max="5902" width="32.28515625" style="49" customWidth="1"/>
    <col min="5903" max="5903" width="36.28515625" style="49" customWidth="1"/>
    <col min="5904" max="5904" width="16.28515625" style="49" customWidth="1"/>
    <col min="5905" max="5905" width="35.7109375" style="49" customWidth="1"/>
    <col min="5906" max="5906" width="36.28515625" style="49" customWidth="1"/>
    <col min="5907" max="5907" width="35.7109375" style="49" customWidth="1"/>
    <col min="5908" max="5908" width="36.28515625" style="49" customWidth="1"/>
    <col min="5909" max="5909" width="35.7109375" style="49" customWidth="1"/>
    <col min="5910" max="5910" width="36.28515625" style="49" customWidth="1"/>
    <col min="5911" max="5911" width="35.7109375" style="49" customWidth="1"/>
    <col min="5912" max="5912" width="36.28515625" style="49" customWidth="1"/>
    <col min="5913" max="5913" width="16.28515625" style="49" customWidth="1"/>
    <col min="5914" max="5914" width="78.42578125" style="49" bestFit="1" customWidth="1"/>
    <col min="5915" max="5915" width="52.7109375" style="49" bestFit="1" customWidth="1"/>
    <col min="5916" max="6144" width="11.42578125" style="49"/>
    <col min="6145" max="6145" width="25.85546875" style="49" customWidth="1"/>
    <col min="6146" max="6146" width="20.85546875" style="49" bestFit="1" customWidth="1"/>
    <col min="6147" max="6147" width="28.85546875" style="49" customWidth="1"/>
    <col min="6148" max="6148" width="23.7109375" style="49" customWidth="1"/>
    <col min="6149" max="6149" width="24.42578125" style="49" bestFit="1" customWidth="1"/>
    <col min="6150" max="6150" width="21.140625" style="49" customWidth="1"/>
    <col min="6151" max="6153" width="25.7109375" style="49" customWidth="1"/>
    <col min="6154" max="6154" width="19.5703125" style="49" customWidth="1"/>
    <col min="6155" max="6155" width="15.85546875" style="49" customWidth="1"/>
    <col min="6156" max="6156" width="3.140625" style="49" customWidth="1"/>
    <col min="6157" max="6157" width="28.85546875" style="49" customWidth="1"/>
    <col min="6158" max="6158" width="32.28515625" style="49" customWidth="1"/>
    <col min="6159" max="6159" width="36.28515625" style="49" customWidth="1"/>
    <col min="6160" max="6160" width="16.28515625" style="49" customWidth="1"/>
    <col min="6161" max="6161" width="35.7109375" style="49" customWidth="1"/>
    <col min="6162" max="6162" width="36.28515625" style="49" customWidth="1"/>
    <col min="6163" max="6163" width="35.7109375" style="49" customWidth="1"/>
    <col min="6164" max="6164" width="36.28515625" style="49" customWidth="1"/>
    <col min="6165" max="6165" width="35.7109375" style="49" customWidth="1"/>
    <col min="6166" max="6166" width="36.28515625" style="49" customWidth="1"/>
    <col min="6167" max="6167" width="35.7109375" style="49" customWidth="1"/>
    <col min="6168" max="6168" width="36.28515625" style="49" customWidth="1"/>
    <col min="6169" max="6169" width="16.28515625" style="49" customWidth="1"/>
    <col min="6170" max="6170" width="78.42578125" style="49" bestFit="1" customWidth="1"/>
    <col min="6171" max="6171" width="52.7109375" style="49" bestFit="1" customWidth="1"/>
    <col min="6172" max="6400" width="11.42578125" style="49"/>
    <col min="6401" max="6401" width="25.85546875" style="49" customWidth="1"/>
    <col min="6402" max="6402" width="20.85546875" style="49" bestFit="1" customWidth="1"/>
    <col min="6403" max="6403" width="28.85546875" style="49" customWidth="1"/>
    <col min="6404" max="6404" width="23.7109375" style="49" customWidth="1"/>
    <col min="6405" max="6405" width="24.42578125" style="49" bestFit="1" customWidth="1"/>
    <col min="6406" max="6406" width="21.140625" style="49" customWidth="1"/>
    <col min="6407" max="6409" width="25.7109375" style="49" customWidth="1"/>
    <col min="6410" max="6410" width="19.5703125" style="49" customWidth="1"/>
    <col min="6411" max="6411" width="15.85546875" style="49" customWidth="1"/>
    <col min="6412" max="6412" width="3.140625" style="49" customWidth="1"/>
    <col min="6413" max="6413" width="28.85546875" style="49" customWidth="1"/>
    <col min="6414" max="6414" width="32.28515625" style="49" customWidth="1"/>
    <col min="6415" max="6415" width="36.28515625" style="49" customWidth="1"/>
    <col min="6416" max="6416" width="16.28515625" style="49" customWidth="1"/>
    <col min="6417" max="6417" width="35.7109375" style="49" customWidth="1"/>
    <col min="6418" max="6418" width="36.28515625" style="49" customWidth="1"/>
    <col min="6419" max="6419" width="35.7109375" style="49" customWidth="1"/>
    <col min="6420" max="6420" width="36.28515625" style="49" customWidth="1"/>
    <col min="6421" max="6421" width="35.7109375" style="49" customWidth="1"/>
    <col min="6422" max="6422" width="36.28515625" style="49" customWidth="1"/>
    <col min="6423" max="6423" width="35.7109375" style="49" customWidth="1"/>
    <col min="6424" max="6424" width="36.28515625" style="49" customWidth="1"/>
    <col min="6425" max="6425" width="16.28515625" style="49" customWidth="1"/>
    <col min="6426" max="6426" width="78.42578125" style="49" bestFit="1" customWidth="1"/>
    <col min="6427" max="6427" width="52.7109375" style="49" bestFit="1" customWidth="1"/>
    <col min="6428" max="6656" width="11.42578125" style="49"/>
    <col min="6657" max="6657" width="25.85546875" style="49" customWidth="1"/>
    <col min="6658" max="6658" width="20.85546875" style="49" bestFit="1" customWidth="1"/>
    <col min="6659" max="6659" width="28.85546875" style="49" customWidth="1"/>
    <col min="6660" max="6660" width="23.7109375" style="49" customWidth="1"/>
    <col min="6661" max="6661" width="24.42578125" style="49" bestFit="1" customWidth="1"/>
    <col min="6662" max="6662" width="21.140625" style="49" customWidth="1"/>
    <col min="6663" max="6665" width="25.7109375" style="49" customWidth="1"/>
    <col min="6666" max="6666" width="19.5703125" style="49" customWidth="1"/>
    <col min="6667" max="6667" width="15.85546875" style="49" customWidth="1"/>
    <col min="6668" max="6668" width="3.140625" style="49" customWidth="1"/>
    <col min="6669" max="6669" width="28.85546875" style="49" customWidth="1"/>
    <col min="6670" max="6670" width="32.28515625" style="49" customWidth="1"/>
    <col min="6671" max="6671" width="36.28515625" style="49" customWidth="1"/>
    <col min="6672" max="6672" width="16.28515625" style="49" customWidth="1"/>
    <col min="6673" max="6673" width="35.7109375" style="49" customWidth="1"/>
    <col min="6674" max="6674" width="36.28515625" style="49" customWidth="1"/>
    <col min="6675" max="6675" width="35.7109375" style="49" customWidth="1"/>
    <col min="6676" max="6676" width="36.28515625" style="49" customWidth="1"/>
    <col min="6677" max="6677" width="35.7109375" style="49" customWidth="1"/>
    <col min="6678" max="6678" width="36.28515625" style="49" customWidth="1"/>
    <col min="6679" max="6679" width="35.7109375" style="49" customWidth="1"/>
    <col min="6680" max="6680" width="36.28515625" style="49" customWidth="1"/>
    <col min="6681" max="6681" width="16.28515625" style="49" customWidth="1"/>
    <col min="6682" max="6682" width="78.42578125" style="49" bestFit="1" customWidth="1"/>
    <col min="6683" max="6683" width="52.7109375" style="49" bestFit="1" customWidth="1"/>
    <col min="6684" max="6912" width="11.42578125" style="49"/>
    <col min="6913" max="6913" width="25.85546875" style="49" customWidth="1"/>
    <col min="6914" max="6914" width="20.85546875" style="49" bestFit="1" customWidth="1"/>
    <col min="6915" max="6915" width="28.85546875" style="49" customWidth="1"/>
    <col min="6916" max="6916" width="23.7109375" style="49" customWidth="1"/>
    <col min="6917" max="6917" width="24.42578125" style="49" bestFit="1" customWidth="1"/>
    <col min="6918" max="6918" width="21.140625" style="49" customWidth="1"/>
    <col min="6919" max="6921" width="25.7109375" style="49" customWidth="1"/>
    <col min="6922" max="6922" width="19.5703125" style="49" customWidth="1"/>
    <col min="6923" max="6923" width="15.85546875" style="49" customWidth="1"/>
    <col min="6924" max="6924" width="3.140625" style="49" customWidth="1"/>
    <col min="6925" max="6925" width="28.85546875" style="49" customWidth="1"/>
    <col min="6926" max="6926" width="32.28515625" style="49" customWidth="1"/>
    <col min="6927" max="6927" width="36.28515625" style="49" customWidth="1"/>
    <col min="6928" max="6928" width="16.28515625" style="49" customWidth="1"/>
    <col min="6929" max="6929" width="35.7109375" style="49" customWidth="1"/>
    <col min="6930" max="6930" width="36.28515625" style="49" customWidth="1"/>
    <col min="6931" max="6931" width="35.7109375" style="49" customWidth="1"/>
    <col min="6932" max="6932" width="36.28515625" style="49" customWidth="1"/>
    <col min="6933" max="6933" width="35.7109375" style="49" customWidth="1"/>
    <col min="6934" max="6934" width="36.28515625" style="49" customWidth="1"/>
    <col min="6935" max="6935" width="35.7109375" style="49" customWidth="1"/>
    <col min="6936" max="6936" width="36.28515625" style="49" customWidth="1"/>
    <col min="6937" max="6937" width="16.28515625" style="49" customWidth="1"/>
    <col min="6938" max="6938" width="78.42578125" style="49" bestFit="1" customWidth="1"/>
    <col min="6939" max="6939" width="52.7109375" style="49" bestFit="1" customWidth="1"/>
    <col min="6940" max="7168" width="11.42578125" style="49"/>
    <col min="7169" max="7169" width="25.85546875" style="49" customWidth="1"/>
    <col min="7170" max="7170" width="20.85546875" style="49" bestFit="1" customWidth="1"/>
    <col min="7171" max="7171" width="28.85546875" style="49" customWidth="1"/>
    <col min="7172" max="7172" width="23.7109375" style="49" customWidth="1"/>
    <col min="7173" max="7173" width="24.42578125" style="49" bestFit="1" customWidth="1"/>
    <col min="7174" max="7174" width="21.140625" style="49" customWidth="1"/>
    <col min="7175" max="7177" width="25.7109375" style="49" customWidth="1"/>
    <col min="7178" max="7178" width="19.5703125" style="49" customWidth="1"/>
    <col min="7179" max="7179" width="15.85546875" style="49" customWidth="1"/>
    <col min="7180" max="7180" width="3.140625" style="49" customWidth="1"/>
    <col min="7181" max="7181" width="28.85546875" style="49" customWidth="1"/>
    <col min="7182" max="7182" width="32.28515625" style="49" customWidth="1"/>
    <col min="7183" max="7183" width="36.28515625" style="49" customWidth="1"/>
    <col min="7184" max="7184" width="16.28515625" style="49" customWidth="1"/>
    <col min="7185" max="7185" width="35.7109375" style="49" customWidth="1"/>
    <col min="7186" max="7186" width="36.28515625" style="49" customWidth="1"/>
    <col min="7187" max="7187" width="35.7109375" style="49" customWidth="1"/>
    <col min="7188" max="7188" width="36.28515625" style="49" customWidth="1"/>
    <col min="7189" max="7189" width="35.7109375" style="49" customWidth="1"/>
    <col min="7190" max="7190" width="36.28515625" style="49" customWidth="1"/>
    <col min="7191" max="7191" width="35.7109375" style="49" customWidth="1"/>
    <col min="7192" max="7192" width="36.28515625" style="49" customWidth="1"/>
    <col min="7193" max="7193" width="16.28515625" style="49" customWidth="1"/>
    <col min="7194" max="7194" width="78.42578125" style="49" bestFit="1" customWidth="1"/>
    <col min="7195" max="7195" width="52.7109375" style="49" bestFit="1" customWidth="1"/>
    <col min="7196" max="7424" width="11.42578125" style="49"/>
    <col min="7425" max="7425" width="25.85546875" style="49" customWidth="1"/>
    <col min="7426" max="7426" width="20.85546875" style="49" bestFit="1" customWidth="1"/>
    <col min="7427" max="7427" width="28.85546875" style="49" customWidth="1"/>
    <col min="7428" max="7428" width="23.7109375" style="49" customWidth="1"/>
    <col min="7429" max="7429" width="24.42578125" style="49" bestFit="1" customWidth="1"/>
    <col min="7430" max="7430" width="21.140625" style="49" customWidth="1"/>
    <col min="7431" max="7433" width="25.7109375" style="49" customWidth="1"/>
    <col min="7434" max="7434" width="19.5703125" style="49" customWidth="1"/>
    <col min="7435" max="7435" width="15.85546875" style="49" customWidth="1"/>
    <col min="7436" max="7436" width="3.140625" style="49" customWidth="1"/>
    <col min="7437" max="7437" width="28.85546875" style="49" customWidth="1"/>
    <col min="7438" max="7438" width="32.28515625" style="49" customWidth="1"/>
    <col min="7439" max="7439" width="36.28515625" style="49" customWidth="1"/>
    <col min="7440" max="7440" width="16.28515625" style="49" customWidth="1"/>
    <col min="7441" max="7441" width="35.7109375" style="49" customWidth="1"/>
    <col min="7442" max="7442" width="36.28515625" style="49" customWidth="1"/>
    <col min="7443" max="7443" width="35.7109375" style="49" customWidth="1"/>
    <col min="7444" max="7444" width="36.28515625" style="49" customWidth="1"/>
    <col min="7445" max="7445" width="35.7109375" style="49" customWidth="1"/>
    <col min="7446" max="7446" width="36.28515625" style="49" customWidth="1"/>
    <col min="7447" max="7447" width="35.7109375" style="49" customWidth="1"/>
    <col min="7448" max="7448" width="36.28515625" style="49" customWidth="1"/>
    <col min="7449" max="7449" width="16.28515625" style="49" customWidth="1"/>
    <col min="7450" max="7450" width="78.42578125" style="49" bestFit="1" customWidth="1"/>
    <col min="7451" max="7451" width="52.7109375" style="49" bestFit="1" customWidth="1"/>
    <col min="7452" max="7680" width="11.42578125" style="49"/>
    <col min="7681" max="7681" width="25.85546875" style="49" customWidth="1"/>
    <col min="7682" max="7682" width="20.85546875" style="49" bestFit="1" customWidth="1"/>
    <col min="7683" max="7683" width="28.85546875" style="49" customWidth="1"/>
    <col min="7684" max="7684" width="23.7109375" style="49" customWidth="1"/>
    <col min="7685" max="7685" width="24.42578125" style="49" bestFit="1" customWidth="1"/>
    <col min="7686" max="7686" width="21.140625" style="49" customWidth="1"/>
    <col min="7687" max="7689" width="25.7109375" style="49" customWidth="1"/>
    <col min="7690" max="7690" width="19.5703125" style="49" customWidth="1"/>
    <col min="7691" max="7691" width="15.85546875" style="49" customWidth="1"/>
    <col min="7692" max="7692" width="3.140625" style="49" customWidth="1"/>
    <col min="7693" max="7693" width="28.85546875" style="49" customWidth="1"/>
    <col min="7694" max="7694" width="32.28515625" style="49" customWidth="1"/>
    <col min="7695" max="7695" width="36.28515625" style="49" customWidth="1"/>
    <col min="7696" max="7696" width="16.28515625" style="49" customWidth="1"/>
    <col min="7697" max="7697" width="35.7109375" style="49" customWidth="1"/>
    <col min="7698" max="7698" width="36.28515625" style="49" customWidth="1"/>
    <col min="7699" max="7699" width="35.7109375" style="49" customWidth="1"/>
    <col min="7700" max="7700" width="36.28515625" style="49" customWidth="1"/>
    <col min="7701" max="7701" width="35.7109375" style="49" customWidth="1"/>
    <col min="7702" max="7702" width="36.28515625" style="49" customWidth="1"/>
    <col min="7703" max="7703" width="35.7109375" style="49" customWidth="1"/>
    <col min="7704" max="7704" width="36.28515625" style="49" customWidth="1"/>
    <col min="7705" max="7705" width="16.28515625" style="49" customWidth="1"/>
    <col min="7706" max="7706" width="78.42578125" style="49" bestFit="1" customWidth="1"/>
    <col min="7707" max="7707" width="52.7109375" style="49" bestFit="1" customWidth="1"/>
    <col min="7708" max="7936" width="11.42578125" style="49"/>
    <col min="7937" max="7937" width="25.85546875" style="49" customWidth="1"/>
    <col min="7938" max="7938" width="20.85546875" style="49" bestFit="1" customWidth="1"/>
    <col min="7939" max="7939" width="28.85546875" style="49" customWidth="1"/>
    <col min="7940" max="7940" width="23.7109375" style="49" customWidth="1"/>
    <col min="7941" max="7941" width="24.42578125" style="49" bestFit="1" customWidth="1"/>
    <col min="7942" max="7942" width="21.140625" style="49" customWidth="1"/>
    <col min="7943" max="7945" width="25.7109375" style="49" customWidth="1"/>
    <col min="7946" max="7946" width="19.5703125" style="49" customWidth="1"/>
    <col min="7947" max="7947" width="15.85546875" style="49" customWidth="1"/>
    <col min="7948" max="7948" width="3.140625" style="49" customWidth="1"/>
    <col min="7949" max="7949" width="28.85546875" style="49" customWidth="1"/>
    <col min="7950" max="7950" width="32.28515625" style="49" customWidth="1"/>
    <col min="7951" max="7951" width="36.28515625" style="49" customWidth="1"/>
    <col min="7952" max="7952" width="16.28515625" style="49" customWidth="1"/>
    <col min="7953" max="7953" width="35.7109375" style="49" customWidth="1"/>
    <col min="7954" max="7954" width="36.28515625" style="49" customWidth="1"/>
    <col min="7955" max="7955" width="35.7109375" style="49" customWidth="1"/>
    <col min="7956" max="7956" width="36.28515625" style="49" customWidth="1"/>
    <col min="7957" max="7957" width="35.7109375" style="49" customWidth="1"/>
    <col min="7958" max="7958" width="36.28515625" style="49" customWidth="1"/>
    <col min="7959" max="7959" width="35.7109375" style="49" customWidth="1"/>
    <col min="7960" max="7960" width="36.28515625" style="49" customWidth="1"/>
    <col min="7961" max="7961" width="16.28515625" style="49" customWidth="1"/>
    <col min="7962" max="7962" width="78.42578125" style="49" bestFit="1" customWidth="1"/>
    <col min="7963" max="7963" width="52.7109375" style="49" bestFit="1" customWidth="1"/>
    <col min="7964" max="8192" width="11.42578125" style="49"/>
    <col min="8193" max="8193" width="25.85546875" style="49" customWidth="1"/>
    <col min="8194" max="8194" width="20.85546875" style="49" bestFit="1" customWidth="1"/>
    <col min="8195" max="8195" width="28.85546875" style="49" customWidth="1"/>
    <col min="8196" max="8196" width="23.7109375" style="49" customWidth="1"/>
    <col min="8197" max="8197" width="24.42578125" style="49" bestFit="1" customWidth="1"/>
    <col min="8198" max="8198" width="21.140625" style="49" customWidth="1"/>
    <col min="8199" max="8201" width="25.7109375" style="49" customWidth="1"/>
    <col min="8202" max="8202" width="19.5703125" style="49" customWidth="1"/>
    <col min="8203" max="8203" width="15.85546875" style="49" customWidth="1"/>
    <col min="8204" max="8204" width="3.140625" style="49" customWidth="1"/>
    <col min="8205" max="8205" width="28.85546875" style="49" customWidth="1"/>
    <col min="8206" max="8206" width="32.28515625" style="49" customWidth="1"/>
    <col min="8207" max="8207" width="36.28515625" style="49" customWidth="1"/>
    <col min="8208" max="8208" width="16.28515625" style="49" customWidth="1"/>
    <col min="8209" max="8209" width="35.7109375" style="49" customWidth="1"/>
    <col min="8210" max="8210" width="36.28515625" style="49" customWidth="1"/>
    <col min="8211" max="8211" width="35.7109375" style="49" customWidth="1"/>
    <col min="8212" max="8212" width="36.28515625" style="49" customWidth="1"/>
    <col min="8213" max="8213" width="35.7109375" style="49" customWidth="1"/>
    <col min="8214" max="8214" width="36.28515625" style="49" customWidth="1"/>
    <col min="8215" max="8215" width="35.7109375" style="49" customWidth="1"/>
    <col min="8216" max="8216" width="36.28515625" style="49" customWidth="1"/>
    <col min="8217" max="8217" width="16.28515625" style="49" customWidth="1"/>
    <col min="8218" max="8218" width="78.42578125" style="49" bestFit="1" customWidth="1"/>
    <col min="8219" max="8219" width="52.7109375" style="49" bestFit="1" customWidth="1"/>
    <col min="8220" max="8448" width="11.42578125" style="49"/>
    <col min="8449" max="8449" width="25.85546875" style="49" customWidth="1"/>
    <col min="8450" max="8450" width="20.85546875" style="49" bestFit="1" customWidth="1"/>
    <col min="8451" max="8451" width="28.85546875" style="49" customWidth="1"/>
    <col min="8452" max="8452" width="23.7109375" style="49" customWidth="1"/>
    <col min="8453" max="8453" width="24.42578125" style="49" bestFit="1" customWidth="1"/>
    <col min="8454" max="8454" width="21.140625" style="49" customWidth="1"/>
    <col min="8455" max="8457" width="25.7109375" style="49" customWidth="1"/>
    <col min="8458" max="8458" width="19.5703125" style="49" customWidth="1"/>
    <col min="8459" max="8459" width="15.85546875" style="49" customWidth="1"/>
    <col min="8460" max="8460" width="3.140625" style="49" customWidth="1"/>
    <col min="8461" max="8461" width="28.85546875" style="49" customWidth="1"/>
    <col min="8462" max="8462" width="32.28515625" style="49" customWidth="1"/>
    <col min="8463" max="8463" width="36.28515625" style="49" customWidth="1"/>
    <col min="8464" max="8464" width="16.28515625" style="49" customWidth="1"/>
    <col min="8465" max="8465" width="35.7109375" style="49" customWidth="1"/>
    <col min="8466" max="8466" width="36.28515625" style="49" customWidth="1"/>
    <col min="8467" max="8467" width="35.7109375" style="49" customWidth="1"/>
    <col min="8468" max="8468" width="36.28515625" style="49" customWidth="1"/>
    <col min="8469" max="8469" width="35.7109375" style="49" customWidth="1"/>
    <col min="8470" max="8470" width="36.28515625" style="49" customWidth="1"/>
    <col min="8471" max="8471" width="35.7109375" style="49" customWidth="1"/>
    <col min="8472" max="8472" width="36.28515625" style="49" customWidth="1"/>
    <col min="8473" max="8473" width="16.28515625" style="49" customWidth="1"/>
    <col min="8474" max="8474" width="78.42578125" style="49" bestFit="1" customWidth="1"/>
    <col min="8475" max="8475" width="52.7109375" style="49" bestFit="1" customWidth="1"/>
    <col min="8476" max="8704" width="11.42578125" style="49"/>
    <col min="8705" max="8705" width="25.85546875" style="49" customWidth="1"/>
    <col min="8706" max="8706" width="20.85546875" style="49" bestFit="1" customWidth="1"/>
    <col min="8707" max="8707" width="28.85546875" style="49" customWidth="1"/>
    <col min="8708" max="8708" width="23.7109375" style="49" customWidth="1"/>
    <col min="8709" max="8709" width="24.42578125" style="49" bestFit="1" customWidth="1"/>
    <col min="8710" max="8710" width="21.140625" style="49" customWidth="1"/>
    <col min="8711" max="8713" width="25.7109375" style="49" customWidth="1"/>
    <col min="8714" max="8714" width="19.5703125" style="49" customWidth="1"/>
    <col min="8715" max="8715" width="15.85546875" style="49" customWidth="1"/>
    <col min="8716" max="8716" width="3.140625" style="49" customWidth="1"/>
    <col min="8717" max="8717" width="28.85546875" style="49" customWidth="1"/>
    <col min="8718" max="8718" width="32.28515625" style="49" customWidth="1"/>
    <col min="8719" max="8719" width="36.28515625" style="49" customWidth="1"/>
    <col min="8720" max="8720" width="16.28515625" style="49" customWidth="1"/>
    <col min="8721" max="8721" width="35.7109375" style="49" customWidth="1"/>
    <col min="8722" max="8722" width="36.28515625" style="49" customWidth="1"/>
    <col min="8723" max="8723" width="35.7109375" style="49" customWidth="1"/>
    <col min="8724" max="8724" width="36.28515625" style="49" customWidth="1"/>
    <col min="8725" max="8725" width="35.7109375" style="49" customWidth="1"/>
    <col min="8726" max="8726" width="36.28515625" style="49" customWidth="1"/>
    <col min="8727" max="8727" width="35.7109375" style="49" customWidth="1"/>
    <col min="8728" max="8728" width="36.28515625" style="49" customWidth="1"/>
    <col min="8729" max="8729" width="16.28515625" style="49" customWidth="1"/>
    <col min="8730" max="8730" width="78.42578125" style="49" bestFit="1" customWidth="1"/>
    <col min="8731" max="8731" width="52.7109375" style="49" bestFit="1" customWidth="1"/>
    <col min="8732" max="8960" width="11.42578125" style="49"/>
    <col min="8961" max="8961" width="25.85546875" style="49" customWidth="1"/>
    <col min="8962" max="8962" width="20.85546875" style="49" bestFit="1" customWidth="1"/>
    <col min="8963" max="8963" width="28.85546875" style="49" customWidth="1"/>
    <col min="8964" max="8964" width="23.7109375" style="49" customWidth="1"/>
    <col min="8965" max="8965" width="24.42578125" style="49" bestFit="1" customWidth="1"/>
    <col min="8966" max="8966" width="21.140625" style="49" customWidth="1"/>
    <col min="8967" max="8969" width="25.7109375" style="49" customWidth="1"/>
    <col min="8970" max="8970" width="19.5703125" style="49" customWidth="1"/>
    <col min="8971" max="8971" width="15.85546875" style="49" customWidth="1"/>
    <col min="8972" max="8972" width="3.140625" style="49" customWidth="1"/>
    <col min="8973" max="8973" width="28.85546875" style="49" customWidth="1"/>
    <col min="8974" max="8974" width="32.28515625" style="49" customWidth="1"/>
    <col min="8975" max="8975" width="36.28515625" style="49" customWidth="1"/>
    <col min="8976" max="8976" width="16.28515625" style="49" customWidth="1"/>
    <col min="8977" max="8977" width="35.7109375" style="49" customWidth="1"/>
    <col min="8978" max="8978" width="36.28515625" style="49" customWidth="1"/>
    <col min="8979" max="8979" width="35.7109375" style="49" customWidth="1"/>
    <col min="8980" max="8980" width="36.28515625" style="49" customWidth="1"/>
    <col min="8981" max="8981" width="35.7109375" style="49" customWidth="1"/>
    <col min="8982" max="8982" width="36.28515625" style="49" customWidth="1"/>
    <col min="8983" max="8983" width="35.7109375" style="49" customWidth="1"/>
    <col min="8984" max="8984" width="36.28515625" style="49" customWidth="1"/>
    <col min="8985" max="8985" width="16.28515625" style="49" customWidth="1"/>
    <col min="8986" max="8986" width="78.42578125" style="49" bestFit="1" customWidth="1"/>
    <col min="8987" max="8987" width="52.7109375" style="49" bestFit="1" customWidth="1"/>
    <col min="8988" max="9216" width="11.42578125" style="49"/>
    <col min="9217" max="9217" width="25.85546875" style="49" customWidth="1"/>
    <col min="9218" max="9218" width="20.85546875" style="49" bestFit="1" customWidth="1"/>
    <col min="9219" max="9219" width="28.85546875" style="49" customWidth="1"/>
    <col min="9220" max="9220" width="23.7109375" style="49" customWidth="1"/>
    <col min="9221" max="9221" width="24.42578125" style="49" bestFit="1" customWidth="1"/>
    <col min="9222" max="9222" width="21.140625" style="49" customWidth="1"/>
    <col min="9223" max="9225" width="25.7109375" style="49" customWidth="1"/>
    <col min="9226" max="9226" width="19.5703125" style="49" customWidth="1"/>
    <col min="9227" max="9227" width="15.85546875" style="49" customWidth="1"/>
    <col min="9228" max="9228" width="3.140625" style="49" customWidth="1"/>
    <col min="9229" max="9229" width="28.85546875" style="49" customWidth="1"/>
    <col min="9230" max="9230" width="32.28515625" style="49" customWidth="1"/>
    <col min="9231" max="9231" width="36.28515625" style="49" customWidth="1"/>
    <col min="9232" max="9232" width="16.28515625" style="49" customWidth="1"/>
    <col min="9233" max="9233" width="35.7109375" style="49" customWidth="1"/>
    <col min="9234" max="9234" width="36.28515625" style="49" customWidth="1"/>
    <col min="9235" max="9235" width="35.7109375" style="49" customWidth="1"/>
    <col min="9236" max="9236" width="36.28515625" style="49" customWidth="1"/>
    <col min="9237" max="9237" width="35.7109375" style="49" customWidth="1"/>
    <col min="9238" max="9238" width="36.28515625" style="49" customWidth="1"/>
    <col min="9239" max="9239" width="35.7109375" style="49" customWidth="1"/>
    <col min="9240" max="9240" width="36.28515625" style="49" customWidth="1"/>
    <col min="9241" max="9241" width="16.28515625" style="49" customWidth="1"/>
    <col min="9242" max="9242" width="78.42578125" style="49" bestFit="1" customWidth="1"/>
    <col min="9243" max="9243" width="52.7109375" style="49" bestFit="1" customWidth="1"/>
    <col min="9244" max="9472" width="11.42578125" style="49"/>
    <col min="9473" max="9473" width="25.85546875" style="49" customWidth="1"/>
    <col min="9474" max="9474" width="20.85546875" style="49" bestFit="1" customWidth="1"/>
    <col min="9475" max="9475" width="28.85546875" style="49" customWidth="1"/>
    <col min="9476" max="9476" width="23.7109375" style="49" customWidth="1"/>
    <col min="9477" max="9477" width="24.42578125" style="49" bestFit="1" customWidth="1"/>
    <col min="9478" max="9478" width="21.140625" style="49" customWidth="1"/>
    <col min="9479" max="9481" width="25.7109375" style="49" customWidth="1"/>
    <col min="9482" max="9482" width="19.5703125" style="49" customWidth="1"/>
    <col min="9483" max="9483" width="15.85546875" style="49" customWidth="1"/>
    <col min="9484" max="9484" width="3.140625" style="49" customWidth="1"/>
    <col min="9485" max="9485" width="28.85546875" style="49" customWidth="1"/>
    <col min="9486" max="9486" width="32.28515625" style="49" customWidth="1"/>
    <col min="9487" max="9487" width="36.28515625" style="49" customWidth="1"/>
    <col min="9488" max="9488" width="16.28515625" style="49" customWidth="1"/>
    <col min="9489" max="9489" width="35.7109375" style="49" customWidth="1"/>
    <col min="9490" max="9490" width="36.28515625" style="49" customWidth="1"/>
    <col min="9491" max="9491" width="35.7109375" style="49" customWidth="1"/>
    <col min="9492" max="9492" width="36.28515625" style="49" customWidth="1"/>
    <col min="9493" max="9493" width="35.7109375" style="49" customWidth="1"/>
    <col min="9494" max="9494" width="36.28515625" style="49" customWidth="1"/>
    <col min="9495" max="9495" width="35.7109375" style="49" customWidth="1"/>
    <col min="9496" max="9496" width="36.28515625" style="49" customWidth="1"/>
    <col min="9497" max="9497" width="16.28515625" style="49" customWidth="1"/>
    <col min="9498" max="9498" width="78.42578125" style="49" bestFit="1" customWidth="1"/>
    <col min="9499" max="9499" width="52.7109375" style="49" bestFit="1" customWidth="1"/>
    <col min="9500" max="9728" width="11.42578125" style="49"/>
    <col min="9729" max="9729" width="25.85546875" style="49" customWidth="1"/>
    <col min="9730" max="9730" width="20.85546875" style="49" bestFit="1" customWidth="1"/>
    <col min="9731" max="9731" width="28.85546875" style="49" customWidth="1"/>
    <col min="9732" max="9732" width="23.7109375" style="49" customWidth="1"/>
    <col min="9733" max="9733" width="24.42578125" style="49" bestFit="1" customWidth="1"/>
    <col min="9734" max="9734" width="21.140625" style="49" customWidth="1"/>
    <col min="9735" max="9737" width="25.7109375" style="49" customWidth="1"/>
    <col min="9738" max="9738" width="19.5703125" style="49" customWidth="1"/>
    <col min="9739" max="9739" width="15.85546875" style="49" customWidth="1"/>
    <col min="9740" max="9740" width="3.140625" style="49" customWidth="1"/>
    <col min="9741" max="9741" width="28.85546875" style="49" customWidth="1"/>
    <col min="9742" max="9742" width="32.28515625" style="49" customWidth="1"/>
    <col min="9743" max="9743" width="36.28515625" style="49" customWidth="1"/>
    <col min="9744" max="9744" width="16.28515625" style="49" customWidth="1"/>
    <col min="9745" max="9745" width="35.7109375" style="49" customWidth="1"/>
    <col min="9746" max="9746" width="36.28515625" style="49" customWidth="1"/>
    <col min="9747" max="9747" width="35.7109375" style="49" customWidth="1"/>
    <col min="9748" max="9748" width="36.28515625" style="49" customWidth="1"/>
    <col min="9749" max="9749" width="35.7109375" style="49" customWidth="1"/>
    <col min="9750" max="9750" width="36.28515625" style="49" customWidth="1"/>
    <col min="9751" max="9751" width="35.7109375" style="49" customWidth="1"/>
    <col min="9752" max="9752" width="36.28515625" style="49" customWidth="1"/>
    <col min="9753" max="9753" width="16.28515625" style="49" customWidth="1"/>
    <col min="9754" max="9754" width="78.42578125" style="49" bestFit="1" customWidth="1"/>
    <col min="9755" max="9755" width="52.7109375" style="49" bestFit="1" customWidth="1"/>
    <col min="9756" max="9984" width="11.42578125" style="49"/>
    <col min="9985" max="9985" width="25.85546875" style="49" customWidth="1"/>
    <col min="9986" max="9986" width="20.85546875" style="49" bestFit="1" customWidth="1"/>
    <col min="9987" max="9987" width="28.85546875" style="49" customWidth="1"/>
    <col min="9988" max="9988" width="23.7109375" style="49" customWidth="1"/>
    <col min="9989" max="9989" width="24.42578125" style="49" bestFit="1" customWidth="1"/>
    <col min="9990" max="9990" width="21.140625" style="49" customWidth="1"/>
    <col min="9991" max="9993" width="25.7109375" style="49" customWidth="1"/>
    <col min="9994" max="9994" width="19.5703125" style="49" customWidth="1"/>
    <col min="9995" max="9995" width="15.85546875" style="49" customWidth="1"/>
    <col min="9996" max="9996" width="3.140625" style="49" customWidth="1"/>
    <col min="9997" max="9997" width="28.85546875" style="49" customWidth="1"/>
    <col min="9998" max="9998" width="32.28515625" style="49" customWidth="1"/>
    <col min="9999" max="9999" width="36.28515625" style="49" customWidth="1"/>
    <col min="10000" max="10000" width="16.28515625" style="49" customWidth="1"/>
    <col min="10001" max="10001" width="35.7109375" style="49" customWidth="1"/>
    <col min="10002" max="10002" width="36.28515625" style="49" customWidth="1"/>
    <col min="10003" max="10003" width="35.7109375" style="49" customWidth="1"/>
    <col min="10004" max="10004" width="36.28515625" style="49" customWidth="1"/>
    <col min="10005" max="10005" width="35.7109375" style="49" customWidth="1"/>
    <col min="10006" max="10006" width="36.28515625" style="49" customWidth="1"/>
    <col min="10007" max="10007" width="35.7109375" style="49" customWidth="1"/>
    <col min="10008" max="10008" width="36.28515625" style="49" customWidth="1"/>
    <col min="10009" max="10009" width="16.28515625" style="49" customWidth="1"/>
    <col min="10010" max="10010" width="78.42578125" style="49" bestFit="1" customWidth="1"/>
    <col min="10011" max="10011" width="52.7109375" style="49" bestFit="1" customWidth="1"/>
    <col min="10012" max="10240" width="11.42578125" style="49"/>
    <col min="10241" max="10241" width="25.85546875" style="49" customWidth="1"/>
    <col min="10242" max="10242" width="20.85546875" style="49" bestFit="1" customWidth="1"/>
    <col min="10243" max="10243" width="28.85546875" style="49" customWidth="1"/>
    <col min="10244" max="10244" width="23.7109375" style="49" customWidth="1"/>
    <col min="10245" max="10245" width="24.42578125" style="49" bestFit="1" customWidth="1"/>
    <col min="10246" max="10246" width="21.140625" style="49" customWidth="1"/>
    <col min="10247" max="10249" width="25.7109375" style="49" customWidth="1"/>
    <col min="10250" max="10250" width="19.5703125" style="49" customWidth="1"/>
    <col min="10251" max="10251" width="15.85546875" style="49" customWidth="1"/>
    <col min="10252" max="10252" width="3.140625" style="49" customWidth="1"/>
    <col min="10253" max="10253" width="28.85546875" style="49" customWidth="1"/>
    <col min="10254" max="10254" width="32.28515625" style="49" customWidth="1"/>
    <col min="10255" max="10255" width="36.28515625" style="49" customWidth="1"/>
    <col min="10256" max="10256" width="16.28515625" style="49" customWidth="1"/>
    <col min="10257" max="10257" width="35.7109375" style="49" customWidth="1"/>
    <col min="10258" max="10258" width="36.28515625" style="49" customWidth="1"/>
    <col min="10259" max="10259" width="35.7109375" style="49" customWidth="1"/>
    <col min="10260" max="10260" width="36.28515625" style="49" customWidth="1"/>
    <col min="10261" max="10261" width="35.7109375" style="49" customWidth="1"/>
    <col min="10262" max="10262" width="36.28515625" style="49" customWidth="1"/>
    <col min="10263" max="10263" width="35.7109375" style="49" customWidth="1"/>
    <col min="10264" max="10264" width="36.28515625" style="49" customWidth="1"/>
    <col min="10265" max="10265" width="16.28515625" style="49" customWidth="1"/>
    <col min="10266" max="10266" width="78.42578125" style="49" bestFit="1" customWidth="1"/>
    <col min="10267" max="10267" width="52.7109375" style="49" bestFit="1" customWidth="1"/>
    <col min="10268" max="10496" width="11.42578125" style="49"/>
    <col min="10497" max="10497" width="25.85546875" style="49" customWidth="1"/>
    <col min="10498" max="10498" width="20.85546875" style="49" bestFit="1" customWidth="1"/>
    <col min="10499" max="10499" width="28.85546875" style="49" customWidth="1"/>
    <col min="10500" max="10500" width="23.7109375" style="49" customWidth="1"/>
    <col min="10501" max="10501" width="24.42578125" style="49" bestFit="1" customWidth="1"/>
    <col min="10502" max="10502" width="21.140625" style="49" customWidth="1"/>
    <col min="10503" max="10505" width="25.7109375" style="49" customWidth="1"/>
    <col min="10506" max="10506" width="19.5703125" style="49" customWidth="1"/>
    <col min="10507" max="10507" width="15.85546875" style="49" customWidth="1"/>
    <col min="10508" max="10508" width="3.140625" style="49" customWidth="1"/>
    <col min="10509" max="10509" width="28.85546875" style="49" customWidth="1"/>
    <col min="10510" max="10510" width="32.28515625" style="49" customWidth="1"/>
    <col min="10511" max="10511" width="36.28515625" style="49" customWidth="1"/>
    <col min="10512" max="10512" width="16.28515625" style="49" customWidth="1"/>
    <col min="10513" max="10513" width="35.7109375" style="49" customWidth="1"/>
    <col min="10514" max="10514" width="36.28515625" style="49" customWidth="1"/>
    <col min="10515" max="10515" width="35.7109375" style="49" customWidth="1"/>
    <col min="10516" max="10516" width="36.28515625" style="49" customWidth="1"/>
    <col min="10517" max="10517" width="35.7109375" style="49" customWidth="1"/>
    <col min="10518" max="10518" width="36.28515625" style="49" customWidth="1"/>
    <col min="10519" max="10519" width="35.7109375" style="49" customWidth="1"/>
    <col min="10520" max="10520" width="36.28515625" style="49" customWidth="1"/>
    <col min="10521" max="10521" width="16.28515625" style="49" customWidth="1"/>
    <col min="10522" max="10522" width="78.42578125" style="49" bestFit="1" customWidth="1"/>
    <col min="10523" max="10523" width="52.7109375" style="49" bestFit="1" customWidth="1"/>
    <col min="10524" max="10752" width="11.42578125" style="49"/>
    <col min="10753" max="10753" width="25.85546875" style="49" customWidth="1"/>
    <col min="10754" max="10754" width="20.85546875" style="49" bestFit="1" customWidth="1"/>
    <col min="10755" max="10755" width="28.85546875" style="49" customWidth="1"/>
    <col min="10756" max="10756" width="23.7109375" style="49" customWidth="1"/>
    <col min="10757" max="10757" width="24.42578125" style="49" bestFit="1" customWidth="1"/>
    <col min="10758" max="10758" width="21.140625" style="49" customWidth="1"/>
    <col min="10759" max="10761" width="25.7109375" style="49" customWidth="1"/>
    <col min="10762" max="10762" width="19.5703125" style="49" customWidth="1"/>
    <col min="10763" max="10763" width="15.85546875" style="49" customWidth="1"/>
    <col min="10764" max="10764" width="3.140625" style="49" customWidth="1"/>
    <col min="10765" max="10765" width="28.85546875" style="49" customWidth="1"/>
    <col min="10766" max="10766" width="32.28515625" style="49" customWidth="1"/>
    <col min="10767" max="10767" width="36.28515625" style="49" customWidth="1"/>
    <col min="10768" max="10768" width="16.28515625" style="49" customWidth="1"/>
    <col min="10769" max="10769" width="35.7109375" style="49" customWidth="1"/>
    <col min="10770" max="10770" width="36.28515625" style="49" customWidth="1"/>
    <col min="10771" max="10771" width="35.7109375" style="49" customWidth="1"/>
    <col min="10772" max="10772" width="36.28515625" style="49" customWidth="1"/>
    <col min="10773" max="10773" width="35.7109375" style="49" customWidth="1"/>
    <col min="10774" max="10774" width="36.28515625" style="49" customWidth="1"/>
    <col min="10775" max="10775" width="35.7109375" style="49" customWidth="1"/>
    <col min="10776" max="10776" width="36.28515625" style="49" customWidth="1"/>
    <col min="10777" max="10777" width="16.28515625" style="49" customWidth="1"/>
    <col min="10778" max="10778" width="78.42578125" style="49" bestFit="1" customWidth="1"/>
    <col min="10779" max="10779" width="52.7109375" style="49" bestFit="1" customWidth="1"/>
    <col min="10780" max="11008" width="11.42578125" style="49"/>
    <col min="11009" max="11009" width="25.85546875" style="49" customWidth="1"/>
    <col min="11010" max="11010" width="20.85546875" style="49" bestFit="1" customWidth="1"/>
    <col min="11011" max="11011" width="28.85546875" style="49" customWidth="1"/>
    <col min="11012" max="11012" width="23.7109375" style="49" customWidth="1"/>
    <col min="11013" max="11013" width="24.42578125" style="49" bestFit="1" customWidth="1"/>
    <col min="11014" max="11014" width="21.140625" style="49" customWidth="1"/>
    <col min="11015" max="11017" width="25.7109375" style="49" customWidth="1"/>
    <col min="11018" max="11018" width="19.5703125" style="49" customWidth="1"/>
    <col min="11019" max="11019" width="15.85546875" style="49" customWidth="1"/>
    <col min="11020" max="11020" width="3.140625" style="49" customWidth="1"/>
    <col min="11021" max="11021" width="28.85546875" style="49" customWidth="1"/>
    <col min="11022" max="11022" width="32.28515625" style="49" customWidth="1"/>
    <col min="11023" max="11023" width="36.28515625" style="49" customWidth="1"/>
    <col min="11024" max="11024" width="16.28515625" style="49" customWidth="1"/>
    <col min="11025" max="11025" width="35.7109375" style="49" customWidth="1"/>
    <col min="11026" max="11026" width="36.28515625" style="49" customWidth="1"/>
    <col min="11027" max="11027" width="35.7109375" style="49" customWidth="1"/>
    <col min="11028" max="11028" width="36.28515625" style="49" customWidth="1"/>
    <col min="11029" max="11029" width="35.7109375" style="49" customWidth="1"/>
    <col min="11030" max="11030" width="36.28515625" style="49" customWidth="1"/>
    <col min="11031" max="11031" width="35.7109375" style="49" customWidth="1"/>
    <col min="11032" max="11032" width="36.28515625" style="49" customWidth="1"/>
    <col min="11033" max="11033" width="16.28515625" style="49" customWidth="1"/>
    <col min="11034" max="11034" width="78.42578125" style="49" bestFit="1" customWidth="1"/>
    <col min="11035" max="11035" width="52.7109375" style="49" bestFit="1" customWidth="1"/>
    <col min="11036" max="11264" width="11.42578125" style="49"/>
    <col min="11265" max="11265" width="25.85546875" style="49" customWidth="1"/>
    <col min="11266" max="11266" width="20.85546875" style="49" bestFit="1" customWidth="1"/>
    <col min="11267" max="11267" width="28.85546875" style="49" customWidth="1"/>
    <col min="11268" max="11268" width="23.7109375" style="49" customWidth="1"/>
    <col min="11269" max="11269" width="24.42578125" style="49" bestFit="1" customWidth="1"/>
    <col min="11270" max="11270" width="21.140625" style="49" customWidth="1"/>
    <col min="11271" max="11273" width="25.7109375" style="49" customWidth="1"/>
    <col min="11274" max="11274" width="19.5703125" style="49" customWidth="1"/>
    <col min="11275" max="11275" width="15.85546875" style="49" customWidth="1"/>
    <col min="11276" max="11276" width="3.140625" style="49" customWidth="1"/>
    <col min="11277" max="11277" width="28.85546875" style="49" customWidth="1"/>
    <col min="11278" max="11278" width="32.28515625" style="49" customWidth="1"/>
    <col min="11279" max="11279" width="36.28515625" style="49" customWidth="1"/>
    <col min="11280" max="11280" width="16.28515625" style="49" customWidth="1"/>
    <col min="11281" max="11281" width="35.7109375" style="49" customWidth="1"/>
    <col min="11282" max="11282" width="36.28515625" style="49" customWidth="1"/>
    <col min="11283" max="11283" width="35.7109375" style="49" customWidth="1"/>
    <col min="11284" max="11284" width="36.28515625" style="49" customWidth="1"/>
    <col min="11285" max="11285" width="35.7109375" style="49" customWidth="1"/>
    <col min="11286" max="11286" width="36.28515625" style="49" customWidth="1"/>
    <col min="11287" max="11287" width="35.7109375" style="49" customWidth="1"/>
    <col min="11288" max="11288" width="36.28515625" style="49" customWidth="1"/>
    <col min="11289" max="11289" width="16.28515625" style="49" customWidth="1"/>
    <col min="11290" max="11290" width="78.42578125" style="49" bestFit="1" customWidth="1"/>
    <col min="11291" max="11291" width="52.7109375" style="49" bestFit="1" customWidth="1"/>
    <col min="11292" max="11520" width="11.42578125" style="49"/>
    <col min="11521" max="11521" width="25.85546875" style="49" customWidth="1"/>
    <col min="11522" max="11522" width="20.85546875" style="49" bestFit="1" customWidth="1"/>
    <col min="11523" max="11523" width="28.85546875" style="49" customWidth="1"/>
    <col min="11524" max="11524" width="23.7109375" style="49" customWidth="1"/>
    <col min="11525" max="11525" width="24.42578125" style="49" bestFit="1" customWidth="1"/>
    <col min="11526" max="11526" width="21.140625" style="49" customWidth="1"/>
    <col min="11527" max="11529" width="25.7109375" style="49" customWidth="1"/>
    <col min="11530" max="11530" width="19.5703125" style="49" customWidth="1"/>
    <col min="11531" max="11531" width="15.85546875" style="49" customWidth="1"/>
    <col min="11532" max="11532" width="3.140625" style="49" customWidth="1"/>
    <col min="11533" max="11533" width="28.85546875" style="49" customWidth="1"/>
    <col min="11534" max="11534" width="32.28515625" style="49" customWidth="1"/>
    <col min="11535" max="11535" width="36.28515625" style="49" customWidth="1"/>
    <col min="11536" max="11536" width="16.28515625" style="49" customWidth="1"/>
    <col min="11537" max="11537" width="35.7109375" style="49" customWidth="1"/>
    <col min="11538" max="11538" width="36.28515625" style="49" customWidth="1"/>
    <col min="11539" max="11539" width="35.7109375" style="49" customWidth="1"/>
    <col min="11540" max="11540" width="36.28515625" style="49" customWidth="1"/>
    <col min="11541" max="11541" width="35.7109375" style="49" customWidth="1"/>
    <col min="11542" max="11542" width="36.28515625" style="49" customWidth="1"/>
    <col min="11543" max="11543" width="35.7109375" style="49" customWidth="1"/>
    <col min="11544" max="11544" width="36.28515625" style="49" customWidth="1"/>
    <col min="11545" max="11545" width="16.28515625" style="49" customWidth="1"/>
    <col min="11546" max="11546" width="78.42578125" style="49" bestFit="1" customWidth="1"/>
    <col min="11547" max="11547" width="52.7109375" style="49" bestFit="1" customWidth="1"/>
    <col min="11548" max="11776" width="11.42578125" style="49"/>
    <col min="11777" max="11777" width="25.85546875" style="49" customWidth="1"/>
    <col min="11778" max="11778" width="20.85546875" style="49" bestFit="1" customWidth="1"/>
    <col min="11779" max="11779" width="28.85546875" style="49" customWidth="1"/>
    <col min="11780" max="11780" width="23.7109375" style="49" customWidth="1"/>
    <col min="11781" max="11781" width="24.42578125" style="49" bestFit="1" customWidth="1"/>
    <col min="11782" max="11782" width="21.140625" style="49" customWidth="1"/>
    <col min="11783" max="11785" width="25.7109375" style="49" customWidth="1"/>
    <col min="11786" max="11786" width="19.5703125" style="49" customWidth="1"/>
    <col min="11787" max="11787" width="15.85546875" style="49" customWidth="1"/>
    <col min="11788" max="11788" width="3.140625" style="49" customWidth="1"/>
    <col min="11789" max="11789" width="28.85546875" style="49" customWidth="1"/>
    <col min="11790" max="11790" width="32.28515625" style="49" customWidth="1"/>
    <col min="11791" max="11791" width="36.28515625" style="49" customWidth="1"/>
    <col min="11792" max="11792" width="16.28515625" style="49" customWidth="1"/>
    <col min="11793" max="11793" width="35.7109375" style="49" customWidth="1"/>
    <col min="11794" max="11794" width="36.28515625" style="49" customWidth="1"/>
    <col min="11795" max="11795" width="35.7109375" style="49" customWidth="1"/>
    <col min="11796" max="11796" width="36.28515625" style="49" customWidth="1"/>
    <col min="11797" max="11797" width="35.7109375" style="49" customWidth="1"/>
    <col min="11798" max="11798" width="36.28515625" style="49" customWidth="1"/>
    <col min="11799" max="11799" width="35.7109375" style="49" customWidth="1"/>
    <col min="11800" max="11800" width="36.28515625" style="49" customWidth="1"/>
    <col min="11801" max="11801" width="16.28515625" style="49" customWidth="1"/>
    <col min="11802" max="11802" width="78.42578125" style="49" bestFit="1" customWidth="1"/>
    <col min="11803" max="11803" width="52.7109375" style="49" bestFit="1" customWidth="1"/>
    <col min="11804" max="12032" width="11.42578125" style="49"/>
    <col min="12033" max="12033" width="25.85546875" style="49" customWidth="1"/>
    <col min="12034" max="12034" width="20.85546875" style="49" bestFit="1" customWidth="1"/>
    <col min="12035" max="12035" width="28.85546875" style="49" customWidth="1"/>
    <col min="12036" max="12036" width="23.7109375" style="49" customWidth="1"/>
    <col min="12037" max="12037" width="24.42578125" style="49" bestFit="1" customWidth="1"/>
    <col min="12038" max="12038" width="21.140625" style="49" customWidth="1"/>
    <col min="12039" max="12041" width="25.7109375" style="49" customWidth="1"/>
    <col min="12042" max="12042" width="19.5703125" style="49" customWidth="1"/>
    <col min="12043" max="12043" width="15.85546875" style="49" customWidth="1"/>
    <col min="12044" max="12044" width="3.140625" style="49" customWidth="1"/>
    <col min="12045" max="12045" width="28.85546875" style="49" customWidth="1"/>
    <col min="12046" max="12046" width="32.28515625" style="49" customWidth="1"/>
    <col min="12047" max="12047" width="36.28515625" style="49" customWidth="1"/>
    <col min="12048" max="12048" width="16.28515625" style="49" customWidth="1"/>
    <col min="12049" max="12049" width="35.7109375" style="49" customWidth="1"/>
    <col min="12050" max="12050" width="36.28515625" style="49" customWidth="1"/>
    <col min="12051" max="12051" width="35.7109375" style="49" customWidth="1"/>
    <col min="12052" max="12052" width="36.28515625" style="49" customWidth="1"/>
    <col min="12053" max="12053" width="35.7109375" style="49" customWidth="1"/>
    <col min="12054" max="12054" width="36.28515625" style="49" customWidth="1"/>
    <col min="12055" max="12055" width="35.7109375" style="49" customWidth="1"/>
    <col min="12056" max="12056" width="36.28515625" style="49" customWidth="1"/>
    <col min="12057" max="12057" width="16.28515625" style="49" customWidth="1"/>
    <col min="12058" max="12058" width="78.42578125" style="49" bestFit="1" customWidth="1"/>
    <col min="12059" max="12059" width="52.7109375" style="49" bestFit="1" customWidth="1"/>
    <col min="12060" max="12288" width="11.42578125" style="49"/>
    <col min="12289" max="12289" width="25.85546875" style="49" customWidth="1"/>
    <col min="12290" max="12290" width="20.85546875" style="49" bestFit="1" customWidth="1"/>
    <col min="12291" max="12291" width="28.85546875" style="49" customWidth="1"/>
    <col min="12292" max="12292" width="23.7109375" style="49" customWidth="1"/>
    <col min="12293" max="12293" width="24.42578125" style="49" bestFit="1" customWidth="1"/>
    <col min="12294" max="12294" width="21.140625" style="49" customWidth="1"/>
    <col min="12295" max="12297" width="25.7109375" style="49" customWidth="1"/>
    <col min="12298" max="12298" width="19.5703125" style="49" customWidth="1"/>
    <col min="12299" max="12299" width="15.85546875" style="49" customWidth="1"/>
    <col min="12300" max="12300" width="3.140625" style="49" customWidth="1"/>
    <col min="12301" max="12301" width="28.85546875" style="49" customWidth="1"/>
    <col min="12302" max="12302" width="32.28515625" style="49" customWidth="1"/>
    <col min="12303" max="12303" width="36.28515625" style="49" customWidth="1"/>
    <col min="12304" max="12304" width="16.28515625" style="49" customWidth="1"/>
    <col min="12305" max="12305" width="35.7109375" style="49" customWidth="1"/>
    <col min="12306" max="12306" width="36.28515625" style="49" customWidth="1"/>
    <col min="12307" max="12307" width="35.7109375" style="49" customWidth="1"/>
    <col min="12308" max="12308" width="36.28515625" style="49" customWidth="1"/>
    <col min="12309" max="12309" width="35.7109375" style="49" customWidth="1"/>
    <col min="12310" max="12310" width="36.28515625" style="49" customWidth="1"/>
    <col min="12311" max="12311" width="35.7109375" style="49" customWidth="1"/>
    <col min="12312" max="12312" width="36.28515625" style="49" customWidth="1"/>
    <col min="12313" max="12313" width="16.28515625" style="49" customWidth="1"/>
    <col min="12314" max="12314" width="78.42578125" style="49" bestFit="1" customWidth="1"/>
    <col min="12315" max="12315" width="52.7109375" style="49" bestFit="1" customWidth="1"/>
    <col min="12316" max="12544" width="11.42578125" style="49"/>
    <col min="12545" max="12545" width="25.85546875" style="49" customWidth="1"/>
    <col min="12546" max="12546" width="20.85546875" style="49" bestFit="1" customWidth="1"/>
    <col min="12547" max="12547" width="28.85546875" style="49" customWidth="1"/>
    <col min="12548" max="12548" width="23.7109375" style="49" customWidth="1"/>
    <col min="12549" max="12549" width="24.42578125" style="49" bestFit="1" customWidth="1"/>
    <col min="12550" max="12550" width="21.140625" style="49" customWidth="1"/>
    <col min="12551" max="12553" width="25.7109375" style="49" customWidth="1"/>
    <col min="12554" max="12554" width="19.5703125" style="49" customWidth="1"/>
    <col min="12555" max="12555" width="15.85546875" style="49" customWidth="1"/>
    <col min="12556" max="12556" width="3.140625" style="49" customWidth="1"/>
    <col min="12557" max="12557" width="28.85546875" style="49" customWidth="1"/>
    <col min="12558" max="12558" width="32.28515625" style="49" customWidth="1"/>
    <col min="12559" max="12559" width="36.28515625" style="49" customWidth="1"/>
    <col min="12560" max="12560" width="16.28515625" style="49" customWidth="1"/>
    <col min="12561" max="12561" width="35.7109375" style="49" customWidth="1"/>
    <col min="12562" max="12562" width="36.28515625" style="49" customWidth="1"/>
    <col min="12563" max="12563" width="35.7109375" style="49" customWidth="1"/>
    <col min="12564" max="12564" width="36.28515625" style="49" customWidth="1"/>
    <col min="12565" max="12565" width="35.7109375" style="49" customWidth="1"/>
    <col min="12566" max="12566" width="36.28515625" style="49" customWidth="1"/>
    <col min="12567" max="12567" width="35.7109375" style="49" customWidth="1"/>
    <col min="12568" max="12568" width="36.28515625" style="49" customWidth="1"/>
    <col min="12569" max="12569" width="16.28515625" style="49" customWidth="1"/>
    <col min="12570" max="12570" width="78.42578125" style="49" bestFit="1" customWidth="1"/>
    <col min="12571" max="12571" width="52.7109375" style="49" bestFit="1" customWidth="1"/>
    <col min="12572" max="12800" width="11.42578125" style="49"/>
    <col min="12801" max="12801" width="25.85546875" style="49" customWidth="1"/>
    <col min="12802" max="12802" width="20.85546875" style="49" bestFit="1" customWidth="1"/>
    <col min="12803" max="12803" width="28.85546875" style="49" customWidth="1"/>
    <col min="12804" max="12804" width="23.7109375" style="49" customWidth="1"/>
    <col min="12805" max="12805" width="24.42578125" style="49" bestFit="1" customWidth="1"/>
    <col min="12806" max="12806" width="21.140625" style="49" customWidth="1"/>
    <col min="12807" max="12809" width="25.7109375" style="49" customWidth="1"/>
    <col min="12810" max="12810" width="19.5703125" style="49" customWidth="1"/>
    <col min="12811" max="12811" width="15.85546875" style="49" customWidth="1"/>
    <col min="12812" max="12812" width="3.140625" style="49" customWidth="1"/>
    <col min="12813" max="12813" width="28.85546875" style="49" customWidth="1"/>
    <col min="12814" max="12814" width="32.28515625" style="49" customWidth="1"/>
    <col min="12815" max="12815" width="36.28515625" style="49" customWidth="1"/>
    <col min="12816" max="12816" width="16.28515625" style="49" customWidth="1"/>
    <col min="12817" max="12817" width="35.7109375" style="49" customWidth="1"/>
    <col min="12818" max="12818" width="36.28515625" style="49" customWidth="1"/>
    <col min="12819" max="12819" width="35.7109375" style="49" customWidth="1"/>
    <col min="12820" max="12820" width="36.28515625" style="49" customWidth="1"/>
    <col min="12821" max="12821" width="35.7109375" style="49" customWidth="1"/>
    <col min="12822" max="12822" width="36.28515625" style="49" customWidth="1"/>
    <col min="12823" max="12823" width="35.7109375" style="49" customWidth="1"/>
    <col min="12824" max="12824" width="36.28515625" style="49" customWidth="1"/>
    <col min="12825" max="12825" width="16.28515625" style="49" customWidth="1"/>
    <col min="12826" max="12826" width="78.42578125" style="49" bestFit="1" customWidth="1"/>
    <col min="12827" max="12827" width="52.7109375" style="49" bestFit="1" customWidth="1"/>
    <col min="12828" max="13056" width="11.42578125" style="49"/>
    <col min="13057" max="13057" width="25.85546875" style="49" customWidth="1"/>
    <col min="13058" max="13058" width="20.85546875" style="49" bestFit="1" customWidth="1"/>
    <col min="13059" max="13059" width="28.85546875" style="49" customWidth="1"/>
    <col min="13060" max="13060" width="23.7109375" style="49" customWidth="1"/>
    <col min="13061" max="13061" width="24.42578125" style="49" bestFit="1" customWidth="1"/>
    <col min="13062" max="13062" width="21.140625" style="49" customWidth="1"/>
    <col min="13063" max="13065" width="25.7109375" style="49" customWidth="1"/>
    <col min="13066" max="13066" width="19.5703125" style="49" customWidth="1"/>
    <col min="13067" max="13067" width="15.85546875" style="49" customWidth="1"/>
    <col min="13068" max="13068" width="3.140625" style="49" customWidth="1"/>
    <col min="13069" max="13069" width="28.85546875" style="49" customWidth="1"/>
    <col min="13070" max="13070" width="32.28515625" style="49" customWidth="1"/>
    <col min="13071" max="13071" width="36.28515625" style="49" customWidth="1"/>
    <col min="13072" max="13072" width="16.28515625" style="49" customWidth="1"/>
    <col min="13073" max="13073" width="35.7109375" style="49" customWidth="1"/>
    <col min="13074" max="13074" width="36.28515625" style="49" customWidth="1"/>
    <col min="13075" max="13075" width="35.7109375" style="49" customWidth="1"/>
    <col min="13076" max="13076" width="36.28515625" style="49" customWidth="1"/>
    <col min="13077" max="13077" width="35.7109375" style="49" customWidth="1"/>
    <col min="13078" max="13078" width="36.28515625" style="49" customWidth="1"/>
    <col min="13079" max="13079" width="35.7109375" style="49" customWidth="1"/>
    <col min="13080" max="13080" width="36.28515625" style="49" customWidth="1"/>
    <col min="13081" max="13081" width="16.28515625" style="49" customWidth="1"/>
    <col min="13082" max="13082" width="78.42578125" style="49" bestFit="1" customWidth="1"/>
    <col min="13083" max="13083" width="52.7109375" style="49" bestFit="1" customWidth="1"/>
    <col min="13084" max="13312" width="11.42578125" style="49"/>
    <col min="13313" max="13313" width="25.85546875" style="49" customWidth="1"/>
    <col min="13314" max="13314" width="20.85546875" style="49" bestFit="1" customWidth="1"/>
    <col min="13315" max="13315" width="28.85546875" style="49" customWidth="1"/>
    <col min="13316" max="13316" width="23.7109375" style="49" customWidth="1"/>
    <col min="13317" max="13317" width="24.42578125" style="49" bestFit="1" customWidth="1"/>
    <col min="13318" max="13318" width="21.140625" style="49" customWidth="1"/>
    <col min="13319" max="13321" width="25.7109375" style="49" customWidth="1"/>
    <col min="13322" max="13322" width="19.5703125" style="49" customWidth="1"/>
    <col min="13323" max="13323" width="15.85546875" style="49" customWidth="1"/>
    <col min="13324" max="13324" width="3.140625" style="49" customWidth="1"/>
    <col min="13325" max="13325" width="28.85546875" style="49" customWidth="1"/>
    <col min="13326" max="13326" width="32.28515625" style="49" customWidth="1"/>
    <col min="13327" max="13327" width="36.28515625" style="49" customWidth="1"/>
    <col min="13328" max="13328" width="16.28515625" style="49" customWidth="1"/>
    <col min="13329" max="13329" width="35.7109375" style="49" customWidth="1"/>
    <col min="13330" max="13330" width="36.28515625" style="49" customWidth="1"/>
    <col min="13331" max="13331" width="35.7109375" style="49" customWidth="1"/>
    <col min="13332" max="13332" width="36.28515625" style="49" customWidth="1"/>
    <col min="13333" max="13333" width="35.7109375" style="49" customWidth="1"/>
    <col min="13334" max="13334" width="36.28515625" style="49" customWidth="1"/>
    <col min="13335" max="13335" width="35.7109375" style="49" customWidth="1"/>
    <col min="13336" max="13336" width="36.28515625" style="49" customWidth="1"/>
    <col min="13337" max="13337" width="16.28515625" style="49" customWidth="1"/>
    <col min="13338" max="13338" width="78.42578125" style="49" bestFit="1" customWidth="1"/>
    <col min="13339" max="13339" width="52.7109375" style="49" bestFit="1" customWidth="1"/>
    <col min="13340" max="13568" width="11.42578125" style="49"/>
    <col min="13569" max="13569" width="25.85546875" style="49" customWidth="1"/>
    <col min="13570" max="13570" width="20.85546875" style="49" bestFit="1" customWidth="1"/>
    <col min="13571" max="13571" width="28.85546875" style="49" customWidth="1"/>
    <col min="13572" max="13572" width="23.7109375" style="49" customWidth="1"/>
    <col min="13573" max="13573" width="24.42578125" style="49" bestFit="1" customWidth="1"/>
    <col min="13574" max="13574" width="21.140625" style="49" customWidth="1"/>
    <col min="13575" max="13577" width="25.7109375" style="49" customWidth="1"/>
    <col min="13578" max="13578" width="19.5703125" style="49" customWidth="1"/>
    <col min="13579" max="13579" width="15.85546875" style="49" customWidth="1"/>
    <col min="13580" max="13580" width="3.140625" style="49" customWidth="1"/>
    <col min="13581" max="13581" width="28.85546875" style="49" customWidth="1"/>
    <col min="13582" max="13582" width="32.28515625" style="49" customWidth="1"/>
    <col min="13583" max="13583" width="36.28515625" style="49" customWidth="1"/>
    <col min="13584" max="13584" width="16.28515625" style="49" customWidth="1"/>
    <col min="13585" max="13585" width="35.7109375" style="49" customWidth="1"/>
    <col min="13586" max="13586" width="36.28515625" style="49" customWidth="1"/>
    <col min="13587" max="13587" width="35.7109375" style="49" customWidth="1"/>
    <col min="13588" max="13588" width="36.28515625" style="49" customWidth="1"/>
    <col min="13589" max="13589" width="35.7109375" style="49" customWidth="1"/>
    <col min="13590" max="13590" width="36.28515625" style="49" customWidth="1"/>
    <col min="13591" max="13591" width="35.7109375" style="49" customWidth="1"/>
    <col min="13592" max="13592" width="36.28515625" style="49" customWidth="1"/>
    <col min="13593" max="13593" width="16.28515625" style="49" customWidth="1"/>
    <col min="13594" max="13594" width="78.42578125" style="49" bestFit="1" customWidth="1"/>
    <col min="13595" max="13595" width="52.7109375" style="49" bestFit="1" customWidth="1"/>
    <col min="13596" max="13824" width="11.42578125" style="49"/>
    <col min="13825" max="13825" width="25.85546875" style="49" customWidth="1"/>
    <col min="13826" max="13826" width="20.85546875" style="49" bestFit="1" customWidth="1"/>
    <col min="13827" max="13827" width="28.85546875" style="49" customWidth="1"/>
    <col min="13828" max="13828" width="23.7109375" style="49" customWidth="1"/>
    <col min="13829" max="13829" width="24.42578125" style="49" bestFit="1" customWidth="1"/>
    <col min="13830" max="13830" width="21.140625" style="49" customWidth="1"/>
    <col min="13831" max="13833" width="25.7109375" style="49" customWidth="1"/>
    <col min="13834" max="13834" width="19.5703125" style="49" customWidth="1"/>
    <col min="13835" max="13835" width="15.85546875" style="49" customWidth="1"/>
    <col min="13836" max="13836" width="3.140625" style="49" customWidth="1"/>
    <col min="13837" max="13837" width="28.85546875" style="49" customWidth="1"/>
    <col min="13838" max="13838" width="32.28515625" style="49" customWidth="1"/>
    <col min="13839" max="13839" width="36.28515625" style="49" customWidth="1"/>
    <col min="13840" max="13840" width="16.28515625" style="49" customWidth="1"/>
    <col min="13841" max="13841" width="35.7109375" style="49" customWidth="1"/>
    <col min="13842" max="13842" width="36.28515625" style="49" customWidth="1"/>
    <col min="13843" max="13843" width="35.7109375" style="49" customWidth="1"/>
    <col min="13844" max="13844" width="36.28515625" style="49" customWidth="1"/>
    <col min="13845" max="13845" width="35.7109375" style="49" customWidth="1"/>
    <col min="13846" max="13846" width="36.28515625" style="49" customWidth="1"/>
    <col min="13847" max="13847" width="35.7109375" style="49" customWidth="1"/>
    <col min="13848" max="13848" width="36.28515625" style="49" customWidth="1"/>
    <col min="13849" max="13849" width="16.28515625" style="49" customWidth="1"/>
    <col min="13850" max="13850" width="78.42578125" style="49" bestFit="1" customWidth="1"/>
    <col min="13851" max="13851" width="52.7109375" style="49" bestFit="1" customWidth="1"/>
    <col min="13852" max="14080" width="11.42578125" style="49"/>
    <col min="14081" max="14081" width="25.85546875" style="49" customWidth="1"/>
    <col min="14082" max="14082" width="20.85546875" style="49" bestFit="1" customWidth="1"/>
    <col min="14083" max="14083" width="28.85546875" style="49" customWidth="1"/>
    <col min="14084" max="14084" width="23.7109375" style="49" customWidth="1"/>
    <col min="14085" max="14085" width="24.42578125" style="49" bestFit="1" customWidth="1"/>
    <col min="14086" max="14086" width="21.140625" style="49" customWidth="1"/>
    <col min="14087" max="14089" width="25.7109375" style="49" customWidth="1"/>
    <col min="14090" max="14090" width="19.5703125" style="49" customWidth="1"/>
    <col min="14091" max="14091" width="15.85546875" style="49" customWidth="1"/>
    <col min="14092" max="14092" width="3.140625" style="49" customWidth="1"/>
    <col min="14093" max="14093" width="28.85546875" style="49" customWidth="1"/>
    <col min="14094" max="14094" width="32.28515625" style="49" customWidth="1"/>
    <col min="14095" max="14095" width="36.28515625" style="49" customWidth="1"/>
    <col min="14096" max="14096" width="16.28515625" style="49" customWidth="1"/>
    <col min="14097" max="14097" width="35.7109375" style="49" customWidth="1"/>
    <col min="14098" max="14098" width="36.28515625" style="49" customWidth="1"/>
    <col min="14099" max="14099" width="35.7109375" style="49" customWidth="1"/>
    <col min="14100" max="14100" width="36.28515625" style="49" customWidth="1"/>
    <col min="14101" max="14101" width="35.7109375" style="49" customWidth="1"/>
    <col min="14102" max="14102" width="36.28515625" style="49" customWidth="1"/>
    <col min="14103" max="14103" width="35.7109375" style="49" customWidth="1"/>
    <col min="14104" max="14104" width="36.28515625" style="49" customWidth="1"/>
    <col min="14105" max="14105" width="16.28515625" style="49" customWidth="1"/>
    <col min="14106" max="14106" width="78.42578125" style="49" bestFit="1" customWidth="1"/>
    <col min="14107" max="14107" width="52.7109375" style="49" bestFit="1" customWidth="1"/>
    <col min="14108" max="14336" width="11.42578125" style="49"/>
    <col min="14337" max="14337" width="25.85546875" style="49" customWidth="1"/>
    <col min="14338" max="14338" width="20.85546875" style="49" bestFit="1" customWidth="1"/>
    <col min="14339" max="14339" width="28.85546875" style="49" customWidth="1"/>
    <col min="14340" max="14340" width="23.7109375" style="49" customWidth="1"/>
    <col min="14341" max="14341" width="24.42578125" style="49" bestFit="1" customWidth="1"/>
    <col min="14342" max="14342" width="21.140625" style="49" customWidth="1"/>
    <col min="14343" max="14345" width="25.7109375" style="49" customWidth="1"/>
    <col min="14346" max="14346" width="19.5703125" style="49" customWidth="1"/>
    <col min="14347" max="14347" width="15.85546875" style="49" customWidth="1"/>
    <col min="14348" max="14348" width="3.140625" style="49" customWidth="1"/>
    <col min="14349" max="14349" width="28.85546875" style="49" customWidth="1"/>
    <col min="14350" max="14350" width="32.28515625" style="49" customWidth="1"/>
    <col min="14351" max="14351" width="36.28515625" style="49" customWidth="1"/>
    <col min="14352" max="14352" width="16.28515625" style="49" customWidth="1"/>
    <col min="14353" max="14353" width="35.7109375" style="49" customWidth="1"/>
    <col min="14354" max="14354" width="36.28515625" style="49" customWidth="1"/>
    <col min="14355" max="14355" width="35.7109375" style="49" customWidth="1"/>
    <col min="14356" max="14356" width="36.28515625" style="49" customWidth="1"/>
    <col min="14357" max="14357" width="35.7109375" style="49" customWidth="1"/>
    <col min="14358" max="14358" width="36.28515625" style="49" customWidth="1"/>
    <col min="14359" max="14359" width="35.7109375" style="49" customWidth="1"/>
    <col min="14360" max="14360" width="36.28515625" style="49" customWidth="1"/>
    <col min="14361" max="14361" width="16.28515625" style="49" customWidth="1"/>
    <col min="14362" max="14362" width="78.42578125" style="49" bestFit="1" customWidth="1"/>
    <col min="14363" max="14363" width="52.7109375" style="49" bestFit="1" customWidth="1"/>
    <col min="14364" max="14592" width="11.42578125" style="49"/>
    <col min="14593" max="14593" width="25.85546875" style="49" customWidth="1"/>
    <col min="14594" max="14594" width="20.85546875" style="49" bestFit="1" customWidth="1"/>
    <col min="14595" max="14595" width="28.85546875" style="49" customWidth="1"/>
    <col min="14596" max="14596" width="23.7109375" style="49" customWidth="1"/>
    <col min="14597" max="14597" width="24.42578125" style="49" bestFit="1" customWidth="1"/>
    <col min="14598" max="14598" width="21.140625" style="49" customWidth="1"/>
    <col min="14599" max="14601" width="25.7109375" style="49" customWidth="1"/>
    <col min="14602" max="14602" width="19.5703125" style="49" customWidth="1"/>
    <col min="14603" max="14603" width="15.85546875" style="49" customWidth="1"/>
    <col min="14604" max="14604" width="3.140625" style="49" customWidth="1"/>
    <col min="14605" max="14605" width="28.85546875" style="49" customWidth="1"/>
    <col min="14606" max="14606" width="32.28515625" style="49" customWidth="1"/>
    <col min="14607" max="14607" width="36.28515625" style="49" customWidth="1"/>
    <col min="14608" max="14608" width="16.28515625" style="49" customWidth="1"/>
    <col min="14609" max="14609" width="35.7109375" style="49" customWidth="1"/>
    <col min="14610" max="14610" width="36.28515625" style="49" customWidth="1"/>
    <col min="14611" max="14611" width="35.7109375" style="49" customWidth="1"/>
    <col min="14612" max="14612" width="36.28515625" style="49" customWidth="1"/>
    <col min="14613" max="14613" width="35.7109375" style="49" customWidth="1"/>
    <col min="14614" max="14614" width="36.28515625" style="49" customWidth="1"/>
    <col min="14615" max="14615" width="35.7109375" style="49" customWidth="1"/>
    <col min="14616" max="14616" width="36.28515625" style="49" customWidth="1"/>
    <col min="14617" max="14617" width="16.28515625" style="49" customWidth="1"/>
    <col min="14618" max="14618" width="78.42578125" style="49" bestFit="1" customWidth="1"/>
    <col min="14619" max="14619" width="52.7109375" style="49" bestFit="1" customWidth="1"/>
    <col min="14620" max="14848" width="11.42578125" style="49"/>
    <col min="14849" max="14849" width="25.85546875" style="49" customWidth="1"/>
    <col min="14850" max="14850" width="20.85546875" style="49" bestFit="1" customWidth="1"/>
    <col min="14851" max="14851" width="28.85546875" style="49" customWidth="1"/>
    <col min="14852" max="14852" width="23.7109375" style="49" customWidth="1"/>
    <col min="14853" max="14853" width="24.42578125" style="49" bestFit="1" customWidth="1"/>
    <col min="14854" max="14854" width="21.140625" style="49" customWidth="1"/>
    <col min="14855" max="14857" width="25.7109375" style="49" customWidth="1"/>
    <col min="14858" max="14858" width="19.5703125" style="49" customWidth="1"/>
    <col min="14859" max="14859" width="15.85546875" style="49" customWidth="1"/>
    <col min="14860" max="14860" width="3.140625" style="49" customWidth="1"/>
    <col min="14861" max="14861" width="28.85546875" style="49" customWidth="1"/>
    <col min="14862" max="14862" width="32.28515625" style="49" customWidth="1"/>
    <col min="14863" max="14863" width="36.28515625" style="49" customWidth="1"/>
    <col min="14864" max="14864" width="16.28515625" style="49" customWidth="1"/>
    <col min="14865" max="14865" width="35.7109375" style="49" customWidth="1"/>
    <col min="14866" max="14866" width="36.28515625" style="49" customWidth="1"/>
    <col min="14867" max="14867" width="35.7109375" style="49" customWidth="1"/>
    <col min="14868" max="14868" width="36.28515625" style="49" customWidth="1"/>
    <col min="14869" max="14869" width="35.7109375" style="49" customWidth="1"/>
    <col min="14870" max="14870" width="36.28515625" style="49" customWidth="1"/>
    <col min="14871" max="14871" width="35.7109375" style="49" customWidth="1"/>
    <col min="14872" max="14872" width="36.28515625" style="49" customWidth="1"/>
    <col min="14873" max="14873" width="16.28515625" style="49" customWidth="1"/>
    <col min="14874" max="14874" width="78.42578125" style="49" bestFit="1" customWidth="1"/>
    <col min="14875" max="14875" width="52.7109375" style="49" bestFit="1" customWidth="1"/>
    <col min="14876" max="15104" width="11.42578125" style="49"/>
    <col min="15105" max="15105" width="25.85546875" style="49" customWidth="1"/>
    <col min="15106" max="15106" width="20.85546875" style="49" bestFit="1" customWidth="1"/>
    <col min="15107" max="15107" width="28.85546875" style="49" customWidth="1"/>
    <col min="15108" max="15108" width="23.7109375" style="49" customWidth="1"/>
    <col min="15109" max="15109" width="24.42578125" style="49" bestFit="1" customWidth="1"/>
    <col min="15110" max="15110" width="21.140625" style="49" customWidth="1"/>
    <col min="15111" max="15113" width="25.7109375" style="49" customWidth="1"/>
    <col min="15114" max="15114" width="19.5703125" style="49" customWidth="1"/>
    <col min="15115" max="15115" width="15.85546875" style="49" customWidth="1"/>
    <col min="15116" max="15116" width="3.140625" style="49" customWidth="1"/>
    <col min="15117" max="15117" width="28.85546875" style="49" customWidth="1"/>
    <col min="15118" max="15118" width="32.28515625" style="49" customWidth="1"/>
    <col min="15119" max="15119" width="36.28515625" style="49" customWidth="1"/>
    <col min="15120" max="15120" width="16.28515625" style="49" customWidth="1"/>
    <col min="15121" max="15121" width="35.7109375" style="49" customWidth="1"/>
    <col min="15122" max="15122" width="36.28515625" style="49" customWidth="1"/>
    <col min="15123" max="15123" width="35.7109375" style="49" customWidth="1"/>
    <col min="15124" max="15124" width="36.28515625" style="49" customWidth="1"/>
    <col min="15125" max="15125" width="35.7109375" style="49" customWidth="1"/>
    <col min="15126" max="15126" width="36.28515625" style="49" customWidth="1"/>
    <col min="15127" max="15127" width="35.7109375" style="49" customWidth="1"/>
    <col min="15128" max="15128" width="36.28515625" style="49" customWidth="1"/>
    <col min="15129" max="15129" width="16.28515625" style="49" customWidth="1"/>
    <col min="15130" max="15130" width="78.42578125" style="49" bestFit="1" customWidth="1"/>
    <col min="15131" max="15131" width="52.7109375" style="49" bestFit="1" customWidth="1"/>
    <col min="15132" max="15360" width="11.42578125" style="49"/>
    <col min="15361" max="15361" width="25.85546875" style="49" customWidth="1"/>
    <col min="15362" max="15362" width="20.85546875" style="49" bestFit="1" customWidth="1"/>
    <col min="15363" max="15363" width="28.85546875" style="49" customWidth="1"/>
    <col min="15364" max="15364" width="23.7109375" style="49" customWidth="1"/>
    <col min="15365" max="15365" width="24.42578125" style="49" bestFit="1" customWidth="1"/>
    <col min="15366" max="15366" width="21.140625" style="49" customWidth="1"/>
    <col min="15367" max="15369" width="25.7109375" style="49" customWidth="1"/>
    <col min="15370" max="15370" width="19.5703125" style="49" customWidth="1"/>
    <col min="15371" max="15371" width="15.85546875" style="49" customWidth="1"/>
    <col min="15372" max="15372" width="3.140625" style="49" customWidth="1"/>
    <col min="15373" max="15373" width="28.85546875" style="49" customWidth="1"/>
    <col min="15374" max="15374" width="32.28515625" style="49" customWidth="1"/>
    <col min="15375" max="15375" width="36.28515625" style="49" customWidth="1"/>
    <col min="15376" max="15376" width="16.28515625" style="49" customWidth="1"/>
    <col min="15377" max="15377" width="35.7109375" style="49" customWidth="1"/>
    <col min="15378" max="15378" width="36.28515625" style="49" customWidth="1"/>
    <col min="15379" max="15379" width="35.7109375" style="49" customWidth="1"/>
    <col min="15380" max="15380" width="36.28515625" style="49" customWidth="1"/>
    <col min="15381" max="15381" width="35.7109375" style="49" customWidth="1"/>
    <col min="15382" max="15382" width="36.28515625" style="49" customWidth="1"/>
    <col min="15383" max="15383" width="35.7109375" style="49" customWidth="1"/>
    <col min="15384" max="15384" width="36.28515625" style="49" customWidth="1"/>
    <col min="15385" max="15385" width="16.28515625" style="49" customWidth="1"/>
    <col min="15386" max="15386" width="78.42578125" style="49" bestFit="1" customWidth="1"/>
    <col min="15387" max="15387" width="52.7109375" style="49" bestFit="1" customWidth="1"/>
    <col min="15388" max="15616" width="11.42578125" style="49"/>
    <col min="15617" max="15617" width="25.85546875" style="49" customWidth="1"/>
    <col min="15618" max="15618" width="20.85546875" style="49" bestFit="1" customWidth="1"/>
    <col min="15619" max="15619" width="28.85546875" style="49" customWidth="1"/>
    <col min="15620" max="15620" width="23.7109375" style="49" customWidth="1"/>
    <col min="15621" max="15621" width="24.42578125" style="49" bestFit="1" customWidth="1"/>
    <col min="15622" max="15622" width="21.140625" style="49" customWidth="1"/>
    <col min="15623" max="15625" width="25.7109375" style="49" customWidth="1"/>
    <col min="15626" max="15626" width="19.5703125" style="49" customWidth="1"/>
    <col min="15627" max="15627" width="15.85546875" style="49" customWidth="1"/>
    <col min="15628" max="15628" width="3.140625" style="49" customWidth="1"/>
    <col min="15629" max="15629" width="28.85546875" style="49" customWidth="1"/>
    <col min="15630" max="15630" width="32.28515625" style="49" customWidth="1"/>
    <col min="15631" max="15631" width="36.28515625" style="49" customWidth="1"/>
    <col min="15632" max="15632" width="16.28515625" style="49" customWidth="1"/>
    <col min="15633" max="15633" width="35.7109375" style="49" customWidth="1"/>
    <col min="15634" max="15634" width="36.28515625" style="49" customWidth="1"/>
    <col min="15635" max="15635" width="35.7109375" style="49" customWidth="1"/>
    <col min="15636" max="15636" width="36.28515625" style="49" customWidth="1"/>
    <col min="15637" max="15637" width="35.7109375" style="49" customWidth="1"/>
    <col min="15638" max="15638" width="36.28515625" style="49" customWidth="1"/>
    <col min="15639" max="15639" width="35.7109375" style="49" customWidth="1"/>
    <col min="15640" max="15640" width="36.28515625" style="49" customWidth="1"/>
    <col min="15641" max="15641" width="16.28515625" style="49" customWidth="1"/>
    <col min="15642" max="15642" width="78.42578125" style="49" bestFit="1" customWidth="1"/>
    <col min="15643" max="15643" width="52.7109375" style="49" bestFit="1" customWidth="1"/>
    <col min="15644" max="15872" width="11.42578125" style="49"/>
    <col min="15873" max="15873" width="25.85546875" style="49" customWidth="1"/>
    <col min="15874" max="15874" width="20.85546875" style="49" bestFit="1" customWidth="1"/>
    <col min="15875" max="15875" width="28.85546875" style="49" customWidth="1"/>
    <col min="15876" max="15876" width="23.7109375" style="49" customWidth="1"/>
    <col min="15877" max="15877" width="24.42578125" style="49" bestFit="1" customWidth="1"/>
    <col min="15878" max="15878" width="21.140625" style="49" customWidth="1"/>
    <col min="15879" max="15881" width="25.7109375" style="49" customWidth="1"/>
    <col min="15882" max="15882" width="19.5703125" style="49" customWidth="1"/>
    <col min="15883" max="15883" width="15.85546875" style="49" customWidth="1"/>
    <col min="15884" max="15884" width="3.140625" style="49" customWidth="1"/>
    <col min="15885" max="15885" width="28.85546875" style="49" customWidth="1"/>
    <col min="15886" max="15886" width="32.28515625" style="49" customWidth="1"/>
    <col min="15887" max="15887" width="36.28515625" style="49" customWidth="1"/>
    <col min="15888" max="15888" width="16.28515625" style="49" customWidth="1"/>
    <col min="15889" max="15889" width="35.7109375" style="49" customWidth="1"/>
    <col min="15890" max="15890" width="36.28515625" style="49" customWidth="1"/>
    <col min="15891" max="15891" width="35.7109375" style="49" customWidth="1"/>
    <col min="15892" max="15892" width="36.28515625" style="49" customWidth="1"/>
    <col min="15893" max="15893" width="35.7109375" style="49" customWidth="1"/>
    <col min="15894" max="15894" width="36.28515625" style="49" customWidth="1"/>
    <col min="15895" max="15895" width="35.7109375" style="49" customWidth="1"/>
    <col min="15896" max="15896" width="36.28515625" style="49" customWidth="1"/>
    <col min="15897" max="15897" width="16.28515625" style="49" customWidth="1"/>
    <col min="15898" max="15898" width="78.42578125" style="49" bestFit="1" customWidth="1"/>
    <col min="15899" max="15899" width="52.7109375" style="49" bestFit="1" customWidth="1"/>
    <col min="15900" max="16128" width="11.42578125" style="49"/>
    <col min="16129" max="16129" width="25.85546875" style="49" customWidth="1"/>
    <col min="16130" max="16130" width="20.85546875" style="49" bestFit="1" customWidth="1"/>
    <col min="16131" max="16131" width="28.85546875" style="49" customWidth="1"/>
    <col min="16132" max="16132" width="23.7109375" style="49" customWidth="1"/>
    <col min="16133" max="16133" width="24.42578125" style="49" bestFit="1" customWidth="1"/>
    <col min="16134" max="16134" width="21.140625" style="49" customWidth="1"/>
    <col min="16135" max="16137" width="25.7109375" style="49" customWidth="1"/>
    <col min="16138" max="16138" width="19.5703125" style="49" customWidth="1"/>
    <col min="16139" max="16139" width="15.85546875" style="49" customWidth="1"/>
    <col min="16140" max="16140" width="3.140625" style="49" customWidth="1"/>
    <col min="16141" max="16141" width="28.85546875" style="49" customWidth="1"/>
    <col min="16142" max="16142" width="32.28515625" style="49" customWidth="1"/>
    <col min="16143" max="16143" width="36.28515625" style="49" customWidth="1"/>
    <col min="16144" max="16144" width="16.28515625" style="49" customWidth="1"/>
    <col min="16145" max="16145" width="35.7109375" style="49" customWidth="1"/>
    <col min="16146" max="16146" width="36.28515625" style="49" customWidth="1"/>
    <col min="16147" max="16147" width="35.7109375" style="49" customWidth="1"/>
    <col min="16148" max="16148" width="36.28515625" style="49" customWidth="1"/>
    <col min="16149" max="16149" width="35.7109375" style="49" customWidth="1"/>
    <col min="16150" max="16150" width="36.28515625" style="49" customWidth="1"/>
    <col min="16151" max="16151" width="35.7109375" style="49" customWidth="1"/>
    <col min="16152" max="16152" width="36.28515625" style="49" customWidth="1"/>
    <col min="16153" max="16153" width="16.28515625" style="49" customWidth="1"/>
    <col min="16154" max="16154" width="78.42578125" style="49" bestFit="1" customWidth="1"/>
    <col min="16155" max="16155" width="52.7109375" style="49" bestFit="1" customWidth="1"/>
    <col min="16156" max="16384" width="11.42578125" style="49"/>
  </cols>
  <sheetData>
    <row r="1" spans="1:13" ht="28.5" x14ac:dyDescent="0.25">
      <c r="A1" s="50"/>
      <c r="B1" s="206" t="s">
        <v>107</v>
      </c>
      <c r="C1" s="206"/>
      <c r="D1" s="206"/>
      <c r="E1" s="206"/>
      <c r="F1" s="206"/>
      <c r="G1" s="206"/>
      <c r="H1" s="206"/>
      <c r="I1" s="206"/>
      <c r="J1" s="51"/>
      <c r="K1" s="51"/>
      <c r="L1" s="51"/>
      <c r="M1" s="51"/>
    </row>
    <row r="2" spans="1:13" x14ac:dyDescent="0.25">
      <c r="L2" s="51"/>
      <c r="M2" s="51"/>
    </row>
    <row r="3" spans="1:13" x14ac:dyDescent="0.25">
      <c r="A3" s="207" t="s">
        <v>108</v>
      </c>
      <c r="B3" s="207"/>
      <c r="C3" s="207"/>
      <c r="D3" s="207"/>
      <c r="E3" s="207"/>
      <c r="F3" s="207"/>
      <c r="G3" s="207"/>
      <c r="H3" s="207"/>
      <c r="I3" s="207"/>
    </row>
    <row r="4" spans="1:13" x14ac:dyDescent="0.25">
      <c r="A4" s="203" t="s">
        <v>109</v>
      </c>
      <c r="B4" s="203"/>
      <c r="C4" s="203"/>
      <c r="D4" s="203"/>
      <c r="E4" s="203"/>
      <c r="F4" s="203"/>
      <c r="G4" s="203"/>
      <c r="H4" s="203"/>
      <c r="I4" s="203"/>
    </row>
    <row r="5" spans="1:13" x14ac:dyDescent="0.25">
      <c r="A5" s="203" t="s">
        <v>110</v>
      </c>
      <c r="B5" s="203"/>
      <c r="C5" s="203"/>
      <c r="D5" s="203"/>
      <c r="E5" s="203"/>
      <c r="F5" s="203"/>
      <c r="G5" s="203"/>
      <c r="H5" s="203"/>
      <c r="I5" s="203"/>
    </row>
    <row r="6" spans="1:13" x14ac:dyDescent="0.25">
      <c r="A6" s="203" t="s">
        <v>111</v>
      </c>
      <c r="B6" s="203"/>
      <c r="C6" s="203"/>
      <c r="D6" s="203"/>
      <c r="E6" s="203"/>
      <c r="F6" s="203"/>
      <c r="G6" s="203"/>
      <c r="H6" s="203"/>
      <c r="I6" s="203"/>
    </row>
    <row r="8" spans="1:13" x14ac:dyDescent="0.25">
      <c r="A8" s="203" t="s">
        <v>112</v>
      </c>
      <c r="B8" s="203"/>
      <c r="C8" s="203"/>
      <c r="D8" s="203"/>
      <c r="E8" s="203"/>
      <c r="F8" s="203"/>
      <c r="G8" s="203"/>
      <c r="H8" s="203"/>
      <c r="I8" s="203"/>
    </row>
    <row r="9" spans="1:13" ht="16.5" thickBot="1" x14ac:dyDescent="0.3"/>
    <row r="10" spans="1:13" ht="16.5" thickBot="1" x14ac:dyDescent="0.3">
      <c r="B10" s="53" t="s">
        <v>113</v>
      </c>
      <c r="C10" s="54" t="s">
        <v>114</v>
      </c>
      <c r="D10" s="201"/>
      <c r="E10" s="201"/>
      <c r="F10" s="208"/>
      <c r="G10" s="55" t="e">
        <f>CONCATENATE("Voie ",_xlfn.XLOOKUP(B13,Mesures_Congel!$B$23:$B$34,Mesures_Congel!$C$23:$C$34))</f>
        <v>#N/A</v>
      </c>
      <c r="H10" s="55" t="e">
        <f>CONCATENATE("Voie ",_xlfn.XLOOKUP(B14,Mesures_Congel!$B$23:$B$34,Mesures_Congel!$C$23:$C$34))</f>
        <v>#N/A</v>
      </c>
      <c r="I10" s="55" t="e">
        <f>CONCATENATE("Voie ",_xlfn.XLOOKUP(B15,Mesures_Congel!$B$23:$B$34,Mesures_Congel!$C$23:$C$34))</f>
        <v>#N/A</v>
      </c>
    </row>
    <row r="11" spans="1:13" ht="16.5" thickBot="1" x14ac:dyDescent="0.3">
      <c r="A11" s="51" t="s">
        <v>115</v>
      </c>
      <c r="B11" s="56" t="s">
        <v>116</v>
      </c>
      <c r="C11" s="55" t="s">
        <v>117</v>
      </c>
      <c r="D11" s="201" t="s">
        <v>118</v>
      </c>
      <c r="E11" s="201"/>
      <c r="F11" s="208"/>
      <c r="G11" s="57" t="e">
        <f>_xlfn.XLOOKUP(B13,Mesures_Congel!$B$23:$B$34,Mesures_Congel!$D$23:$D$34)</f>
        <v>#N/A</v>
      </c>
      <c r="H11" s="57" t="e">
        <f>_xlfn.XLOOKUP(B14,Mesures_Congel!$B$23:$B$34,Mesures_Congel!$D$23:$D$34)</f>
        <v>#N/A</v>
      </c>
      <c r="I11" s="57" t="e">
        <f>_xlfn.XLOOKUP(B15,Mesures_Congel!$B$23:$B$34,Mesures_Congel!$D$23:$D$34)</f>
        <v>#N/A</v>
      </c>
    </row>
    <row r="12" spans="1:13" ht="16.5" thickBot="1" x14ac:dyDescent="0.3">
      <c r="A12" s="49" t="s">
        <v>119</v>
      </c>
      <c r="G12" s="58"/>
      <c r="H12" s="58"/>
      <c r="I12" s="58"/>
    </row>
    <row r="13" spans="1:13" ht="17.25" thickTop="1" thickBot="1" x14ac:dyDescent="0.3">
      <c r="A13" s="59">
        <v>11</v>
      </c>
      <c r="B13" s="60">
        <f>_xlfn.XLOOKUP(A13,Mesures_Congel!$A$23:$A$34,Mesures_Congel!$B$23:$B$34)</f>
        <v>0</v>
      </c>
      <c r="C13" s="55" t="e" cm="1">
        <f t="array" ref="C13">_xlfn.XLOOKUP(_xlfn.VALUETOTEXT(B13),SUBSTITUTE(Mesures_Congel!$A$42:$B$53,"Sonde ",""),Mesures_Congel!$C$42:$C$53)</f>
        <v>#VALUE!</v>
      </c>
      <c r="D13" s="201" t="s">
        <v>120</v>
      </c>
      <c r="E13" s="201"/>
      <c r="F13" s="208"/>
      <c r="G13" s="57" t="e">
        <f>_xlfn.XLOOKUP(B13,Mesures_Congel!$B$23:$B$34,Mesures_Congel!$E$23:$E$34)</f>
        <v>#N/A</v>
      </c>
      <c r="H13" s="58"/>
      <c r="I13" s="58"/>
    </row>
    <row r="14" spans="1:13" ht="17.25" thickTop="1" thickBot="1" x14ac:dyDescent="0.3">
      <c r="A14" s="61">
        <v>10</v>
      </c>
      <c r="B14" s="60">
        <f>_xlfn.XLOOKUP(A14,Mesures_Congel!$A$23:$A$34,Mesures_Congel!$B$23:$B$34)</f>
        <v>0</v>
      </c>
      <c r="C14" s="55" t="e" cm="1">
        <f t="array" ref="C14">_xlfn.XLOOKUP(_xlfn.VALUETOTEXT(B14),SUBSTITUTE(Mesures_Congel!$A$42:$B$53,"Sonde ",""),Mesures_Congel!$C$42:$C$53)</f>
        <v>#VALUE!</v>
      </c>
      <c r="D14" s="201" t="s">
        <v>120</v>
      </c>
      <c r="E14" s="201"/>
      <c r="F14" s="201"/>
      <c r="G14" s="62"/>
      <c r="H14" s="57" t="e">
        <f>_xlfn.XLOOKUP(B14,Mesures_Congel!$B$23:$B$34,Mesures_Congel!$E$23:$E$34)</f>
        <v>#N/A</v>
      </c>
      <c r="I14" s="58"/>
    </row>
    <row r="15" spans="1:13" ht="17.25" thickTop="1" thickBot="1" x14ac:dyDescent="0.3">
      <c r="A15" s="61">
        <v>12</v>
      </c>
      <c r="B15" s="60">
        <f>_xlfn.XLOOKUP(A15,Mesures_Congel!$A$23:$A$34,Mesures_Congel!$B$23:$B$34)</f>
        <v>0</v>
      </c>
      <c r="C15" s="55" t="e" cm="1">
        <f t="array" ref="C15">_xlfn.XLOOKUP(_xlfn.VALUETOTEXT(B15),SUBSTITUTE(Mesures_Congel!$A$42:$B$53,"Sonde ",""),Mesures_Congel!$C$42:$C$53)</f>
        <v>#VALUE!</v>
      </c>
      <c r="D15" s="201" t="s">
        <v>120</v>
      </c>
      <c r="E15" s="201"/>
      <c r="F15" s="201"/>
      <c r="G15" s="58"/>
      <c r="H15" s="58"/>
      <c r="I15" s="57" t="e">
        <f>_xlfn.XLOOKUP(B15,Mesures_Congel!$B$23:$B$34,Mesures_Congel!$E$23:$E$34)</f>
        <v>#N/A</v>
      </c>
    </row>
    <row r="16" spans="1:13" ht="16.5" thickTop="1" x14ac:dyDescent="0.25">
      <c r="A16" s="51"/>
      <c r="B16" s="51"/>
      <c r="C16" s="51"/>
      <c r="G16" s="52"/>
      <c r="H16" s="63"/>
      <c r="I16" s="63"/>
      <c r="J16" s="63"/>
      <c r="K16" s="51"/>
    </row>
    <row r="17" spans="1:15" x14ac:dyDescent="0.25">
      <c r="A17" s="203" t="s">
        <v>121</v>
      </c>
      <c r="B17" s="203"/>
      <c r="C17" s="203"/>
      <c r="D17" s="203"/>
      <c r="E17" s="203"/>
      <c r="F17" s="203"/>
      <c r="G17" s="203"/>
      <c r="H17" s="203"/>
      <c r="I17" s="203"/>
    </row>
    <row r="18" spans="1:15" ht="16.5" thickBot="1" x14ac:dyDescent="0.3">
      <c r="A18" s="52"/>
      <c r="B18" s="52"/>
      <c r="C18" s="52"/>
      <c r="D18" s="52"/>
      <c r="E18" s="52"/>
      <c r="F18" s="52"/>
      <c r="G18" s="52"/>
      <c r="H18" s="52"/>
      <c r="I18" s="52"/>
    </row>
    <row r="19" spans="1:15" ht="16.5" thickBot="1" x14ac:dyDescent="0.3">
      <c r="A19" s="204" t="s">
        <v>113</v>
      </c>
      <c r="B19" s="205"/>
      <c r="C19" s="54" t="s">
        <v>114</v>
      </c>
      <c r="H19" s="201"/>
      <c r="I19" s="201"/>
    </row>
    <row r="20" spans="1:15" ht="16.5" thickBot="1" x14ac:dyDescent="0.3">
      <c r="A20" s="199" t="s">
        <v>122</v>
      </c>
      <c r="B20" s="200"/>
      <c r="C20" s="55" t="e">
        <f>C15</f>
        <v>#VALUE!</v>
      </c>
      <c r="D20" s="201" t="s">
        <v>123</v>
      </c>
      <c r="E20" s="201"/>
      <c r="F20" s="201"/>
      <c r="G20" s="64">
        <v>0</v>
      </c>
      <c r="H20" s="65" t="s">
        <v>124</v>
      </c>
    </row>
    <row r="21" spans="1:15" ht="16.5" thickBot="1" x14ac:dyDescent="0.3">
      <c r="A21" s="199" t="s">
        <v>125</v>
      </c>
      <c r="B21" s="200"/>
      <c r="C21" s="66" t="e">
        <f>C14</f>
        <v>#VALUE!</v>
      </c>
      <c r="D21" s="201" t="s">
        <v>123</v>
      </c>
      <c r="E21" s="201"/>
      <c r="F21" s="201"/>
      <c r="G21" s="64">
        <v>0</v>
      </c>
      <c r="H21" s="65" t="s">
        <v>126</v>
      </c>
    </row>
    <row r="22" spans="1:15" ht="16.5" thickBot="1" x14ac:dyDescent="0.3">
      <c r="A22" s="199" t="s">
        <v>127</v>
      </c>
      <c r="B22" s="200"/>
      <c r="C22" s="55" t="e">
        <f>C13</f>
        <v>#VALUE!</v>
      </c>
      <c r="D22" s="201" t="s">
        <v>123</v>
      </c>
      <c r="E22" s="201"/>
      <c r="F22" s="201"/>
      <c r="G22" s="64">
        <v>0</v>
      </c>
      <c r="H22" s="65" t="s">
        <v>128</v>
      </c>
    </row>
    <row r="23" spans="1:15" x14ac:dyDescent="0.25">
      <c r="A23" s="51"/>
      <c r="G23" s="52"/>
      <c r="H23" s="63"/>
      <c r="I23" s="63"/>
      <c r="J23" s="63"/>
      <c r="K23" s="51"/>
    </row>
    <row r="24" spans="1:15" x14ac:dyDescent="0.25">
      <c r="A24" s="202" t="str">
        <f>"TEMPERATURE : -30,0°C    CRITERES D'ACCEPTATION : +/-"&amp; Mesures_Congel!B20 &amp;"°C"</f>
        <v>TEMPERATURE : -30,0°C    CRITERES D'ACCEPTATION : +/-°C</v>
      </c>
      <c r="B24" s="202"/>
      <c r="C24" s="202"/>
      <c r="D24" s="202"/>
      <c r="E24" s="202"/>
      <c r="F24" s="202"/>
      <c r="G24" s="202"/>
      <c r="H24" s="202"/>
      <c r="I24" s="202"/>
      <c r="K24" s="51"/>
    </row>
    <row r="25" spans="1:15" ht="16.5" thickBot="1" x14ac:dyDescent="0.3">
      <c r="A25" s="203"/>
      <c r="B25" s="203"/>
      <c r="C25" s="203"/>
      <c r="D25" s="203"/>
      <c r="E25" s="203"/>
      <c r="F25" s="203"/>
      <c r="G25" s="203"/>
      <c r="H25" s="203"/>
      <c r="I25" s="203"/>
    </row>
    <row r="26" spans="1:15" ht="15.75" customHeight="1" x14ac:dyDescent="0.25">
      <c r="A26" s="195" t="s">
        <v>29</v>
      </c>
      <c r="B26" s="196"/>
      <c r="C26" s="196"/>
      <c r="D26" s="196"/>
      <c r="E26" s="196"/>
      <c r="F26" s="196"/>
      <c r="G26" s="196"/>
      <c r="H26" s="197"/>
      <c r="I26" s="67" t="s">
        <v>129</v>
      </c>
      <c r="K26" s="68"/>
      <c r="L26" s="68"/>
    </row>
    <row r="27" spans="1:15" s="63" customFormat="1" ht="63.75" customHeight="1" x14ac:dyDescent="0.25">
      <c r="A27" s="69" t="s">
        <v>130</v>
      </c>
      <c r="B27" s="70" t="s">
        <v>131</v>
      </c>
      <c r="C27" s="70" t="s">
        <v>132</v>
      </c>
      <c r="D27" s="71" t="s">
        <v>133</v>
      </c>
      <c r="E27" s="72" t="s">
        <v>134</v>
      </c>
      <c r="F27" s="73" t="s">
        <v>135</v>
      </c>
      <c r="G27" s="74" t="s">
        <v>136</v>
      </c>
      <c r="H27" s="70" t="s">
        <v>137</v>
      </c>
      <c r="I27" s="70" t="s">
        <v>138</v>
      </c>
      <c r="J27" s="49"/>
      <c r="K27" s="68"/>
      <c r="L27" s="68"/>
      <c r="N27" s="68"/>
      <c r="O27" s="75"/>
    </row>
    <row r="28" spans="1:15" ht="19.5" thickBot="1" x14ac:dyDescent="0.3">
      <c r="A28" s="76">
        <f>test_propagation</f>
        <v>0</v>
      </c>
      <c r="B28" s="77" t="s">
        <v>139</v>
      </c>
      <c r="C28" s="77" t="str">
        <f>CONCATENATE("Sonde ",B15)</f>
        <v>Sonde 0</v>
      </c>
      <c r="D28" s="78" t="e">
        <f ca="1">AVERAGE(INDIRECT("Valeurs_Brutes["&amp; CONCATENATE("Connecteur ", SUBSTITUTE(I10, "Voie ","")) &amp;"]"))</f>
        <v>#N/A</v>
      </c>
      <c r="E28" s="79" t="e">
        <f ca="1">D28+H11+H14</f>
        <v>#N/A</v>
      </c>
      <c r="F28" s="80">
        <f>Mesures_Congel!M48</f>
        <v>0</v>
      </c>
      <c r="G28" s="80">
        <f>F28+G20</f>
        <v>0</v>
      </c>
      <c r="H28" s="80" t="e">
        <f ca="1">G28-E28</f>
        <v>#N/A</v>
      </c>
      <c r="I28" s="81" t="e">
        <f ca="1">IF(OR(E28&gt;Mesures_Congel!B19+Mesures_Congel!B20,E28&lt;Mesures_Congel!B19-Mesures_Congel!B20),"NON CONFORME","CONFORME")</f>
        <v>#N/A</v>
      </c>
    </row>
    <row r="29" spans="1:15" ht="15.75" customHeight="1" x14ac:dyDescent="0.25">
      <c r="A29" s="195" t="s">
        <v>30</v>
      </c>
      <c r="B29" s="196"/>
      <c r="C29" s="196"/>
      <c r="D29" s="196"/>
      <c r="E29" s="196"/>
      <c r="F29" s="196"/>
      <c r="G29" s="196"/>
      <c r="H29" s="197"/>
      <c r="I29" s="67" t="s">
        <v>129</v>
      </c>
      <c r="K29" s="68"/>
      <c r="L29" s="68"/>
    </row>
    <row r="30" spans="1:15" s="63" customFormat="1" ht="78.75" customHeight="1" x14ac:dyDescent="0.25">
      <c r="A30" s="69" t="s">
        <v>130</v>
      </c>
      <c r="B30" s="70" t="s">
        <v>131</v>
      </c>
      <c r="C30" s="70" t="s">
        <v>132</v>
      </c>
      <c r="D30" s="71" t="s">
        <v>133</v>
      </c>
      <c r="E30" s="72" t="s">
        <v>134</v>
      </c>
      <c r="F30" s="71" t="s">
        <v>135</v>
      </c>
      <c r="G30" s="74" t="s">
        <v>136</v>
      </c>
      <c r="H30" s="70" t="s">
        <v>137</v>
      </c>
      <c r="I30" s="70" t="s">
        <v>138</v>
      </c>
      <c r="J30" s="49"/>
      <c r="K30" s="68"/>
      <c r="L30" s="68"/>
      <c r="N30" s="68"/>
      <c r="O30" s="75"/>
    </row>
    <row r="31" spans="1:15" ht="19.5" thickBot="1" x14ac:dyDescent="0.3">
      <c r="A31" s="76">
        <f>A28</f>
        <v>0</v>
      </c>
      <c r="B31" s="77" t="str">
        <f>B28</f>
        <v>E.LAGASSY</v>
      </c>
      <c r="C31" s="77" t="str">
        <f>CONCATENATE("Sonde ",B14)</f>
        <v>Sonde 0</v>
      </c>
      <c r="D31" s="82" t="e">
        <f ca="1">AVERAGE(INDIRECT("Valeurs_Brutes["&amp; CONCATENATE("Connecteur ", SUBSTITUTE(H10, "Voie ","")) &amp;"]"))</f>
        <v>#N/A</v>
      </c>
      <c r="E31" s="79" t="e">
        <f ca="1">D31+G11+G13</f>
        <v>#N/A</v>
      </c>
      <c r="F31" s="80">
        <f>Mesures_Congel!M49</f>
        <v>0</v>
      </c>
      <c r="G31" s="80">
        <f>F31+G21</f>
        <v>0</v>
      </c>
      <c r="H31" s="80" t="e">
        <f ca="1">G31-E31</f>
        <v>#N/A</v>
      </c>
      <c r="I31" s="81" t="e">
        <f ca="1">IF(OR(E31&gt;Mesures_Congel!B19+Mesures_Congel!B20,E31&lt;Mesures_Congel!B19-Mesures_Congel!B20),"NON CONFORME","CONFORME")</f>
        <v>#N/A</v>
      </c>
    </row>
    <row r="32" spans="1:15" x14ac:dyDescent="0.25">
      <c r="A32" s="195" t="s">
        <v>31</v>
      </c>
      <c r="B32" s="196"/>
      <c r="C32" s="196"/>
      <c r="D32" s="196"/>
      <c r="E32" s="196"/>
      <c r="F32" s="196"/>
      <c r="G32" s="196"/>
      <c r="H32" s="197"/>
      <c r="I32" s="67" t="s">
        <v>129</v>
      </c>
      <c r="K32" s="68"/>
      <c r="L32" s="68"/>
    </row>
    <row r="33" spans="1:15" s="63" customFormat="1" ht="105.75" customHeight="1" x14ac:dyDescent="0.25">
      <c r="A33" s="69" t="s">
        <v>130</v>
      </c>
      <c r="B33" s="70" t="s">
        <v>131</v>
      </c>
      <c r="C33" s="70" t="s">
        <v>132</v>
      </c>
      <c r="D33" s="71" t="s">
        <v>133</v>
      </c>
      <c r="E33" s="72" t="s">
        <v>134</v>
      </c>
      <c r="F33" s="71" t="s">
        <v>135</v>
      </c>
      <c r="G33" s="74" t="s">
        <v>136</v>
      </c>
      <c r="H33" s="70" t="s">
        <v>137</v>
      </c>
      <c r="I33" s="70" t="s">
        <v>138</v>
      </c>
      <c r="J33" s="49"/>
      <c r="K33" s="68"/>
      <c r="L33" s="68"/>
      <c r="N33" s="68"/>
      <c r="O33" s="75"/>
    </row>
    <row r="34" spans="1:15" ht="19.5" thickBot="1" x14ac:dyDescent="0.3">
      <c r="A34" s="76">
        <f>A28</f>
        <v>0</v>
      </c>
      <c r="B34" s="77" t="str">
        <f>B28</f>
        <v>E.LAGASSY</v>
      </c>
      <c r="C34" s="77" t="str">
        <f>CONCATENATE("Sonde ",B13)</f>
        <v>Sonde 0</v>
      </c>
      <c r="D34" s="77" t="e">
        <f ca="1">AVERAGE(INDIRECT("Valeurs_Brutes["&amp; CONCATENATE("Connecteur ", SUBSTITUTE(G10, "Voie ","")) &amp;"]"))</f>
        <v>#N/A</v>
      </c>
      <c r="E34" s="79" t="e">
        <f ca="1">D34+I11+I15</f>
        <v>#N/A</v>
      </c>
      <c r="F34" s="80">
        <f>Mesures_Congel!M50</f>
        <v>0</v>
      </c>
      <c r="G34" s="80">
        <f>F34+G22</f>
        <v>0</v>
      </c>
      <c r="H34" s="80" t="e">
        <f ca="1">G34-E34</f>
        <v>#N/A</v>
      </c>
      <c r="I34" s="81" t="e">
        <f ca="1">IF(OR(E34&gt;Mesures_Congel!B19+Mesures_Congel!B20,E34&lt;Mesures_Congel!B19-Mesures_Congel!B20),"NON CONFORME","CONFORME")</f>
        <v>#N/A</v>
      </c>
    </row>
    <row r="35" spans="1:15" ht="16.5" thickBot="1" x14ac:dyDescent="0.3"/>
    <row r="36" spans="1:15" ht="18.75" customHeight="1" x14ac:dyDescent="0.25">
      <c r="A36" s="198" t="s">
        <v>140</v>
      </c>
      <c r="B36" s="198"/>
      <c r="C36" s="198"/>
      <c r="D36" s="198"/>
      <c r="E36" s="198"/>
      <c r="F36" s="198"/>
      <c r="G36" s="198"/>
      <c r="H36" s="198"/>
      <c r="I36" s="198"/>
      <c r="J36" s="83" t="s">
        <v>141</v>
      </c>
      <c r="K36" s="84">
        <f ca="1">TODAY()</f>
        <v>45322</v>
      </c>
    </row>
    <row r="37" spans="1:15" ht="19.5" thickBot="1" x14ac:dyDescent="0.3">
      <c r="D37" s="85"/>
      <c r="E37" s="85"/>
      <c r="F37" s="85"/>
      <c r="G37" s="85"/>
      <c r="H37" s="85"/>
      <c r="I37" s="49" t="s">
        <v>142</v>
      </c>
      <c r="J37" s="86" t="s">
        <v>143</v>
      </c>
      <c r="K37" s="87">
        <f ca="1">EDATE(K36,6)</f>
        <v>45504</v>
      </c>
    </row>
  </sheetData>
  <sheetProtection algorithmName="SHA-512" hashValue="bvPuwuk882vdWOpxzcXcwlnzyGbYjSmZdXKr8K296/2Chu9Y07zH+e57TWT0wWNmQBM/WEvf91EzfRWs4h/BNA==" saltValue="xvXHKMzL4X7isGzcWRYacg==" spinCount="100000" sheet="1" objects="1" scenarios="1" autoFilter="0"/>
  <mergeCells count="26">
    <mergeCell ref="A17:I17"/>
    <mergeCell ref="B1:I1"/>
    <mergeCell ref="A3:I3"/>
    <mergeCell ref="A4:I4"/>
    <mergeCell ref="A5:I5"/>
    <mergeCell ref="A6:I6"/>
    <mergeCell ref="A8:I8"/>
    <mergeCell ref="D10:F10"/>
    <mergeCell ref="D11:F11"/>
    <mergeCell ref="D13:F13"/>
    <mergeCell ref="D14:F14"/>
    <mergeCell ref="D15:F15"/>
    <mergeCell ref="A19:B19"/>
    <mergeCell ref="H19:I19"/>
    <mergeCell ref="A20:B20"/>
    <mergeCell ref="D20:F20"/>
    <mergeCell ref="A21:B21"/>
    <mergeCell ref="D21:F21"/>
    <mergeCell ref="A32:H32"/>
    <mergeCell ref="A36:I36"/>
    <mergeCell ref="A22:B22"/>
    <mergeCell ref="D22:F22"/>
    <mergeCell ref="A24:I24"/>
    <mergeCell ref="A25:I25"/>
    <mergeCell ref="A26:H26"/>
    <mergeCell ref="A29:H29"/>
  </mergeCells>
  <conditionalFormatting sqref="I28">
    <cfRule type="containsText" dxfId="37" priority="5" operator="containsText" text="NON CONFORME">
      <formula>NOT(ISERROR(SEARCH("NON CONFORME",I28)))</formula>
    </cfRule>
    <cfRule type="containsText" dxfId="36" priority="6" operator="containsText" text="CONFORME">
      <formula>NOT(ISERROR(SEARCH("CONFORME",I28)))</formula>
    </cfRule>
  </conditionalFormatting>
  <conditionalFormatting sqref="I31">
    <cfRule type="containsText" dxfId="35" priority="3" operator="containsText" text="NON CONFORME">
      <formula>NOT(ISERROR(SEARCH("NON CONFORME",I31)))</formula>
    </cfRule>
    <cfRule type="containsText" dxfId="34" priority="4" operator="containsText" text="CONFORME">
      <formula>NOT(ISERROR(SEARCH("CONFORME",I31)))</formula>
    </cfRule>
  </conditionalFormatting>
  <conditionalFormatting sqref="I34">
    <cfRule type="containsText" dxfId="33" priority="1" operator="containsText" text="NON CONFORME">
      <formula>NOT(ISERROR(SEARCH("NON CONFORME",I34)))</formula>
    </cfRule>
    <cfRule type="containsText" dxfId="32" priority="2" operator="containsText" text="CONFORME">
      <formula>NOT(ISERROR(SEARCH("CONFORME",I34)))</formula>
    </cfRule>
  </conditionalFormatting>
  <pageMargins left="0.7" right="0.7" top="0.75" bottom="0.75" header="0.3" footer="0.3"/>
  <pageSetup paperSize="9" scale="26"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13F67-BBEA-4B9F-B353-E57FFFC1990C}">
  <sheetPr codeName="Feuil5">
    <tabColor theme="7" tint="0.39997558519241921"/>
  </sheetPr>
  <dimension ref="A2:O56"/>
  <sheetViews>
    <sheetView topLeftCell="A8" workbookViewId="0">
      <selection activeCell="D5" sqref="D5"/>
    </sheetView>
  </sheetViews>
  <sheetFormatPr baseColWidth="10" defaultRowHeight="15" x14ac:dyDescent="0.25"/>
  <cols>
    <col min="1" max="1" width="13.5703125" bestFit="1" customWidth="1"/>
    <col min="2" max="2" width="14.7109375" bestFit="1" customWidth="1"/>
    <col min="3" max="3" width="18.85546875" bestFit="1" customWidth="1"/>
    <col min="4" max="4" width="17.140625" customWidth="1"/>
    <col min="5" max="5" width="17" customWidth="1"/>
    <col min="6" max="6" width="16.42578125" customWidth="1"/>
    <col min="7" max="7" width="14.7109375" customWidth="1"/>
    <col min="8" max="8" width="16.7109375" customWidth="1"/>
    <col min="9" max="9" width="13.140625" customWidth="1"/>
    <col min="11" max="11" width="24.140625" customWidth="1"/>
    <col min="12" max="12" width="18.7109375" customWidth="1"/>
    <col min="13" max="13" width="32.28515625" customWidth="1"/>
  </cols>
  <sheetData>
    <row r="2" spans="1:13" x14ac:dyDescent="0.25">
      <c r="B2" s="162" t="s">
        <v>50</v>
      </c>
      <c r="C2" s="163"/>
      <c r="D2" s="163"/>
      <c r="E2" s="163"/>
      <c r="F2" s="163"/>
      <c r="G2" s="163"/>
      <c r="H2" s="163"/>
      <c r="I2" s="163"/>
      <c r="J2" s="163"/>
      <c r="K2" s="163"/>
    </row>
    <row r="3" spans="1:13" x14ac:dyDescent="0.25">
      <c r="B3" s="163"/>
      <c r="C3" s="163"/>
      <c r="D3" s="163"/>
      <c r="E3" s="163"/>
      <c r="F3" s="163"/>
      <c r="G3" s="163"/>
      <c r="H3" s="163"/>
      <c r="I3" s="163"/>
      <c r="J3" s="163"/>
      <c r="K3" s="163"/>
    </row>
    <row r="4" spans="1:13" ht="57" x14ac:dyDescent="0.25">
      <c r="A4" s="1"/>
      <c r="B4" s="2"/>
      <c r="C4" s="2"/>
      <c r="D4" s="2"/>
      <c r="E4" s="2"/>
      <c r="F4" s="2"/>
      <c r="G4" s="2"/>
    </row>
    <row r="5" spans="1:13" x14ac:dyDescent="0.25">
      <c r="A5" s="164" t="s">
        <v>0</v>
      </c>
      <c r="B5" s="164"/>
      <c r="C5" s="164"/>
      <c r="D5" s="231"/>
      <c r="E5" s="1"/>
      <c r="F5" s="1"/>
    </row>
    <row r="6" spans="1:13" x14ac:dyDescent="0.25">
      <c r="A6" s="1"/>
      <c r="B6" s="1"/>
      <c r="C6" s="1"/>
      <c r="D6" s="1"/>
      <c r="E6" s="1"/>
      <c r="F6" s="1"/>
      <c r="G6" s="1"/>
    </row>
    <row r="7" spans="1:13" x14ac:dyDescent="0.25">
      <c r="A7" s="164" t="s">
        <v>1</v>
      </c>
      <c r="B7" s="164"/>
      <c r="C7" s="4"/>
      <c r="D7" s="1"/>
      <c r="E7" s="164" t="s">
        <v>19</v>
      </c>
      <c r="F7" s="164"/>
      <c r="G7" s="4"/>
      <c r="H7" s="157"/>
      <c r="M7" s="5"/>
    </row>
    <row r="8" spans="1:13" x14ac:dyDescent="0.25">
      <c r="A8" s="164" t="s">
        <v>2</v>
      </c>
      <c r="B8" s="164"/>
      <c r="C8" s="6"/>
      <c r="D8" s="1"/>
      <c r="E8" s="164" t="s">
        <v>20</v>
      </c>
      <c r="F8" s="164"/>
      <c r="G8" s="6"/>
      <c r="M8" s="5"/>
    </row>
    <row r="9" spans="1:13" x14ac:dyDescent="0.25">
      <c r="A9" s="1"/>
      <c r="B9" s="1"/>
      <c r="C9" s="1"/>
      <c r="D9" s="1"/>
      <c r="E9" s="1"/>
      <c r="F9" s="1"/>
      <c r="G9" s="1"/>
      <c r="M9" s="5"/>
    </row>
    <row r="10" spans="1:13" x14ac:dyDescent="0.25">
      <c r="A10" s="160" t="s">
        <v>3</v>
      </c>
      <c r="B10" s="161"/>
      <c r="C10" s="7"/>
      <c r="D10" s="1"/>
      <c r="E10" s="160" t="s">
        <v>21</v>
      </c>
      <c r="F10" s="161"/>
      <c r="G10" s="8"/>
    </row>
    <row r="11" spans="1:13" x14ac:dyDescent="0.25">
      <c r="A11" s="160" t="s">
        <v>4</v>
      </c>
      <c r="B11" s="161"/>
      <c r="C11" s="8"/>
      <c r="D11" s="1"/>
      <c r="E11" s="164" t="s">
        <v>22</v>
      </c>
      <c r="F11" s="164"/>
      <c r="G11" s="228">
        <v>15</v>
      </c>
    </row>
    <row r="12" spans="1:13" x14ac:dyDescent="0.25">
      <c r="A12" s="1"/>
      <c r="B12" s="1"/>
      <c r="C12" s="1"/>
      <c r="D12" s="1"/>
      <c r="E12" s="164" t="s">
        <v>23</v>
      </c>
      <c r="F12" s="164"/>
      <c r="G12" s="10"/>
    </row>
    <row r="13" spans="1:13" x14ac:dyDescent="0.25">
      <c r="A13" s="1"/>
      <c r="B13" s="1"/>
      <c r="C13" s="1"/>
      <c r="D13" s="1"/>
      <c r="E13" s="1"/>
      <c r="F13" s="1"/>
      <c r="G13" s="1"/>
    </row>
    <row r="14" spans="1:13" x14ac:dyDescent="0.25">
      <c r="A14" s="160" t="s">
        <v>5</v>
      </c>
      <c r="B14" s="161"/>
      <c r="C14" s="4"/>
      <c r="D14" s="1"/>
      <c r="E14" s="1"/>
      <c r="F14" s="1"/>
      <c r="G14" s="1"/>
    </row>
    <row r="15" spans="1:13" x14ac:dyDescent="0.25">
      <c r="A15" s="160" t="s">
        <v>6</v>
      </c>
      <c r="B15" s="161"/>
      <c r="C15" s="10"/>
      <c r="D15" s="1"/>
      <c r="E15" s="1"/>
      <c r="F15" s="1"/>
      <c r="G15" s="1"/>
    </row>
    <row r="16" spans="1:13" x14ac:dyDescent="0.25">
      <c r="A16" s="1"/>
      <c r="B16" s="1"/>
      <c r="C16" s="1"/>
      <c r="D16" s="5" t="s">
        <v>14</v>
      </c>
      <c r="E16" s="1"/>
      <c r="F16" s="1"/>
      <c r="G16" s="1"/>
    </row>
    <row r="17" spans="1:9" x14ac:dyDescent="0.25">
      <c r="A17" s="1"/>
      <c r="B17" s="1"/>
      <c r="C17" s="1"/>
      <c r="D17" s="5" t="s">
        <v>232</v>
      </c>
      <c r="E17" s="1"/>
      <c r="F17" s="1"/>
      <c r="G17" s="1"/>
      <c r="H17" s="1"/>
    </row>
    <row r="18" spans="1:9" x14ac:dyDescent="0.25">
      <c r="A18" s="1"/>
      <c r="B18" s="1"/>
      <c r="C18" s="1"/>
      <c r="D18" s="5" t="s">
        <v>233</v>
      </c>
      <c r="E18" s="1"/>
      <c r="F18" s="1"/>
      <c r="G18" s="1"/>
      <c r="H18" s="1"/>
    </row>
    <row r="19" spans="1:9" x14ac:dyDescent="0.25">
      <c r="A19" s="1"/>
      <c r="B19" s="1"/>
      <c r="C19" s="1"/>
      <c r="D19" s="1"/>
      <c r="E19" s="1"/>
    </row>
    <row r="20" spans="1:9" x14ac:dyDescent="0.25">
      <c r="A20" s="3" t="s">
        <v>8</v>
      </c>
      <c r="B20" s="11"/>
      <c r="C20" s="1"/>
      <c r="D20" s="1"/>
      <c r="E20" s="1"/>
      <c r="F20" s="1"/>
      <c r="G20" s="1"/>
    </row>
    <row r="21" spans="1:9" ht="15.75" thickBot="1" x14ac:dyDescent="0.3">
      <c r="A21" s="1"/>
      <c r="B21" s="1"/>
      <c r="C21" s="1"/>
      <c r="D21" s="1"/>
      <c r="E21" s="1"/>
      <c r="F21" s="1"/>
      <c r="G21" s="1"/>
    </row>
    <row r="22" spans="1:9" ht="45.75" thickBot="1" x14ac:dyDescent="0.3">
      <c r="A22" s="12" t="s">
        <v>9</v>
      </c>
      <c r="B22" s="13" t="s">
        <v>12</v>
      </c>
      <c r="C22" s="13" t="s">
        <v>15</v>
      </c>
      <c r="D22" s="25" t="s">
        <v>51</v>
      </c>
      <c r="E22" s="25" t="s">
        <v>52</v>
      </c>
      <c r="F22" s="25" t="s">
        <v>53</v>
      </c>
      <c r="G22" s="26" t="s">
        <v>54</v>
      </c>
      <c r="H22" s="26" t="s">
        <v>55</v>
      </c>
      <c r="I22" s="26" t="s">
        <v>56</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2" spans="1:9" x14ac:dyDescent="0.25">
      <c r="A32" s="19">
        <v>10</v>
      </c>
      <c r="B32" s="11"/>
      <c r="C32" s="11"/>
      <c r="D32" s="18"/>
      <c r="E32" s="18"/>
      <c r="F32" s="18"/>
      <c r="G32" s="18"/>
      <c r="H32" s="18"/>
      <c r="I32" s="18"/>
    </row>
    <row r="33" spans="1:15" x14ac:dyDescent="0.25">
      <c r="A33" s="15">
        <v>11</v>
      </c>
      <c r="B33" s="11"/>
      <c r="C33" s="11"/>
      <c r="D33" s="18"/>
      <c r="E33" s="18"/>
      <c r="F33" s="18"/>
      <c r="G33" s="18"/>
      <c r="H33" s="18"/>
      <c r="I33" s="18"/>
    </row>
    <row r="34" spans="1:15" x14ac:dyDescent="0.25">
      <c r="A34" s="19">
        <v>12</v>
      </c>
      <c r="B34" s="11"/>
      <c r="C34" s="11"/>
      <c r="D34" s="18"/>
      <c r="E34" s="18"/>
      <c r="F34" s="18"/>
      <c r="G34" s="18"/>
      <c r="H34" s="18"/>
      <c r="I34" s="18"/>
    </row>
    <row r="35" spans="1:15" x14ac:dyDescent="0.25">
      <c r="A35" s="19">
        <v>13</v>
      </c>
      <c r="B35" s="11"/>
      <c r="C35" s="11"/>
      <c r="D35" s="18"/>
      <c r="E35" s="18"/>
      <c r="F35" s="18"/>
      <c r="G35" s="18"/>
      <c r="H35" s="18"/>
      <c r="I35" s="18"/>
    </row>
    <row r="40" spans="1:15" ht="26.25" x14ac:dyDescent="0.25">
      <c r="A40" s="1"/>
      <c r="B40" s="165" t="s">
        <v>13</v>
      </c>
      <c r="C40" s="165"/>
      <c r="D40" s="1"/>
      <c r="E40" s="1"/>
      <c r="F40" s="1"/>
      <c r="G40" s="1"/>
      <c r="H40" s="1"/>
      <c r="I40" s="1"/>
      <c r="J40" s="165" t="s">
        <v>31</v>
      </c>
      <c r="K40" s="165"/>
      <c r="L40" s="1"/>
      <c r="M40" s="1"/>
    </row>
    <row r="41" spans="1:15" x14ac:dyDescent="0.25">
      <c r="A41" s="1"/>
      <c r="B41" s="1"/>
      <c r="C41" s="1"/>
      <c r="D41" s="1"/>
      <c r="E41" s="1"/>
      <c r="F41" s="1"/>
      <c r="G41" s="1"/>
      <c r="H41" s="1"/>
      <c r="I41" s="1"/>
      <c r="J41" s="1"/>
      <c r="K41" s="1"/>
      <c r="L41" s="1"/>
      <c r="M41" s="1"/>
      <c r="N41" s="1"/>
      <c r="O41" s="1"/>
    </row>
    <row r="42" spans="1:15" x14ac:dyDescent="0.25">
      <c r="A42" s="160" t="s">
        <v>10</v>
      </c>
      <c r="B42" s="209"/>
      <c r="C42" s="209"/>
      <c r="D42" s="209"/>
      <c r="E42" s="209"/>
      <c r="F42" s="161"/>
      <c r="G42" s="1"/>
      <c r="H42" s="1"/>
      <c r="I42" s="164" t="s">
        <v>27</v>
      </c>
      <c r="J42" s="164"/>
      <c r="K42" s="164"/>
      <c r="L42" s="164"/>
      <c r="M42" s="164"/>
    </row>
    <row r="43" spans="1:15" ht="30" x14ac:dyDescent="0.25">
      <c r="A43" s="164"/>
      <c r="B43" s="164"/>
      <c r="C43" s="3" t="s">
        <v>16</v>
      </c>
      <c r="D43" s="20" t="s">
        <v>18</v>
      </c>
      <c r="E43" s="20" t="s">
        <v>25</v>
      </c>
      <c r="F43" s="20" t="s">
        <v>26</v>
      </c>
      <c r="G43" s="1"/>
      <c r="H43" s="1"/>
      <c r="I43" s="168"/>
      <c r="J43" s="168"/>
      <c r="K43" s="3" t="s">
        <v>33</v>
      </c>
      <c r="L43" s="3" t="s">
        <v>35</v>
      </c>
      <c r="M43" s="3" t="s">
        <v>36</v>
      </c>
    </row>
    <row r="44" spans="1:15" x14ac:dyDescent="0.25">
      <c r="A44" s="160" t="str">
        <f>CONCATENATE("Sonde ", B23)</f>
        <v xml:space="preserve">Sonde </v>
      </c>
      <c r="B44" s="161"/>
      <c r="C44" s="10"/>
      <c r="D44" s="10"/>
      <c r="E44" s="10"/>
      <c r="F44" s="4"/>
      <c r="G44" s="1"/>
      <c r="H44" s="1"/>
      <c r="I44" s="169" t="s">
        <v>28</v>
      </c>
      <c r="J44" s="170"/>
      <c r="K44" s="10"/>
      <c r="L44" s="4"/>
      <c r="M44" s="4"/>
    </row>
    <row r="45" spans="1:15" x14ac:dyDescent="0.25">
      <c r="A45" s="160" t="str">
        <f t="shared" ref="A45:A56" si="0">CONCATENATE("Sonde ", B24)</f>
        <v xml:space="preserve">Sonde </v>
      </c>
      <c r="B45" s="161"/>
      <c r="C45" s="10"/>
      <c r="D45" s="10"/>
      <c r="E45" s="10"/>
      <c r="F45" s="4"/>
      <c r="G45" s="1"/>
      <c r="H45" s="1"/>
      <c r="I45" s="1"/>
      <c r="J45" s="1"/>
      <c r="K45" s="1"/>
      <c r="L45" s="1"/>
      <c r="M45" s="1"/>
    </row>
    <row r="46" spans="1:15" x14ac:dyDescent="0.25">
      <c r="A46" s="160" t="str">
        <f t="shared" si="0"/>
        <v xml:space="preserve">Sonde </v>
      </c>
      <c r="B46" s="161"/>
      <c r="C46" s="10"/>
      <c r="D46" s="10"/>
      <c r="E46" s="10"/>
      <c r="F46" s="4"/>
      <c r="G46" s="1"/>
      <c r="H46" s="1"/>
      <c r="I46" s="1"/>
      <c r="J46" s="1"/>
      <c r="K46" s="1"/>
      <c r="L46" s="1"/>
      <c r="M46" s="1"/>
    </row>
    <row r="47" spans="1:15" x14ac:dyDescent="0.25">
      <c r="A47" s="160" t="str">
        <f t="shared" si="0"/>
        <v xml:space="preserve">Sonde </v>
      </c>
      <c r="B47" s="161"/>
      <c r="C47" s="10"/>
      <c r="D47" s="10"/>
      <c r="E47" s="10"/>
      <c r="F47" s="4"/>
      <c r="G47" s="1"/>
      <c r="H47" s="1"/>
      <c r="I47" s="1"/>
      <c r="J47" s="1"/>
      <c r="K47" s="1"/>
      <c r="L47" s="1"/>
      <c r="M47" s="1"/>
    </row>
    <row r="48" spans="1:15" x14ac:dyDescent="0.25">
      <c r="A48" s="160" t="str">
        <f t="shared" si="0"/>
        <v xml:space="preserve">Sonde </v>
      </c>
      <c r="B48" s="161"/>
      <c r="C48" s="10"/>
      <c r="D48" s="10"/>
      <c r="E48" s="10"/>
      <c r="F48" s="4"/>
      <c r="G48" s="1"/>
      <c r="H48" s="1"/>
      <c r="I48" s="1"/>
      <c r="J48" s="1"/>
    </row>
    <row r="49" spans="1:15" x14ac:dyDescent="0.25">
      <c r="A49" s="160" t="str">
        <f t="shared" si="0"/>
        <v xml:space="preserve">Sonde </v>
      </c>
      <c r="B49" s="161"/>
      <c r="C49" s="10"/>
      <c r="D49" s="10"/>
      <c r="E49" s="10"/>
      <c r="F49" s="4"/>
      <c r="G49" s="1"/>
      <c r="H49" s="1"/>
      <c r="I49" s="1"/>
      <c r="J49" s="1"/>
    </row>
    <row r="50" spans="1:15" x14ac:dyDescent="0.25">
      <c r="A50" s="160" t="str">
        <f t="shared" si="0"/>
        <v xml:space="preserve">Sonde </v>
      </c>
      <c r="B50" s="161"/>
      <c r="C50" s="10"/>
      <c r="D50" s="10"/>
      <c r="E50" s="10"/>
      <c r="F50" s="4"/>
      <c r="G50" s="1"/>
      <c r="H50" s="1"/>
      <c r="I50" s="1"/>
      <c r="J50" s="1"/>
    </row>
    <row r="51" spans="1:15" x14ac:dyDescent="0.25">
      <c r="A51" s="160" t="str">
        <f t="shared" si="0"/>
        <v xml:space="preserve">Sonde </v>
      </c>
      <c r="B51" s="161"/>
      <c r="C51" s="10"/>
      <c r="D51" s="10"/>
      <c r="E51" s="10"/>
      <c r="F51" s="4"/>
      <c r="G51" s="1"/>
      <c r="H51" s="1"/>
      <c r="I51" s="1"/>
      <c r="J51" s="1"/>
    </row>
    <row r="52" spans="1:15" x14ac:dyDescent="0.25">
      <c r="A52" s="160" t="str">
        <f t="shared" si="0"/>
        <v xml:space="preserve">Sonde </v>
      </c>
      <c r="B52" s="161"/>
      <c r="C52" s="10"/>
      <c r="D52" s="10"/>
      <c r="E52" s="10"/>
      <c r="F52" s="4"/>
      <c r="G52" s="1"/>
      <c r="H52" s="1"/>
      <c r="I52" s="1"/>
      <c r="J52" s="1"/>
    </row>
    <row r="53" spans="1:15" x14ac:dyDescent="0.25">
      <c r="A53" s="160" t="str">
        <f t="shared" si="0"/>
        <v xml:space="preserve">Sonde </v>
      </c>
      <c r="B53" s="161"/>
      <c r="C53" s="10"/>
      <c r="D53" s="10"/>
      <c r="E53" s="10"/>
      <c r="F53" s="4"/>
      <c r="G53" s="1"/>
      <c r="H53" s="1"/>
      <c r="I53" s="1"/>
      <c r="J53" s="1"/>
    </row>
    <row r="54" spans="1:15" x14ac:dyDescent="0.25">
      <c r="A54" s="160" t="str">
        <f t="shared" si="0"/>
        <v xml:space="preserve">Sonde </v>
      </c>
      <c r="B54" s="161"/>
      <c r="C54" s="10"/>
      <c r="D54" s="10"/>
      <c r="E54" s="10"/>
      <c r="F54" s="4"/>
      <c r="G54" s="1"/>
      <c r="H54" s="1"/>
      <c r="I54" s="1"/>
      <c r="J54" s="1"/>
      <c r="K54" s="1"/>
      <c r="L54" s="1"/>
      <c r="M54" s="1"/>
    </row>
    <row r="55" spans="1:15" x14ac:dyDescent="0.25">
      <c r="A55" s="160" t="str">
        <f t="shared" si="0"/>
        <v xml:space="preserve">Sonde </v>
      </c>
      <c r="B55" s="161"/>
      <c r="C55" s="10"/>
      <c r="D55" s="10"/>
      <c r="E55" s="10"/>
      <c r="F55" s="4"/>
      <c r="G55" s="1"/>
      <c r="H55" s="1"/>
      <c r="I55" s="1"/>
      <c r="J55" s="1"/>
      <c r="K55" s="1"/>
      <c r="L55" s="1"/>
      <c r="M55" s="1"/>
    </row>
    <row r="56" spans="1:15" x14ac:dyDescent="0.25">
      <c r="A56" s="160" t="str">
        <f t="shared" si="0"/>
        <v xml:space="preserve">Sonde </v>
      </c>
      <c r="B56" s="161"/>
      <c r="C56" s="10"/>
      <c r="D56" s="10"/>
      <c r="E56" s="10"/>
      <c r="F56" s="4"/>
      <c r="G56" s="1"/>
      <c r="H56" s="1"/>
      <c r="I56" s="1"/>
      <c r="J56" s="1"/>
      <c r="K56" s="1"/>
      <c r="L56" s="1"/>
      <c r="M56" s="1"/>
      <c r="N56" s="1"/>
      <c r="O56" s="1"/>
    </row>
  </sheetData>
  <sheetProtection algorithmName="SHA-512" hashValue="kzzex2TXxe3xP46BSv1DxFhPotKPCfr/mezEm+8xOMiJk+C9A9T7iasnt5P5ft+LnxaqQRaQmX0SBfe03xvugg==" saltValue="b4jPcpOjeWMdVUqSJ3Qa0A==" spinCount="100000" sheet="1" objects="1" scenarios="1" autoFilter="0"/>
  <protectedRanges>
    <protectedRange sqref="C10" name="Donnees controleur"/>
  </protectedRanges>
  <mergeCells count="33">
    <mergeCell ref="A55:B55"/>
    <mergeCell ref="A56:B56"/>
    <mergeCell ref="A49:B49"/>
    <mergeCell ref="A50:B50"/>
    <mergeCell ref="A51:B51"/>
    <mergeCell ref="A52:B52"/>
    <mergeCell ref="A53:B53"/>
    <mergeCell ref="A54:B54"/>
    <mergeCell ref="A48:B48"/>
    <mergeCell ref="A15:B15"/>
    <mergeCell ref="B40:C40"/>
    <mergeCell ref="J40:K40"/>
    <mergeCell ref="A42:F42"/>
    <mergeCell ref="I42:M42"/>
    <mergeCell ref="A43:B43"/>
    <mergeCell ref="I43:J43"/>
    <mergeCell ref="A44:B44"/>
    <mergeCell ref="I44:J44"/>
    <mergeCell ref="A45:B45"/>
    <mergeCell ref="A46:B46"/>
    <mergeCell ref="A47:B47"/>
    <mergeCell ref="A14:B14"/>
    <mergeCell ref="B2:K3"/>
    <mergeCell ref="A5:C5"/>
    <mergeCell ref="A7:B7"/>
    <mergeCell ref="E7:F7"/>
    <mergeCell ref="A8:B8"/>
    <mergeCell ref="E8:F8"/>
    <mergeCell ref="A10:B10"/>
    <mergeCell ref="E10:F10"/>
    <mergeCell ref="A11:B11"/>
    <mergeCell ref="E11:F11"/>
    <mergeCell ref="E12:F12"/>
  </mergeCells>
  <conditionalFormatting sqref="A1:N4 A6:N58 A5:M5">
    <cfRule type="expression" dxfId="31" priority="1">
      <formula>AND(NOT(CELL("protege", A1)), A1="")</formula>
    </cfRule>
  </conditionalFormatting>
  <dataValidations count="2">
    <dataValidation type="list" allowBlank="1" showInputMessage="1" showErrorMessage="1" sqref="C15" xr:uid="{BF2A2463-3FA1-41DE-BA1C-423DBF5686F9}">
      <formula1>$D$16:$D$18</formula1>
    </dataValidation>
    <dataValidation type="list" allowBlank="1" showInputMessage="1" showErrorMessage="1" sqref="C10" xr:uid="{8938F4D2-BB0F-4E12-A34E-6D00BA089B9D}">
      <formula1>"BCH , LV"</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lisation_TUS_OMIA">
                <anchor moveWithCells="1" sizeWithCells="1">
                  <from>
                    <xdr:col>7</xdr:col>
                    <xdr:colOff>666750</xdr:colOff>
                    <xdr:row>5</xdr:row>
                    <xdr:rowOff>38100</xdr:rowOff>
                  </from>
                  <to>
                    <xdr:col>10</xdr:col>
                    <xdr:colOff>781050</xdr:colOff>
                    <xdr:row>12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7DB94-88D5-4F78-A2D3-09257B8528DF}">
  <sheetPr codeName="Feuil19">
    <tabColor theme="7" tint="0.39997558519241921"/>
  </sheetPr>
  <dimension ref="A1:N1"/>
  <sheetViews>
    <sheetView workbookViewId="0">
      <selection activeCell="G15" sqref="G15"/>
    </sheetView>
  </sheetViews>
  <sheetFormatPr baseColWidth="10" defaultRowHeight="15" x14ac:dyDescent="0.25"/>
  <cols>
    <col min="1" max="1" width="15.7109375" bestFit="1" customWidth="1"/>
    <col min="2" max="10" width="15" bestFit="1" customWidth="1"/>
    <col min="11" max="14" width="16" bestFit="1" customWidth="1"/>
  </cols>
  <sheetData>
    <row r="1" spans="1:14" x14ac:dyDescent="0.25">
      <c r="A1" t="s">
        <v>37</v>
      </c>
      <c r="B1" t="s">
        <v>38</v>
      </c>
      <c r="C1" t="s">
        <v>39</v>
      </c>
      <c r="D1" t="s">
        <v>40</v>
      </c>
      <c r="E1" t="s">
        <v>41</v>
      </c>
      <c r="F1" t="s">
        <v>42</v>
      </c>
      <c r="G1" t="s">
        <v>43</v>
      </c>
      <c r="H1" t="s">
        <v>44</v>
      </c>
      <c r="I1" t="s">
        <v>45</v>
      </c>
      <c r="J1" t="s">
        <v>46</v>
      </c>
      <c r="K1" t="s">
        <v>47</v>
      </c>
      <c r="L1" t="s">
        <v>48</v>
      </c>
      <c r="M1" t="s">
        <v>49</v>
      </c>
      <c r="N1" t="s">
        <v>234</v>
      </c>
    </row>
  </sheetData>
  <sheetProtection algorithmName="SHA-512" hashValue="rYSPUnvFTJxtetTJMvH5NI+YUE0MXeNlQYvglJrolYiAZkM6hifX6Oc8Ze8c/rT6pn0t7vaklJMDiaGWcWemRA==" saltValue="burB0fzeSEB/37Hnz1CA8Q==" spinCount="100000" sheet="1" objects="1" scenarios="1"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0ED09-149C-44C3-9F5D-AA1BF9DB6D58}">
  <sheetPr codeName="Feuil20">
    <tabColor theme="7" tint="0.39997558519241921"/>
  </sheetPr>
  <dimension ref="A1:N1"/>
  <sheetViews>
    <sheetView workbookViewId="0">
      <selection activeCell="G15" sqref="G15"/>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37</v>
      </c>
      <c r="B1" t="s">
        <v>38</v>
      </c>
      <c r="C1" t="s">
        <v>39</v>
      </c>
      <c r="D1" t="s">
        <v>40</v>
      </c>
      <c r="E1" t="s">
        <v>41</v>
      </c>
      <c r="F1" t="s">
        <v>42</v>
      </c>
      <c r="G1" t="s">
        <v>43</v>
      </c>
      <c r="H1" t="s">
        <v>44</v>
      </c>
      <c r="I1" t="s">
        <v>45</v>
      </c>
      <c r="J1" t="s">
        <v>46</v>
      </c>
      <c r="K1" t="s">
        <v>47</v>
      </c>
      <c r="L1" t="s">
        <v>48</v>
      </c>
      <c r="M1" t="s">
        <v>49</v>
      </c>
      <c r="N1" t="s">
        <v>234</v>
      </c>
    </row>
  </sheetData>
  <sheetProtection algorithmName="SHA-512" hashValue="0gGNpLjBdWoJnZ1SLAfUvaqazT5q3nOhsymSYsJWxhACr0tCX0umoGQSaXZ+NqdnPYFsbyUUtt04TNfglidhQQ==" saltValue="zmMLrNIQ8UXQMqZqWYzBDQ=="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39A91-AA7E-4460-B0FD-83D8F05AAF8C}">
  <sheetPr codeName="Feuil21">
    <tabColor theme="7" tint="0.39997558519241921"/>
  </sheetPr>
  <dimension ref="A1:N1"/>
  <sheetViews>
    <sheetView workbookViewId="0">
      <selection activeCell="G15" sqref="G15"/>
    </sheetView>
  </sheetViews>
  <sheetFormatPr baseColWidth="10" defaultRowHeight="15" x14ac:dyDescent="0.25"/>
  <cols>
    <col min="1" max="1" width="13.7109375" bestFit="1" customWidth="1"/>
    <col min="2" max="10" width="15" bestFit="1" customWidth="1"/>
    <col min="11" max="14" width="16" bestFit="1" customWidth="1"/>
  </cols>
  <sheetData>
    <row r="1" spans="1:14" x14ac:dyDescent="0.25">
      <c r="A1" t="s">
        <v>37</v>
      </c>
      <c r="B1" t="s">
        <v>38</v>
      </c>
      <c r="C1" t="s">
        <v>39</v>
      </c>
      <c r="D1" t="s">
        <v>40</v>
      </c>
      <c r="E1" t="s">
        <v>41</v>
      </c>
      <c r="F1" t="s">
        <v>42</v>
      </c>
      <c r="G1" t="s">
        <v>43</v>
      </c>
      <c r="H1" t="s">
        <v>44</v>
      </c>
      <c r="I1" t="s">
        <v>45</v>
      </c>
      <c r="J1" t="s">
        <v>46</v>
      </c>
      <c r="K1" t="s">
        <v>47</v>
      </c>
      <c r="L1" t="s">
        <v>48</v>
      </c>
      <c r="M1" t="s">
        <v>49</v>
      </c>
      <c r="N1" t="s">
        <v>234</v>
      </c>
    </row>
  </sheetData>
  <sheetProtection algorithmName="SHA-512" hashValue="Y3ix/zRzlv2252t74Pi/rmO3uDv6QNF5F6KujSrur5bmu5G3OT+ceav/uGpjbXw+l2GLxs34fkfD8B2nbJfg7Q==" saltValue="kGvEBOOHwc9s3exsaavwPw==" spinCount="100000" sheet="1" objects="1" scenarios="1"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227-6E41-476F-B630-9036A092B7A7}">
  <sheetPr codeName="Feuil7">
    <tabColor theme="7" tint="0.39997558519241921"/>
  </sheetPr>
  <dimension ref="A1:S55"/>
  <sheetViews>
    <sheetView topLeftCell="A30" workbookViewId="0">
      <selection activeCell="J45" sqref="J45"/>
    </sheetView>
  </sheetViews>
  <sheetFormatPr baseColWidth="10" defaultRowHeight="15" x14ac:dyDescent="0.25"/>
  <cols>
    <col min="2" max="2" width="15" bestFit="1" customWidth="1"/>
    <col min="3" max="11" width="12.7109375" bestFit="1" customWidth="1"/>
    <col min="12" max="15" width="13.7109375" bestFit="1" customWidth="1"/>
    <col min="16" max="16" width="8.85546875" customWidth="1"/>
    <col min="18" max="18" width="15.28515625" bestFit="1" customWidth="1"/>
    <col min="19" max="19" width="4.85546875" bestFit="1" customWidth="1"/>
  </cols>
  <sheetData>
    <row r="1" spans="1:19" s="27" customFormat="1" x14ac:dyDescent="0.25">
      <c r="A1" s="172" t="str">
        <f>"60°C"</f>
        <v>60°C</v>
      </c>
      <c r="B1" s="172"/>
      <c r="C1" s="172"/>
      <c r="D1" s="172"/>
      <c r="E1" s="172"/>
      <c r="F1" s="172"/>
      <c r="G1" s="172"/>
      <c r="H1" s="172"/>
      <c r="I1" s="172"/>
      <c r="J1" s="172"/>
      <c r="K1" s="172"/>
      <c r="L1" s="172"/>
      <c r="M1" s="172"/>
      <c r="N1" s="172"/>
      <c r="O1" s="172"/>
      <c r="P1" s="172"/>
      <c r="Q1" s="172"/>
      <c r="R1" s="172"/>
      <c r="S1" s="172"/>
    </row>
    <row r="2" spans="1:19" s="27" customFormat="1" x14ac:dyDescent="0.25">
      <c r="A2" s="172"/>
      <c r="B2" s="172"/>
      <c r="C2" s="172"/>
      <c r="D2" s="172"/>
      <c r="E2" s="172"/>
      <c r="F2" s="172"/>
      <c r="G2" s="172"/>
      <c r="H2" s="172"/>
      <c r="I2" s="172"/>
      <c r="J2" s="172"/>
      <c r="K2" s="172"/>
      <c r="L2" s="172"/>
      <c r="M2" s="172"/>
      <c r="N2" s="172"/>
      <c r="O2" s="172"/>
      <c r="P2" s="172"/>
      <c r="Q2" s="172"/>
      <c r="R2" s="172"/>
      <c r="S2" s="172"/>
    </row>
    <row r="3" spans="1:19" s="27" customFormat="1" x14ac:dyDescent="0.25">
      <c r="A3" s="172"/>
      <c r="B3" s="172"/>
      <c r="C3" s="172"/>
      <c r="D3" s="172"/>
      <c r="E3" s="172"/>
      <c r="F3" s="172"/>
      <c r="G3" s="172"/>
      <c r="H3" s="172"/>
      <c r="I3" s="172"/>
      <c r="J3" s="172"/>
      <c r="K3" s="172"/>
      <c r="L3" s="172"/>
      <c r="M3" s="172"/>
      <c r="N3" s="172"/>
      <c r="O3" s="172"/>
      <c r="P3" s="172"/>
      <c r="Q3" s="172"/>
      <c r="R3" s="172"/>
      <c r="S3" s="172"/>
    </row>
    <row r="4" spans="1:19" s="27" customFormat="1" x14ac:dyDescent="0.25">
      <c r="P4" s="33"/>
    </row>
    <row r="5" spans="1:19" s="27" customFormat="1" x14ac:dyDescent="0.25">
      <c r="B5" s="34" t="s">
        <v>24</v>
      </c>
      <c r="C5" s="35" t="e">
        <f>_xlfn.XLOOKUP(INT(SUBSTITUTE(C47,"Connecteur ","")),Mesures_Omia!C23:C35,Mesures_Omia!G23:G35)</f>
        <v>#N/A</v>
      </c>
      <c r="D5" s="35" t="e">
        <f>_xlfn.XLOOKUP(INT(SUBSTITUTE(D47,"Connecteur ","")),Mesures_Omia!C23:C35,Mesures_Omia!G23:G35)</f>
        <v>#N/A</v>
      </c>
      <c r="E5" s="35" t="e">
        <f>_xlfn.XLOOKUP(INT(SUBSTITUTE(E47,"Connecteur ","")),Mesures_Omia!C23:C35,Mesures_Omia!G23:G35)</f>
        <v>#N/A</v>
      </c>
      <c r="F5" s="35" t="e">
        <f>_xlfn.XLOOKUP(INT(SUBSTITUTE(F47,"Connecteur ","")),Mesures_Omia!C23:C35,Mesures_Omia!G23:G35)</f>
        <v>#N/A</v>
      </c>
      <c r="G5" s="35" t="e">
        <f>_xlfn.XLOOKUP(INT(SUBSTITUTE(G47,"Connecteur ","")),Mesures_Omia!C23:C35,Mesures_Omia!G23:G35)</f>
        <v>#N/A</v>
      </c>
      <c r="H5" s="35" t="e">
        <f>_xlfn.XLOOKUP(INT(SUBSTITUTE(H47,"Connecteur ","")),Mesures_Omia!C23:C35,Mesures_Omia!G23:G35)</f>
        <v>#N/A</v>
      </c>
      <c r="I5" s="35" t="e">
        <f>_xlfn.XLOOKUP(INT(SUBSTITUTE(I47,"Connecteur ","")),Mesures_Omia!C23:C35,Mesures_Omia!G23:G35)</f>
        <v>#N/A</v>
      </c>
      <c r="J5" s="35" t="e">
        <f>_xlfn.XLOOKUP(INT(SUBSTITUTE(J47,"Connecteur ","")),Mesures_Omia!C23:C35,Mesures_Omia!G23:G35)</f>
        <v>#N/A</v>
      </c>
      <c r="K5" s="35" t="e">
        <f>_xlfn.XLOOKUP(INT(SUBSTITUTE(K47,"Connecteur ","")),Mesures_Omia!C23:C35,Mesures_Omia!G23:G35)</f>
        <v>#N/A</v>
      </c>
      <c r="L5" s="35" t="e">
        <f>_xlfn.XLOOKUP(INT(SUBSTITUTE(L47,"Connecteur ","")),Mesures_Omia!C23:C35,Mesures_Omia!G23:G35)</f>
        <v>#N/A</v>
      </c>
      <c r="M5" s="35" t="e">
        <f>_xlfn.XLOOKUP(INT(SUBSTITUTE(M47,"Connecteur ","")),Mesures_Omia!C23:C35,Mesures_Omia!G23:G35)</f>
        <v>#N/A</v>
      </c>
      <c r="N5" s="35" t="e">
        <f>_xlfn.XLOOKUP(INT(SUBSTITUTE(N47,"Connecteur ","")),Mesures_Omia!C23:C35,Mesures_Omia!G23:G35)</f>
        <v>#N/A</v>
      </c>
      <c r="O5" s="35" t="e">
        <f>_xlfn.XLOOKUP(INT(SUBSTITUTE(O47,"Connecteur ","")),Mesures_Omia!C23:C35,Mesures_Omia!G23:G35)</f>
        <v>#N/A</v>
      </c>
      <c r="P5" s="33"/>
    </row>
    <row r="6" spans="1:19" s="27" customFormat="1" x14ac:dyDescent="0.25">
      <c r="B6" s="34" t="s">
        <v>94</v>
      </c>
      <c r="C6" s="35" t="e">
        <f>_xlfn.XLOOKUP(INT(SUBSTITUTE(C47,"Connecteur ","")),Mesures_Omia!C23:C35,Mesures_Omia!D23:D35)</f>
        <v>#N/A</v>
      </c>
      <c r="D6" s="35" t="e">
        <f>_xlfn.XLOOKUP(INT(SUBSTITUTE(D47,"Connecteur ","")),Mesures_Omia!C23:C35,Mesures_Omia!D23:D35)</f>
        <v>#N/A</v>
      </c>
      <c r="E6" s="35" t="e">
        <f>_xlfn.XLOOKUP(INT(SUBSTITUTE(E47,"Connecteur ","")),Mesures_Omia!C23:C35,Mesures_Omia!D23:D35)</f>
        <v>#N/A</v>
      </c>
      <c r="F6" s="35" t="e">
        <f>_xlfn.XLOOKUP(INT(SUBSTITUTE(F47,"Connecteur ","")),Mesures_Omia!C23:C35,Mesures_Omia!D23:D35)</f>
        <v>#N/A</v>
      </c>
      <c r="G6" s="35" t="e">
        <f>_xlfn.XLOOKUP(INT(SUBSTITUTE(G47,"Connecteur ","")),Mesures_Omia!C23:C35,Mesures_Omia!D23:D35)</f>
        <v>#N/A</v>
      </c>
      <c r="H6" s="35" t="e">
        <f>_xlfn.XLOOKUP(INT(SUBSTITUTE(H47,"Connecteur ","")),Mesures_Omia!C23:C35,Mesures_Omia!D23:D35)</f>
        <v>#N/A</v>
      </c>
      <c r="I6" s="35" t="e">
        <f>_xlfn.XLOOKUP(INT(SUBSTITUTE(I47,"Connecteur ","")),Mesures_Omia!C23:C35,Mesures_Omia!D23:D35)</f>
        <v>#N/A</v>
      </c>
      <c r="J6" s="35" t="e">
        <f>_xlfn.XLOOKUP(INT(SUBSTITUTE(J47,"Connecteur ","")),Mesures_Omia!C23:C35,Mesures_Omia!D23:D35)</f>
        <v>#N/A</v>
      </c>
      <c r="K6" s="35" t="e">
        <f>_xlfn.XLOOKUP(INT(SUBSTITUTE(K47,"Connecteur ","")),Mesures_Omia!C23:C35,Mesures_Omia!D23:D35)</f>
        <v>#N/A</v>
      </c>
      <c r="L6" s="35" t="e">
        <f>_xlfn.XLOOKUP(INT(SUBSTITUTE(L47,"Connecteur ","")),Mesures_Omia!C23:C35,Mesures_Omia!D23:D35)</f>
        <v>#N/A</v>
      </c>
      <c r="M6" s="35" t="e">
        <f>_xlfn.XLOOKUP(INT(SUBSTITUTE(M47,"Connecteur ","")),Mesures_Omia!C23:C35,Mesures_Omia!D23:D35)</f>
        <v>#N/A</v>
      </c>
      <c r="N6" s="35" t="e">
        <f>_xlfn.XLOOKUP(INT(SUBSTITUTE(N47,"Connecteur ","")),Mesures_Omia!C23:C35,Mesures_Omia!D23:D35)</f>
        <v>#N/A</v>
      </c>
      <c r="O6" s="35" t="e">
        <f>_xlfn.XLOOKUP(INT(SUBSTITUTE(O47,"Connecteur ","")),Mesures_Omia!C23:C35,Mesures_Omia!D23:D35)</f>
        <v>#N/A</v>
      </c>
      <c r="P6" s="33"/>
    </row>
    <row r="7" spans="1:19" s="27" customFormat="1" x14ac:dyDescent="0.25">
      <c r="P7" s="33"/>
    </row>
    <row r="8" spans="1:19" s="27" customFormat="1" x14ac:dyDescent="0.25">
      <c r="P8" s="33"/>
    </row>
    <row r="9" spans="1:19" s="27" customFormat="1" x14ac:dyDescent="0.25">
      <c r="A9" s="210" t="s">
        <v>95</v>
      </c>
      <c r="B9" s="210"/>
      <c r="C9" s="210"/>
      <c r="D9" s="210"/>
      <c r="E9" s="210"/>
      <c r="F9" s="210"/>
      <c r="G9" s="210"/>
      <c r="H9" s="210"/>
      <c r="I9" s="210"/>
      <c r="J9" s="210"/>
      <c r="K9" s="210"/>
      <c r="L9" s="210"/>
      <c r="M9" s="210"/>
      <c r="N9" s="210"/>
      <c r="P9" s="33"/>
    </row>
    <row r="10" spans="1:19" s="27" customFormat="1" x14ac:dyDescent="0.25">
      <c r="A10" s="33"/>
      <c r="B10" s="34" t="str">
        <f>Donnees_Brutes_60[[#Headers],[Date/Heure]]</f>
        <v>Date/Heure</v>
      </c>
      <c r="C10" s="36" t="str" cm="1">
        <f t="array" ref="C10:O10">Donnees_Brutes_60[[#Headers],[Connecteur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11" t="s">
        <v>96</v>
      </c>
      <c r="B11" s="145" cm="1">
        <f t="array" ref="B11">Donnees_Brutes_60[Date/Heure]</f>
        <v>0</v>
      </c>
      <c r="C11" s="130" t="e" cm="1">
        <f t="array" ref="C11:O11">Donnees_Brutes_60[[Connecteur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11"/>
      <c r="B12" s="145"/>
      <c r="C12" s="130"/>
      <c r="D12" s="130"/>
      <c r="E12" s="130"/>
      <c r="F12" s="130"/>
      <c r="G12" s="130"/>
      <c r="H12" s="130"/>
      <c r="I12" s="130"/>
      <c r="J12" s="130"/>
      <c r="K12" s="130"/>
      <c r="L12" s="130"/>
      <c r="M12" s="130"/>
      <c r="N12" s="130"/>
      <c r="O12" s="130"/>
      <c r="P12" s="33"/>
    </row>
    <row r="13" spans="1:19" x14ac:dyDescent="0.25">
      <c r="A13" s="211"/>
      <c r="B13" s="145"/>
      <c r="C13" s="130"/>
      <c r="D13" s="130"/>
      <c r="E13" s="130"/>
      <c r="F13" s="130"/>
      <c r="G13" s="130"/>
      <c r="H13" s="130"/>
      <c r="I13" s="130"/>
      <c r="J13" s="130"/>
      <c r="K13" s="130"/>
      <c r="L13" s="130"/>
      <c r="M13" s="130"/>
      <c r="N13" s="130"/>
      <c r="O13" s="130"/>
    </row>
    <row r="14" spans="1:19" x14ac:dyDescent="0.25">
      <c r="A14" s="211"/>
      <c r="B14" s="145"/>
      <c r="C14" s="130"/>
      <c r="D14" s="130"/>
      <c r="E14" s="130"/>
      <c r="F14" s="130"/>
      <c r="G14" s="130"/>
      <c r="H14" s="130"/>
      <c r="I14" s="130"/>
      <c r="J14" s="130"/>
      <c r="K14" s="130"/>
      <c r="L14" s="130"/>
      <c r="M14" s="130"/>
      <c r="N14" s="130"/>
      <c r="O14" s="130"/>
    </row>
    <row r="15" spans="1:19" x14ac:dyDescent="0.25">
      <c r="A15" s="211"/>
      <c r="B15" s="145"/>
      <c r="C15" s="130"/>
      <c r="D15" s="130"/>
      <c r="E15" s="130"/>
      <c r="F15" s="130"/>
      <c r="G15" s="130"/>
      <c r="H15" s="130"/>
      <c r="I15" s="130"/>
      <c r="J15" s="130"/>
      <c r="K15" s="130"/>
      <c r="L15" s="130"/>
      <c r="M15" s="130"/>
      <c r="N15" s="130"/>
      <c r="O15" s="130"/>
    </row>
    <row r="16" spans="1:19" x14ac:dyDescent="0.25">
      <c r="A16" s="211"/>
      <c r="B16" s="145"/>
      <c r="C16" s="130"/>
      <c r="D16" s="130"/>
      <c r="E16" s="130"/>
      <c r="F16" s="130"/>
      <c r="G16" s="130"/>
      <c r="H16" s="130"/>
      <c r="I16" s="130"/>
      <c r="J16" s="130"/>
      <c r="K16" s="130"/>
      <c r="L16" s="130"/>
      <c r="M16" s="130"/>
      <c r="N16" s="130"/>
      <c r="O16" s="130"/>
    </row>
    <row r="17" spans="1:16" x14ac:dyDescent="0.25">
      <c r="A17" s="211"/>
      <c r="B17" s="145"/>
      <c r="C17" s="130"/>
      <c r="D17" s="130"/>
      <c r="E17" s="130"/>
      <c r="F17" s="130"/>
      <c r="G17" s="130"/>
      <c r="H17" s="130"/>
      <c r="I17" s="130"/>
      <c r="J17" s="130"/>
      <c r="K17" s="130"/>
      <c r="L17" s="130"/>
      <c r="M17" s="130"/>
      <c r="N17" s="130"/>
      <c r="O17" s="130"/>
    </row>
    <row r="18" spans="1:16" x14ac:dyDescent="0.25">
      <c r="A18" s="211"/>
      <c r="B18" s="145"/>
      <c r="C18" s="130"/>
      <c r="D18" s="130"/>
      <c r="E18" s="130"/>
      <c r="F18" s="130"/>
      <c r="G18" s="130"/>
      <c r="H18" s="130"/>
      <c r="I18" s="130"/>
      <c r="J18" s="130"/>
      <c r="K18" s="130"/>
      <c r="L18" s="130"/>
      <c r="M18" s="130"/>
      <c r="N18" s="130"/>
      <c r="O18" s="130"/>
    </row>
    <row r="19" spans="1:16" x14ac:dyDescent="0.25">
      <c r="A19" s="211"/>
      <c r="B19" s="145"/>
      <c r="C19" s="130"/>
      <c r="D19" s="130"/>
      <c r="E19" s="130"/>
      <c r="F19" s="130"/>
      <c r="G19" s="130"/>
      <c r="H19" s="130"/>
      <c r="I19" s="130"/>
      <c r="J19" s="130"/>
      <c r="K19" s="130"/>
      <c r="L19" s="130"/>
      <c r="M19" s="130"/>
      <c r="N19" s="130"/>
      <c r="O19" s="130"/>
    </row>
    <row r="20" spans="1:16" x14ac:dyDescent="0.25">
      <c r="A20" s="211"/>
      <c r="B20" s="145"/>
      <c r="C20" s="130"/>
      <c r="D20" s="130"/>
      <c r="E20" s="130"/>
      <c r="F20" s="130"/>
      <c r="G20" s="130"/>
      <c r="H20" s="130"/>
      <c r="I20" s="130"/>
      <c r="J20" s="130"/>
      <c r="K20" s="130"/>
      <c r="L20" s="130"/>
      <c r="M20" s="130"/>
      <c r="N20" s="130"/>
      <c r="O20" s="130"/>
    </row>
    <row r="21" spans="1:16" x14ac:dyDescent="0.25">
      <c r="A21" s="211"/>
      <c r="B21" s="145"/>
      <c r="C21" s="130"/>
      <c r="D21" s="130"/>
      <c r="E21" s="130"/>
      <c r="F21" s="130"/>
      <c r="G21" s="130"/>
      <c r="H21" s="130"/>
      <c r="I21" s="130"/>
      <c r="J21" s="130"/>
      <c r="K21" s="130"/>
      <c r="L21" s="130"/>
      <c r="M21" s="130"/>
      <c r="N21" s="130"/>
      <c r="O21" s="130"/>
    </row>
    <row r="22" spans="1:16" x14ac:dyDescent="0.25">
      <c r="A22" s="211"/>
      <c r="B22" s="145"/>
      <c r="C22" s="130"/>
      <c r="D22" s="130"/>
      <c r="E22" s="130"/>
      <c r="F22" s="130"/>
      <c r="G22" s="130"/>
      <c r="H22" s="130"/>
      <c r="I22" s="130"/>
      <c r="J22" s="130"/>
      <c r="K22" s="130"/>
      <c r="L22" s="130"/>
      <c r="M22" s="130"/>
      <c r="N22" s="130"/>
      <c r="O22" s="130"/>
    </row>
    <row r="23" spans="1:16" s="27" customFormat="1" x14ac:dyDescent="0.25">
      <c r="A23" s="211"/>
      <c r="B23" s="145"/>
      <c r="C23" s="130"/>
      <c r="D23" s="130"/>
      <c r="E23" s="130"/>
      <c r="F23" s="130"/>
      <c r="G23" s="130"/>
      <c r="H23" s="130"/>
      <c r="I23" s="130"/>
      <c r="J23" s="130"/>
      <c r="K23" s="130"/>
      <c r="L23" s="130"/>
      <c r="M23" s="130"/>
      <c r="N23" s="130"/>
      <c r="O23" s="130"/>
      <c r="P23" s="33"/>
    </row>
    <row r="24" spans="1:16" x14ac:dyDescent="0.25">
      <c r="A24" s="211"/>
      <c r="B24" s="145"/>
      <c r="C24" s="130"/>
      <c r="D24" s="130"/>
      <c r="E24" s="130"/>
      <c r="F24" s="130"/>
      <c r="G24" s="130"/>
      <c r="H24" s="130"/>
      <c r="I24" s="130"/>
      <c r="J24" s="130"/>
      <c r="K24" s="130"/>
      <c r="L24" s="130"/>
      <c r="M24" s="130"/>
      <c r="N24" s="130"/>
      <c r="O24" s="130"/>
    </row>
    <row r="25" spans="1:16" x14ac:dyDescent="0.25">
      <c r="A25" s="211"/>
      <c r="B25" s="145"/>
      <c r="C25" s="130"/>
      <c r="D25" s="130"/>
      <c r="E25" s="130"/>
      <c r="F25" s="130"/>
      <c r="G25" s="130"/>
      <c r="H25" s="130"/>
      <c r="I25" s="130"/>
      <c r="J25" s="130"/>
      <c r="K25" s="130"/>
      <c r="L25" s="130"/>
      <c r="M25" s="130"/>
      <c r="N25" s="130"/>
      <c r="O25" s="130"/>
    </row>
    <row r="26" spans="1:16" x14ac:dyDescent="0.25">
      <c r="A26" s="211"/>
      <c r="B26" s="145"/>
      <c r="C26" s="130"/>
      <c r="D26" s="130"/>
      <c r="E26" s="130"/>
      <c r="F26" s="130"/>
      <c r="G26" s="130"/>
      <c r="H26" s="130"/>
      <c r="I26" s="130"/>
      <c r="J26" s="130"/>
      <c r="K26" s="130"/>
      <c r="L26" s="130"/>
      <c r="M26" s="130"/>
      <c r="N26" s="130"/>
      <c r="O26" s="130"/>
    </row>
    <row r="27" spans="1:16" x14ac:dyDescent="0.25">
      <c r="A27" s="211"/>
      <c r="B27" s="145"/>
      <c r="C27" s="130"/>
      <c r="D27" s="130"/>
      <c r="E27" s="130"/>
      <c r="F27" s="130"/>
      <c r="G27" s="130"/>
      <c r="H27" s="130"/>
      <c r="I27" s="130"/>
      <c r="J27" s="130"/>
      <c r="K27" s="130"/>
      <c r="L27" s="130"/>
      <c r="M27" s="130"/>
      <c r="N27" s="130"/>
      <c r="O27" s="130"/>
    </row>
    <row r="28" spans="1:16" x14ac:dyDescent="0.25">
      <c r="A28" s="211"/>
      <c r="B28" s="145"/>
      <c r="C28" s="130"/>
      <c r="D28" s="130"/>
      <c r="E28" s="130"/>
      <c r="F28" s="130"/>
      <c r="G28" s="130"/>
      <c r="H28" s="130"/>
      <c r="I28" s="130"/>
      <c r="J28" s="130"/>
      <c r="K28" s="130"/>
      <c r="L28" s="130"/>
      <c r="M28" s="130"/>
      <c r="N28" s="130"/>
      <c r="O28" s="130"/>
    </row>
    <row r="29" spans="1:16" x14ac:dyDescent="0.25">
      <c r="A29" s="211"/>
      <c r="B29" s="145"/>
      <c r="C29" s="130"/>
      <c r="D29" s="130"/>
      <c r="E29" s="130"/>
      <c r="F29" s="130"/>
      <c r="G29" s="130"/>
      <c r="H29" s="130"/>
      <c r="I29" s="130"/>
      <c r="J29" s="130"/>
      <c r="K29" s="130"/>
      <c r="L29" s="130"/>
      <c r="M29" s="130"/>
      <c r="N29" s="130"/>
      <c r="O29" s="130"/>
    </row>
    <row r="30" spans="1:16" x14ac:dyDescent="0.25">
      <c r="A30" s="211"/>
      <c r="B30" s="145"/>
      <c r="C30" s="130"/>
      <c r="D30" s="130"/>
      <c r="E30" s="130"/>
      <c r="F30" s="130"/>
      <c r="G30" s="130"/>
      <c r="H30" s="130"/>
      <c r="I30" s="130"/>
      <c r="J30" s="130"/>
      <c r="K30" s="130"/>
      <c r="L30" s="130"/>
      <c r="M30" s="130"/>
      <c r="N30" s="130"/>
      <c r="O30" s="130"/>
    </row>
    <row r="31" spans="1:16" x14ac:dyDescent="0.25">
      <c r="A31" s="211"/>
      <c r="B31" s="145"/>
      <c r="C31" s="130"/>
      <c r="D31" s="130"/>
      <c r="E31" s="130"/>
      <c r="F31" s="130"/>
      <c r="G31" s="130"/>
      <c r="H31" s="130"/>
      <c r="I31" s="130"/>
      <c r="J31" s="130"/>
      <c r="K31" s="130"/>
      <c r="L31" s="130"/>
      <c r="M31" s="130"/>
      <c r="N31" s="130"/>
      <c r="O31" s="130"/>
    </row>
    <row r="32" spans="1:16" x14ac:dyDescent="0.25">
      <c r="A32" s="211"/>
      <c r="B32" s="145"/>
      <c r="C32" s="130"/>
      <c r="D32" s="130"/>
      <c r="E32" s="130"/>
      <c r="F32" s="130"/>
      <c r="G32" s="130"/>
      <c r="H32" s="130"/>
      <c r="I32" s="130"/>
      <c r="J32" s="130"/>
      <c r="K32" s="130"/>
      <c r="L32" s="130"/>
      <c r="M32" s="130"/>
      <c r="N32" s="130"/>
      <c r="O32" s="130"/>
    </row>
    <row r="33" spans="1:19" x14ac:dyDescent="0.25">
      <c r="A33" s="211"/>
      <c r="B33" s="145"/>
      <c r="C33" s="130"/>
      <c r="D33" s="130"/>
      <c r="E33" s="130"/>
      <c r="F33" s="130"/>
      <c r="G33" s="130"/>
      <c r="H33" s="130"/>
      <c r="I33" s="130"/>
      <c r="J33" s="130"/>
      <c r="K33" s="130"/>
      <c r="L33" s="130"/>
      <c r="M33" s="130"/>
      <c r="N33" s="130"/>
      <c r="O33" s="130"/>
    </row>
    <row r="34" spans="1:19" x14ac:dyDescent="0.25">
      <c r="A34" s="211"/>
      <c r="B34" s="145"/>
      <c r="C34" s="130"/>
      <c r="D34" s="130"/>
      <c r="E34" s="130"/>
      <c r="F34" s="130"/>
      <c r="G34" s="130"/>
      <c r="H34" s="130"/>
      <c r="I34" s="130"/>
      <c r="J34" s="130"/>
      <c r="K34" s="130"/>
      <c r="L34" s="130"/>
      <c r="M34" s="130"/>
      <c r="N34" s="130"/>
      <c r="O34" s="130"/>
    </row>
    <row r="35" spans="1:19" x14ac:dyDescent="0.25">
      <c r="A35" s="211"/>
      <c r="B35" s="145"/>
      <c r="C35" s="130"/>
      <c r="D35" s="130"/>
      <c r="E35" s="130"/>
      <c r="F35" s="130"/>
      <c r="G35" s="130"/>
      <c r="H35" s="130"/>
      <c r="I35" s="130"/>
      <c r="J35" s="130"/>
      <c r="K35" s="130"/>
      <c r="L35" s="130"/>
      <c r="M35" s="130"/>
      <c r="N35" s="130"/>
      <c r="O35" s="130"/>
    </row>
    <row r="36" spans="1:19" x14ac:dyDescent="0.25">
      <c r="A36" s="211"/>
      <c r="B36" s="145"/>
      <c r="C36" s="130"/>
      <c r="D36" s="130"/>
      <c r="E36" s="130"/>
      <c r="F36" s="130"/>
      <c r="G36" s="130"/>
      <c r="H36" s="130"/>
      <c r="I36" s="130"/>
      <c r="J36" s="130"/>
      <c r="K36" s="130"/>
      <c r="L36" s="130"/>
      <c r="M36" s="130"/>
      <c r="N36" s="130"/>
      <c r="O36" s="130"/>
    </row>
    <row r="37" spans="1:19" x14ac:dyDescent="0.25">
      <c r="A37" s="211"/>
      <c r="B37" s="145"/>
      <c r="C37" s="130"/>
      <c r="D37" s="130"/>
      <c r="E37" s="130"/>
      <c r="F37" s="130"/>
      <c r="G37" s="130"/>
      <c r="H37" s="130"/>
      <c r="I37" s="130"/>
      <c r="J37" s="130"/>
      <c r="K37" s="130"/>
      <c r="L37" s="130"/>
      <c r="M37" s="130"/>
      <c r="N37" s="130"/>
      <c r="O37" s="130"/>
    </row>
    <row r="38" spans="1:19" x14ac:dyDescent="0.25">
      <c r="A38" s="211"/>
      <c r="B38" s="145"/>
      <c r="C38" s="130"/>
      <c r="D38" s="130"/>
      <c r="E38" s="130"/>
      <c r="F38" s="130"/>
      <c r="G38" s="130"/>
      <c r="H38" s="130"/>
      <c r="I38" s="130"/>
      <c r="J38" s="130"/>
      <c r="K38" s="130"/>
      <c r="L38" s="130"/>
      <c r="M38" s="130"/>
      <c r="N38" s="130"/>
      <c r="O38" s="130"/>
    </row>
    <row r="39" spans="1:19" x14ac:dyDescent="0.25">
      <c r="A39" s="211"/>
      <c r="B39" s="145"/>
      <c r="C39" s="130"/>
      <c r="D39" s="130"/>
      <c r="E39" s="130"/>
      <c r="F39" s="130"/>
      <c r="G39" s="130"/>
      <c r="H39" s="130"/>
      <c r="I39" s="130"/>
      <c r="J39" s="130"/>
      <c r="K39" s="130"/>
      <c r="L39" s="130"/>
      <c r="M39" s="130"/>
      <c r="N39" s="130"/>
      <c r="O39" s="130"/>
    </row>
    <row r="40" spans="1:19" x14ac:dyDescent="0.25">
      <c r="A40" s="211"/>
      <c r="B40" s="145"/>
      <c r="C40" s="130"/>
      <c r="D40" s="130"/>
      <c r="E40" s="130"/>
      <c r="F40" s="130"/>
      <c r="G40" s="130"/>
      <c r="H40" s="130"/>
      <c r="I40" s="130"/>
      <c r="J40" s="130"/>
      <c r="K40" s="130"/>
      <c r="L40" s="130"/>
      <c r="M40" s="130"/>
      <c r="N40" s="130"/>
      <c r="O40" s="130"/>
    </row>
    <row r="41" spans="1:19" x14ac:dyDescent="0.25">
      <c r="A41" s="211"/>
      <c r="B41" s="145"/>
      <c r="C41" s="130"/>
      <c r="D41" s="130"/>
      <c r="E41" s="130"/>
      <c r="F41" s="130"/>
      <c r="G41" s="130"/>
      <c r="H41" s="130"/>
      <c r="I41" s="130"/>
      <c r="J41" s="130"/>
      <c r="K41" s="130"/>
      <c r="L41" s="130"/>
      <c r="M41" s="130"/>
      <c r="N41" s="130"/>
      <c r="O41" s="130"/>
    </row>
    <row r="46" spans="1:19" s="174" customFormat="1" x14ac:dyDescent="0.25"/>
    <row r="47" spans="1:19" s="27" customFormat="1" x14ac:dyDescent="0.25">
      <c r="C47" s="41" t="str" cm="1">
        <f t="array" ref="C47:O47">Donnees_Brutes_60[[#Headers],[Connecteur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41" t="str">
        <v>Connecteur 13</v>
      </c>
      <c r="Q47" s="33"/>
    </row>
    <row r="48" spans="1:19" s="27" customFormat="1" x14ac:dyDescent="0.25">
      <c r="B48" s="42" t="s">
        <v>98</v>
      </c>
      <c r="C48" s="43" t="e">
        <f>MAX(C11:C41)</f>
        <v>#N/A</v>
      </c>
      <c r="D48" s="43" t="e">
        <f>MAX(D11:D41)</f>
        <v>#N/A</v>
      </c>
      <c r="E48" s="43" t="e">
        <f t="shared" ref="E48:O48" si="0">MAX(E11:E41)</f>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60+Mesures_Omia!B20</f>
        <v>60</v>
      </c>
      <c r="Q48" s="33"/>
      <c r="R48" s="36" t="s">
        <v>7</v>
      </c>
      <c r="S48" s="48" t="str">
        <f>"60°C"</f>
        <v>60°C</v>
      </c>
    </row>
    <row r="49" spans="2:19" s="27" customFormat="1" x14ac:dyDescent="0.25">
      <c r="B49" s="42" t="s">
        <v>100</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60-Mesures_Omia!B20</f>
        <v>60</v>
      </c>
      <c r="Q49" s="33"/>
      <c r="R49" s="36" t="s">
        <v>99</v>
      </c>
      <c r="S49" s="35" t="str">
        <f>"+" &amp; Mesures_Omia!B20 &amp; "°C"</f>
        <v>+°C</v>
      </c>
    </row>
    <row r="50" spans="2:19" s="27" customFormat="1" x14ac:dyDescent="0.25">
      <c r="B50" s="42" t="s">
        <v>102</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101</v>
      </c>
      <c r="S50" s="35" t="str">
        <f>"-" &amp; Mesures_Omia!B20 &amp; "°C"</f>
        <v>-°C</v>
      </c>
    </row>
    <row r="51" spans="2:19" s="27" customFormat="1" x14ac:dyDescent="0.25">
      <c r="B51" s="42" t="s">
        <v>103</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2:19" s="27" customFormat="1" x14ac:dyDescent="0.25">
      <c r="B52" s="42" t="s">
        <v>104</v>
      </c>
      <c r="C52" s="175" t="e">
        <f>ABS(MAX(C48:O48)-MIN(C49:O49))</f>
        <v>#N/A</v>
      </c>
      <c r="D52" s="175"/>
      <c r="E52" s="175"/>
      <c r="F52" s="175"/>
      <c r="G52" s="175"/>
      <c r="H52" s="175"/>
      <c r="I52" s="175"/>
      <c r="J52" s="175"/>
      <c r="K52" s="175"/>
      <c r="L52" s="175"/>
      <c r="M52" s="175"/>
      <c r="N52" s="175"/>
      <c r="O52" s="175"/>
      <c r="P52" s="33"/>
    </row>
    <row r="53" spans="2:19" s="27" customFormat="1" x14ac:dyDescent="0.25">
      <c r="B53" s="42" t="s">
        <v>105</v>
      </c>
      <c r="C53" s="175" t="e">
        <f>AVERAGE(C50:O50)</f>
        <v>#N/A</v>
      </c>
      <c r="D53" s="175"/>
      <c r="E53" s="175"/>
      <c r="F53" s="175"/>
      <c r="G53" s="175"/>
      <c r="H53" s="175"/>
      <c r="I53" s="175"/>
      <c r="J53" s="175"/>
      <c r="K53" s="175"/>
      <c r="L53" s="175"/>
      <c r="M53" s="175"/>
      <c r="N53" s="175"/>
      <c r="O53" s="175"/>
      <c r="P53" s="33"/>
    </row>
    <row r="54" spans="2:19" s="27" customFormat="1" x14ac:dyDescent="0.25">
      <c r="B54" s="36" t="s">
        <v>106</v>
      </c>
      <c r="C54" s="46" t="e">
        <f ca="1">STDEV(OFFSET(INDEX(Donnees_Brutes_60[Connecteur 1],1),COUNT(Donnees_Brutes_60[Connecteur 1])-30,0,30))+C5+C6</f>
        <v>#REF!</v>
      </c>
      <c r="D54" s="46" t="e">
        <f ca="1">STDEV(OFFSET(INDEX(Donnees_Brutes_60[Connecteur 2],1),COUNT(Donnees_Brutes_60[Connecteur 2])-30,0,30))+D5+D6</f>
        <v>#REF!</v>
      </c>
      <c r="E54" s="46" t="e">
        <f ca="1">STDEV(OFFSET(INDEX(Donnees_Brutes_60[Connecteur 3],1),COUNT(Donnees_Brutes_60[Connecteur 3])-30,0,30))+E5+E6</f>
        <v>#REF!</v>
      </c>
      <c r="F54" s="46" t="e">
        <f ca="1">STDEV(OFFSET(INDEX(Donnees_Brutes_60[Connecteur 4],1),COUNT(Donnees_Brutes_60[Connecteur 4])-30,0,30))+F5+F6</f>
        <v>#REF!</v>
      </c>
      <c r="G54" s="46" t="e">
        <f ca="1">STDEV(OFFSET(INDEX(Donnees_Brutes_60[Connecteur 5],1),COUNT(Donnees_Brutes_60[Connecteur 5])-30,0,30))+G5+G6</f>
        <v>#REF!</v>
      </c>
      <c r="H54" s="46" t="e">
        <f ca="1">STDEV(OFFSET(INDEX(Donnees_Brutes_60[Connecteur 6],1),COUNT(Donnees_Brutes_60[Connecteur 6])-30,0,30))+H5+H6</f>
        <v>#REF!</v>
      </c>
      <c r="I54" s="46" t="e">
        <f ca="1">STDEV(OFFSET(INDEX(Donnees_Brutes_60[Connecteur 7],1),COUNT(Donnees_Brutes_60[Connecteur 7])-30,0,30))+I5+I6</f>
        <v>#REF!</v>
      </c>
      <c r="J54" s="46" t="e">
        <f ca="1">STDEV(OFFSET(INDEX(Donnees_Brutes_60[Connecteur 8],1),COUNT(Donnees_Brutes_60[Connecteur 8])-30,0,30))+J5+J6</f>
        <v>#REF!</v>
      </c>
      <c r="K54" s="46" t="e">
        <f ca="1">STDEV(OFFSET(INDEX(Donnees_Brutes_60[Connecteur 9],1),COUNT(Donnees_Brutes_60[Connecteur 9])-30,0,30))+K5+K6</f>
        <v>#REF!</v>
      </c>
      <c r="L54" s="46" t="e">
        <f ca="1">STDEV(OFFSET(INDEX(Donnees_Brutes_60[Connecteur 10],1),COUNT(Donnees_Brutes_60[Connecteur 10])-30,0,30))+L5+L6</f>
        <v>#REF!</v>
      </c>
      <c r="M54" s="46" t="e">
        <f ca="1">STDEV(OFFSET(INDEX(Donnees_Brutes_60[Connecteur 11],1),COUNT(Donnees_Brutes_60[Connecteur 11])-30,0,30))+M5+M6</f>
        <v>#REF!</v>
      </c>
      <c r="N54" s="46" t="e">
        <f ca="1">STDEV(OFFSET(INDEX(Donnees_Brutes_60[Connecteur 12],1),COUNT(Donnees_Brutes_60[Connecteur 12])-30,0,30))+N5+N6</f>
        <v>#REF!</v>
      </c>
      <c r="O54" s="46" t="e">
        <f ca="1">STDEV(OFFSET(INDEX(Donnees_Brutes_60[Connecteur 13],1),COUNT(Donnees_Brutes_60[Connecteur 13])-30,0,30))+O5+O6</f>
        <v>#REF!</v>
      </c>
      <c r="P54" s="33"/>
    </row>
    <row r="55" spans="2:19" s="27" customFormat="1" x14ac:dyDescent="0.25">
      <c r="B55"/>
      <c r="C55"/>
      <c r="D55"/>
      <c r="E55"/>
      <c r="F55"/>
      <c r="G55"/>
      <c r="H55"/>
      <c r="I55"/>
      <c r="J55"/>
      <c r="K55"/>
      <c r="L55"/>
      <c r="M55"/>
      <c r="N55"/>
      <c r="O55"/>
      <c r="P55"/>
    </row>
  </sheetData>
  <sheetProtection algorithmName="SHA-512" hashValue="LQMPcy+Is1iP0RKPWdv5oVnD4VpN3ILzKvVjU9kHodQn4tQaZKm/kePGNkt4fIsX1kgsjAWkIApXgpjdpuffMQ==" saltValue="/pDSrbOVofATLDI8/V4JCw==" spinCount="100000" sheet="1" objects="1" scenarios="1" autoFilter="0"/>
  <mergeCells count="6">
    <mergeCell ref="C53:O53"/>
    <mergeCell ref="A1:S3"/>
    <mergeCell ref="A9:N9"/>
    <mergeCell ref="A11:A41"/>
    <mergeCell ref="A46:XFD46"/>
    <mergeCell ref="C52:O52"/>
  </mergeCells>
  <conditionalFormatting sqref="C48:O48">
    <cfRule type="cellIs" dxfId="30" priority="1" operator="greaterThan">
      <formula>$P$48</formula>
    </cfRule>
  </conditionalFormatting>
  <conditionalFormatting sqref="C49:O49">
    <cfRule type="cellIs" dxfId="29" priority="2" operator="lessThan">
      <formula>$P$49</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8124A-109E-4164-A6EC-FE130807D216}">
  <sheetPr codeName="Feuil8">
    <tabColor theme="7" tint="0.39997558519241921"/>
  </sheetPr>
  <dimension ref="A1:S56"/>
  <sheetViews>
    <sheetView topLeftCell="A32" workbookViewId="0">
      <selection activeCell="G15" sqref="G15"/>
    </sheetView>
  </sheetViews>
  <sheetFormatPr baseColWidth="10" defaultRowHeight="15" x14ac:dyDescent="0.25"/>
  <cols>
    <col min="2" max="2" width="15" bestFit="1" customWidth="1"/>
    <col min="3" max="11" width="12.7109375" bestFit="1" customWidth="1"/>
    <col min="12" max="15" width="13.7109375" bestFit="1" customWidth="1"/>
    <col min="16" max="16" width="8.28515625" customWidth="1"/>
    <col min="17" max="18" width="15.28515625" bestFit="1" customWidth="1"/>
  </cols>
  <sheetData>
    <row r="1" spans="1:19" s="27" customFormat="1" x14ac:dyDescent="0.25">
      <c r="A1" s="172" t="str">
        <f>"150°C"</f>
        <v>150°C</v>
      </c>
      <c r="B1" s="172"/>
      <c r="C1" s="172"/>
      <c r="D1" s="172"/>
      <c r="E1" s="172"/>
      <c r="F1" s="172"/>
      <c r="G1" s="172"/>
      <c r="H1" s="172"/>
      <c r="I1" s="172"/>
      <c r="J1" s="172"/>
      <c r="K1" s="172"/>
      <c r="L1" s="172"/>
      <c r="M1" s="172"/>
      <c r="N1" s="172"/>
      <c r="O1" s="172"/>
      <c r="P1" s="172"/>
      <c r="Q1" s="172"/>
      <c r="R1" s="172"/>
      <c r="S1" s="172"/>
    </row>
    <row r="2" spans="1:19" s="27" customFormat="1" x14ac:dyDescent="0.25">
      <c r="A2" s="172"/>
      <c r="B2" s="172"/>
      <c r="C2" s="172"/>
      <c r="D2" s="172"/>
      <c r="E2" s="172"/>
      <c r="F2" s="172"/>
      <c r="G2" s="172"/>
      <c r="H2" s="172"/>
      <c r="I2" s="172"/>
      <c r="J2" s="172"/>
      <c r="K2" s="172"/>
      <c r="L2" s="172"/>
      <c r="M2" s="172"/>
      <c r="N2" s="172"/>
      <c r="O2" s="172"/>
      <c r="P2" s="172"/>
      <c r="Q2" s="172"/>
      <c r="R2" s="172"/>
      <c r="S2" s="172"/>
    </row>
    <row r="3" spans="1:19" s="27" customFormat="1" x14ac:dyDescent="0.25">
      <c r="A3" s="172"/>
      <c r="B3" s="172"/>
      <c r="C3" s="172"/>
      <c r="D3" s="172"/>
      <c r="E3" s="172"/>
      <c r="F3" s="172"/>
      <c r="G3" s="172"/>
      <c r="H3" s="172"/>
      <c r="I3" s="172"/>
      <c r="J3" s="172"/>
      <c r="K3" s="172"/>
      <c r="L3" s="172"/>
      <c r="M3" s="172"/>
      <c r="N3" s="172"/>
      <c r="O3" s="172"/>
      <c r="P3" s="172"/>
      <c r="Q3" s="172"/>
      <c r="R3" s="172"/>
      <c r="S3" s="172"/>
    </row>
    <row r="4" spans="1:19" s="27" customFormat="1" x14ac:dyDescent="0.25">
      <c r="P4" s="33"/>
    </row>
    <row r="5" spans="1:19" s="27" customFormat="1" x14ac:dyDescent="0.25">
      <c r="B5" s="34" t="s">
        <v>24</v>
      </c>
      <c r="C5" s="35" t="e">
        <f>_xlfn.XLOOKUP(INT(SUBSTITUTE(C47,"Connecteur ","")),Mesures_Omia!C23:C35,Mesures_Omia!E23:E35)</f>
        <v>#N/A</v>
      </c>
      <c r="D5" s="35" t="e">
        <f>_xlfn.XLOOKUP(INT(SUBSTITUTE(D47,"Connecteur ","")),Mesures_Omia!C23:C35,Mesures_Omia!E23:E35)</f>
        <v>#N/A</v>
      </c>
      <c r="E5" s="35" t="e">
        <f>_xlfn.XLOOKUP(INT(SUBSTITUTE(E47,"Connecteur ","")),Mesures_Omia!C23:C35,Mesures_Omia!E23:E35)</f>
        <v>#N/A</v>
      </c>
      <c r="F5" s="35" t="e">
        <f>_xlfn.XLOOKUP(INT(SUBSTITUTE(F47,"Connecteur ","")),Mesures_Omia!C23:C35,Mesures_Omia!E23:E35)</f>
        <v>#N/A</v>
      </c>
      <c r="G5" s="35" t="e">
        <f>_xlfn.XLOOKUP(INT(SUBSTITUTE(G47,"Connecteur ","")),Mesures_Omia!C23:C35,Mesures_Omia!E23:E35)</f>
        <v>#N/A</v>
      </c>
      <c r="H5" s="35" t="e">
        <f>_xlfn.XLOOKUP(INT(SUBSTITUTE(H47,"Connecteur ","")),Mesures_Omia!C23:C35,Mesures_Omia!E23:E35)</f>
        <v>#N/A</v>
      </c>
      <c r="I5" s="35" t="e">
        <f>_xlfn.XLOOKUP(INT(SUBSTITUTE(I47,"Connecteur ","")),Mesures_Omia!C23:C35,Mesures_Omia!E23:E35)</f>
        <v>#N/A</v>
      </c>
      <c r="J5" s="35" t="e">
        <f>_xlfn.XLOOKUP(INT(SUBSTITUTE(J47,"Connecteur ","")),Mesures_Omia!C23:C35,Mesures_Omia!E23:E35)</f>
        <v>#N/A</v>
      </c>
      <c r="K5" s="35" t="e">
        <f>_xlfn.XLOOKUP(INT(SUBSTITUTE(K47,"Connecteur ","")),Mesures_Omia!C23:C35,Mesures_Omia!E23:E35)</f>
        <v>#N/A</v>
      </c>
      <c r="L5" s="35" t="e">
        <f>_xlfn.XLOOKUP(INT(SUBSTITUTE(L47,"Connecteur ","")),Mesures_Omia!C23:C35,Mesures_Omia!E23:E35)</f>
        <v>#N/A</v>
      </c>
      <c r="M5" s="35" t="e">
        <f>_xlfn.XLOOKUP(INT(SUBSTITUTE(M47,"Connecteur ","")),Mesures_Omia!C23:C35,Mesures_Omia!E23:E35)</f>
        <v>#N/A</v>
      </c>
      <c r="N5" s="35" t="e">
        <f>_xlfn.XLOOKUP(INT(SUBSTITUTE(N47,"Connecteur ","")),Mesures_Omia!C23:C35,Mesures_Omia!E23:E35)</f>
        <v>#N/A</v>
      </c>
      <c r="O5" s="35" t="e">
        <f>_xlfn.XLOOKUP(INT(SUBSTITUTE(O47,"Connecteur ","")),Mesures_Omia!C23:C35,Mesures_Omia!E23:E35)</f>
        <v>#N/A</v>
      </c>
      <c r="P5" s="33"/>
    </row>
    <row r="6" spans="1:19" s="27" customFormat="1" x14ac:dyDescent="0.25">
      <c r="B6" s="34" t="s">
        <v>94</v>
      </c>
      <c r="C6" s="35" t="e">
        <f>_xlfn.XLOOKUP(INT(SUBSTITUTE(C47,"Connecteur ","")),Mesures_Omia!C23:C35,Mesures_Omia!H23:H35)</f>
        <v>#N/A</v>
      </c>
      <c r="D6" s="35" t="e">
        <f>_xlfn.XLOOKUP(INT(SUBSTITUTE(D47,"Connecteur ","")),Mesures_Omia!C23:C35,Mesures_Omia!H23:H35)</f>
        <v>#N/A</v>
      </c>
      <c r="E6" s="35" t="e">
        <f>_xlfn.XLOOKUP(INT(SUBSTITUTE(E47,"Connecteur ","")),Mesures_Omia!C23:C35,Mesures_Omia!H23:H35)</f>
        <v>#N/A</v>
      </c>
      <c r="F6" s="35" t="e">
        <f>_xlfn.XLOOKUP(INT(SUBSTITUTE(F47,"Connecteur ","")),Mesures_Omia!C23:C35,Mesures_Omia!H23:H35)</f>
        <v>#N/A</v>
      </c>
      <c r="G6" s="35" t="e">
        <f>_xlfn.XLOOKUP(INT(SUBSTITUTE(G47,"Connecteur ","")),Mesures_Omia!C23:C35,Mesures_Omia!H23:H35)</f>
        <v>#N/A</v>
      </c>
      <c r="H6" s="35" t="e">
        <f>_xlfn.XLOOKUP(INT(SUBSTITUTE(H47,"Connecteur ","")),Mesures_Omia!C23:C35,Mesures_Omia!H23:H35)</f>
        <v>#N/A</v>
      </c>
      <c r="I6" s="35" t="e">
        <f>_xlfn.XLOOKUP(INT(SUBSTITUTE(I47,"Connecteur ","")),Mesures_Omia!C23:C35,Mesures_Omia!H23:H35)</f>
        <v>#N/A</v>
      </c>
      <c r="J6" s="35" t="e">
        <f>_xlfn.XLOOKUP(INT(SUBSTITUTE(J47,"Connecteur ","")),Mesures_Omia!C23:C35,Mesures_Omia!H23:H35)</f>
        <v>#N/A</v>
      </c>
      <c r="K6" s="35" t="e">
        <f>_xlfn.XLOOKUP(INT(SUBSTITUTE(K47,"Connecteur ","")),Mesures_Omia!C23:C35,Mesures_Omia!H23:H35)</f>
        <v>#N/A</v>
      </c>
      <c r="L6" s="35" t="e">
        <f>_xlfn.XLOOKUP(INT(SUBSTITUTE(L47,"Connecteur ","")),Mesures_Omia!C23:C35,Mesures_Omia!H23:H35)</f>
        <v>#N/A</v>
      </c>
      <c r="M6" s="35" t="e">
        <f>_xlfn.XLOOKUP(INT(SUBSTITUTE(M47,"Connecteur ","")),Mesures_Omia!C23:C35,Mesures_Omia!H23:H35)</f>
        <v>#N/A</v>
      </c>
      <c r="N6" s="35" t="e">
        <f>_xlfn.XLOOKUP(INT(SUBSTITUTE(N47,"Connecteur ","")),Mesures_Omia!C23:C35,Mesures_Omia!H23:H35)</f>
        <v>#N/A</v>
      </c>
      <c r="O6" s="35" t="e">
        <f>_xlfn.XLOOKUP(INT(SUBSTITUTE(O47,"Connecteur ","")),Mesures_Omia!C23:C35,Mesures_Omia!H23:H35)</f>
        <v>#N/A</v>
      </c>
      <c r="P6" s="33"/>
    </row>
    <row r="7" spans="1:19" s="27" customFormat="1" x14ac:dyDescent="0.25">
      <c r="P7" s="33"/>
    </row>
    <row r="8" spans="1:19" s="27" customFormat="1" x14ac:dyDescent="0.25">
      <c r="P8" s="33"/>
    </row>
    <row r="9" spans="1:19" s="27" customFormat="1" x14ac:dyDescent="0.25">
      <c r="A9" s="173" t="s">
        <v>95</v>
      </c>
      <c r="B9" s="173"/>
      <c r="C9" s="173"/>
      <c r="D9" s="173"/>
      <c r="E9" s="173"/>
      <c r="F9" s="173"/>
      <c r="G9" s="173"/>
      <c r="H9" s="173"/>
      <c r="I9" s="173"/>
      <c r="J9" s="173"/>
      <c r="K9" s="173"/>
      <c r="L9" s="173"/>
      <c r="M9" s="173"/>
      <c r="N9" s="173"/>
      <c r="P9" s="33"/>
    </row>
    <row r="10" spans="1:19" s="27" customFormat="1" x14ac:dyDescent="0.25">
      <c r="A10" s="33"/>
      <c r="B10" s="34" t="str">
        <f>Donnees_Brutes_150[[#Headers],[Date/Heure]]</f>
        <v>Date/Heure</v>
      </c>
      <c r="C10" s="36" t="str" cm="1">
        <f t="array" ref="C10:O10">Donnees_Brutes_150[[#Headers],[Connecteur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15" t="s">
        <v>96</v>
      </c>
      <c r="B11" s="145" cm="1">
        <f t="array" ref="B11">Donnees_Brutes_150[Date/Heure]</f>
        <v>0</v>
      </c>
      <c r="C11" s="130" t="e" cm="1">
        <f t="array" ref="C11:O11">Donnees_Brutes_150[[Connecteur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16"/>
      <c r="B12" s="145"/>
      <c r="C12" s="130"/>
      <c r="D12" s="130"/>
      <c r="E12" s="130"/>
      <c r="F12" s="130"/>
      <c r="G12" s="130"/>
      <c r="H12" s="130"/>
      <c r="I12" s="130"/>
      <c r="J12" s="130"/>
      <c r="K12" s="130"/>
      <c r="L12" s="130"/>
      <c r="M12" s="130"/>
      <c r="N12" s="130"/>
      <c r="O12" s="130"/>
      <c r="P12" s="33"/>
    </row>
    <row r="13" spans="1:19" x14ac:dyDescent="0.25">
      <c r="A13" s="216"/>
      <c r="B13" s="145"/>
      <c r="C13" s="130"/>
      <c r="D13" s="130"/>
      <c r="E13" s="130"/>
      <c r="F13" s="130"/>
      <c r="G13" s="130"/>
      <c r="H13" s="130"/>
      <c r="I13" s="130"/>
      <c r="J13" s="130"/>
      <c r="K13" s="130"/>
      <c r="L13" s="130"/>
      <c r="M13" s="130"/>
      <c r="N13" s="130"/>
      <c r="O13" s="130"/>
    </row>
    <row r="14" spans="1:19" x14ac:dyDescent="0.25">
      <c r="A14" s="216"/>
      <c r="B14" s="145"/>
      <c r="C14" s="130"/>
      <c r="D14" s="130"/>
      <c r="E14" s="130"/>
      <c r="F14" s="130"/>
      <c r="G14" s="130"/>
      <c r="H14" s="130"/>
      <c r="I14" s="130"/>
      <c r="J14" s="130"/>
      <c r="K14" s="130"/>
      <c r="L14" s="130"/>
      <c r="M14" s="130"/>
      <c r="N14" s="130"/>
      <c r="O14" s="130"/>
    </row>
    <row r="15" spans="1:19" x14ac:dyDescent="0.25">
      <c r="A15" s="216"/>
      <c r="B15" s="145"/>
      <c r="C15" s="130"/>
      <c r="D15" s="130"/>
      <c r="E15" s="130"/>
      <c r="F15" s="130"/>
      <c r="G15" s="130"/>
      <c r="H15" s="130"/>
      <c r="I15" s="130"/>
      <c r="J15" s="130"/>
      <c r="K15" s="130"/>
      <c r="L15" s="130"/>
      <c r="M15" s="130"/>
      <c r="N15" s="130"/>
      <c r="O15" s="130"/>
    </row>
    <row r="16" spans="1:19" x14ac:dyDescent="0.25">
      <c r="A16" s="216"/>
      <c r="B16" s="145"/>
      <c r="C16" s="130"/>
      <c r="D16" s="130"/>
      <c r="E16" s="130"/>
      <c r="F16" s="130"/>
      <c r="G16" s="130"/>
      <c r="H16" s="130"/>
      <c r="I16" s="130"/>
      <c r="J16" s="130"/>
      <c r="K16" s="130"/>
      <c r="L16" s="130"/>
      <c r="M16" s="130"/>
      <c r="N16" s="130"/>
      <c r="O16" s="130"/>
    </row>
    <row r="17" spans="1:16" x14ac:dyDescent="0.25">
      <c r="A17" s="216"/>
      <c r="B17" s="145"/>
      <c r="C17" s="130"/>
      <c r="D17" s="130"/>
      <c r="E17" s="130"/>
      <c r="F17" s="130"/>
      <c r="G17" s="130"/>
      <c r="H17" s="130"/>
      <c r="I17" s="130"/>
      <c r="J17" s="130"/>
      <c r="K17" s="130"/>
      <c r="L17" s="130"/>
      <c r="M17" s="130"/>
      <c r="N17" s="130"/>
      <c r="O17" s="130"/>
    </row>
    <row r="18" spans="1:16" x14ac:dyDescent="0.25">
      <c r="A18" s="216"/>
      <c r="B18" s="145"/>
      <c r="C18" s="130"/>
      <c r="D18" s="130"/>
      <c r="E18" s="130"/>
      <c r="F18" s="130"/>
      <c r="G18" s="130"/>
      <c r="H18" s="130"/>
      <c r="I18" s="130"/>
      <c r="J18" s="130"/>
      <c r="K18" s="130"/>
      <c r="L18" s="130"/>
      <c r="M18" s="130"/>
      <c r="N18" s="130"/>
      <c r="O18" s="130"/>
    </row>
    <row r="19" spans="1:16" x14ac:dyDescent="0.25">
      <c r="A19" s="216"/>
      <c r="B19" s="145"/>
      <c r="C19" s="130"/>
      <c r="D19" s="130"/>
      <c r="E19" s="130"/>
      <c r="F19" s="130"/>
      <c r="G19" s="130"/>
      <c r="H19" s="130"/>
      <c r="I19" s="130"/>
      <c r="J19" s="130"/>
      <c r="K19" s="130"/>
      <c r="L19" s="130"/>
      <c r="M19" s="130"/>
      <c r="N19" s="130"/>
      <c r="O19" s="130"/>
    </row>
    <row r="20" spans="1:16" x14ac:dyDescent="0.25">
      <c r="A20" s="216"/>
      <c r="B20" s="145"/>
      <c r="C20" s="130"/>
      <c r="D20" s="130"/>
      <c r="E20" s="130"/>
      <c r="F20" s="130"/>
      <c r="G20" s="130"/>
      <c r="H20" s="130"/>
      <c r="I20" s="130"/>
      <c r="J20" s="130"/>
      <c r="K20" s="130"/>
      <c r="L20" s="130"/>
      <c r="M20" s="130"/>
      <c r="N20" s="130"/>
      <c r="O20" s="130"/>
    </row>
    <row r="21" spans="1:16" x14ac:dyDescent="0.25">
      <c r="A21" s="216"/>
      <c r="B21" s="145"/>
      <c r="C21" s="130"/>
      <c r="D21" s="130"/>
      <c r="E21" s="130"/>
      <c r="F21" s="130"/>
      <c r="G21" s="130"/>
      <c r="H21" s="130"/>
      <c r="I21" s="130"/>
      <c r="J21" s="130"/>
      <c r="K21" s="130"/>
      <c r="L21" s="130"/>
      <c r="M21" s="130"/>
      <c r="N21" s="130"/>
      <c r="O21" s="130"/>
    </row>
    <row r="22" spans="1:16" s="27" customFormat="1" x14ac:dyDescent="0.25">
      <c r="A22" s="216"/>
      <c r="B22" s="145"/>
      <c r="C22" s="130"/>
      <c r="D22" s="130"/>
      <c r="E22" s="130"/>
      <c r="F22" s="130"/>
      <c r="G22" s="130"/>
      <c r="H22" s="130"/>
      <c r="I22" s="130"/>
      <c r="J22" s="130"/>
      <c r="K22" s="130"/>
      <c r="L22" s="130"/>
      <c r="M22" s="130"/>
      <c r="N22" s="130"/>
      <c r="O22" s="130"/>
      <c r="P22" s="33"/>
    </row>
    <row r="23" spans="1:16" s="27" customFormat="1" x14ac:dyDescent="0.25">
      <c r="A23" s="216"/>
      <c r="B23" s="145"/>
      <c r="C23" s="130"/>
      <c r="D23" s="130"/>
      <c r="E23" s="130"/>
      <c r="F23" s="130"/>
      <c r="G23" s="130"/>
      <c r="H23" s="130"/>
      <c r="I23" s="130"/>
      <c r="J23" s="130"/>
      <c r="K23" s="130"/>
      <c r="L23" s="130"/>
      <c r="M23" s="130"/>
      <c r="N23" s="130"/>
      <c r="O23" s="130"/>
      <c r="P23" s="33"/>
    </row>
    <row r="24" spans="1:16" x14ac:dyDescent="0.25">
      <c r="A24" s="216"/>
      <c r="B24" s="145"/>
      <c r="C24" s="130"/>
      <c r="D24" s="130"/>
      <c r="E24" s="130"/>
      <c r="F24" s="130"/>
      <c r="G24" s="130"/>
      <c r="H24" s="130"/>
      <c r="I24" s="130"/>
      <c r="J24" s="130"/>
      <c r="K24" s="130"/>
      <c r="L24" s="130"/>
      <c r="M24" s="130"/>
      <c r="N24" s="130"/>
      <c r="O24" s="130"/>
    </row>
    <row r="25" spans="1:16" x14ac:dyDescent="0.25">
      <c r="A25" s="216"/>
      <c r="B25" s="145"/>
      <c r="C25" s="130"/>
      <c r="D25" s="130"/>
      <c r="E25" s="130"/>
      <c r="F25" s="130"/>
      <c r="G25" s="130"/>
      <c r="H25" s="130"/>
      <c r="I25" s="130"/>
      <c r="J25" s="130"/>
      <c r="K25" s="130"/>
      <c r="L25" s="130"/>
      <c r="M25" s="130"/>
      <c r="N25" s="130"/>
      <c r="O25" s="130"/>
    </row>
    <row r="26" spans="1:16" x14ac:dyDescent="0.25">
      <c r="A26" s="216"/>
      <c r="B26" s="145"/>
      <c r="C26" s="130"/>
      <c r="D26" s="130"/>
      <c r="E26" s="130"/>
      <c r="F26" s="130"/>
      <c r="G26" s="130"/>
      <c r="H26" s="130"/>
      <c r="I26" s="130"/>
      <c r="J26" s="130"/>
      <c r="K26" s="130"/>
      <c r="L26" s="130"/>
      <c r="M26" s="130"/>
      <c r="N26" s="130"/>
      <c r="O26" s="130"/>
    </row>
    <row r="27" spans="1:16" x14ac:dyDescent="0.25">
      <c r="A27" s="216"/>
      <c r="B27" s="145"/>
      <c r="C27" s="130"/>
      <c r="D27" s="130"/>
      <c r="E27" s="130"/>
      <c r="F27" s="130"/>
      <c r="G27" s="130"/>
      <c r="H27" s="130"/>
      <c r="I27" s="130"/>
      <c r="J27" s="130"/>
      <c r="K27" s="130"/>
      <c r="L27" s="130"/>
      <c r="M27" s="130"/>
      <c r="N27" s="130"/>
      <c r="O27" s="130"/>
    </row>
    <row r="28" spans="1:16" x14ac:dyDescent="0.25">
      <c r="A28" s="216"/>
      <c r="B28" s="145"/>
      <c r="C28" s="130"/>
      <c r="D28" s="130"/>
      <c r="E28" s="130"/>
      <c r="F28" s="130"/>
      <c r="G28" s="130"/>
      <c r="H28" s="130"/>
      <c r="I28" s="130"/>
      <c r="J28" s="130"/>
      <c r="K28" s="130"/>
      <c r="L28" s="130"/>
      <c r="M28" s="130"/>
      <c r="N28" s="130"/>
      <c r="O28" s="130"/>
    </row>
    <row r="29" spans="1:16" x14ac:dyDescent="0.25">
      <c r="A29" s="216"/>
      <c r="B29" s="145"/>
      <c r="C29" s="130"/>
      <c r="D29" s="130"/>
      <c r="E29" s="130"/>
      <c r="F29" s="130"/>
      <c r="G29" s="130"/>
      <c r="H29" s="130"/>
      <c r="I29" s="130"/>
      <c r="J29" s="130"/>
      <c r="K29" s="130"/>
      <c r="L29" s="130"/>
      <c r="M29" s="130"/>
      <c r="N29" s="130"/>
      <c r="O29" s="130"/>
    </row>
    <row r="30" spans="1:16" x14ac:dyDescent="0.25">
      <c r="A30" s="216"/>
      <c r="B30" s="145"/>
      <c r="C30" s="130"/>
      <c r="D30" s="130"/>
      <c r="E30" s="130"/>
      <c r="F30" s="130"/>
      <c r="G30" s="130"/>
      <c r="H30" s="130"/>
      <c r="I30" s="130"/>
      <c r="J30" s="130"/>
      <c r="K30" s="130"/>
      <c r="L30" s="130"/>
      <c r="M30" s="130"/>
      <c r="N30" s="130"/>
      <c r="O30" s="130"/>
    </row>
    <row r="31" spans="1:16" x14ac:dyDescent="0.25">
      <c r="A31" s="216"/>
      <c r="B31" s="145"/>
      <c r="C31" s="130"/>
      <c r="D31" s="130"/>
      <c r="E31" s="130"/>
      <c r="F31" s="130"/>
      <c r="G31" s="130"/>
      <c r="H31" s="130"/>
      <c r="I31" s="130"/>
      <c r="J31" s="130"/>
      <c r="K31" s="130"/>
      <c r="L31" s="130"/>
      <c r="M31" s="130"/>
      <c r="N31" s="130"/>
      <c r="O31" s="130"/>
    </row>
    <row r="32" spans="1:16" x14ac:dyDescent="0.25">
      <c r="A32" s="216"/>
      <c r="B32" s="145"/>
      <c r="C32" s="130"/>
      <c r="D32" s="130"/>
      <c r="E32" s="130"/>
      <c r="F32" s="130"/>
      <c r="G32" s="130"/>
      <c r="H32" s="130"/>
      <c r="I32" s="130"/>
      <c r="J32" s="130"/>
      <c r="K32" s="130"/>
      <c r="L32" s="130"/>
      <c r="M32" s="130"/>
      <c r="N32" s="130"/>
      <c r="O32" s="130"/>
    </row>
    <row r="33" spans="1:19" x14ac:dyDescent="0.25">
      <c r="A33" s="216"/>
      <c r="B33" s="145"/>
      <c r="C33" s="130"/>
      <c r="D33" s="130"/>
      <c r="E33" s="130"/>
      <c r="F33" s="130"/>
      <c r="G33" s="130"/>
      <c r="H33" s="130"/>
      <c r="I33" s="130"/>
      <c r="J33" s="130"/>
      <c r="K33" s="130"/>
      <c r="L33" s="130"/>
      <c r="M33" s="130"/>
      <c r="N33" s="130"/>
      <c r="O33" s="130"/>
    </row>
    <row r="34" spans="1:19" x14ac:dyDescent="0.25">
      <c r="A34" s="216"/>
      <c r="B34" s="145"/>
      <c r="C34" s="130"/>
      <c r="D34" s="130"/>
      <c r="E34" s="130"/>
      <c r="F34" s="130"/>
      <c r="G34" s="130"/>
      <c r="H34" s="130"/>
      <c r="I34" s="130"/>
      <c r="J34" s="130"/>
      <c r="K34" s="130"/>
      <c r="L34" s="130"/>
      <c r="M34" s="130"/>
      <c r="N34" s="130"/>
      <c r="O34" s="130"/>
    </row>
    <row r="35" spans="1:19" x14ac:dyDescent="0.25">
      <c r="A35" s="216"/>
      <c r="B35" s="145"/>
      <c r="C35" s="130"/>
      <c r="D35" s="130"/>
      <c r="E35" s="130"/>
      <c r="F35" s="130"/>
      <c r="G35" s="130"/>
      <c r="H35" s="130"/>
      <c r="I35" s="130"/>
      <c r="J35" s="130"/>
      <c r="K35" s="130"/>
      <c r="L35" s="130"/>
      <c r="M35" s="130"/>
      <c r="N35" s="130"/>
      <c r="O35" s="130"/>
    </row>
    <row r="36" spans="1:19" x14ac:dyDescent="0.25">
      <c r="A36" s="216"/>
      <c r="B36" s="145"/>
      <c r="C36" s="130"/>
      <c r="D36" s="130"/>
      <c r="E36" s="130"/>
      <c r="F36" s="130"/>
      <c r="G36" s="130"/>
      <c r="H36" s="130"/>
      <c r="I36" s="130"/>
      <c r="J36" s="130"/>
      <c r="K36" s="130"/>
      <c r="L36" s="130"/>
      <c r="M36" s="130"/>
      <c r="N36" s="130"/>
      <c r="O36" s="130"/>
    </row>
    <row r="37" spans="1:19" x14ac:dyDescent="0.25">
      <c r="A37" s="216"/>
      <c r="B37" s="145"/>
      <c r="C37" s="130"/>
      <c r="D37" s="130"/>
      <c r="E37" s="130"/>
      <c r="F37" s="130"/>
      <c r="G37" s="130"/>
      <c r="H37" s="130"/>
      <c r="I37" s="130"/>
      <c r="J37" s="130"/>
      <c r="K37" s="130"/>
      <c r="L37" s="130"/>
      <c r="M37" s="130"/>
      <c r="N37" s="130"/>
      <c r="O37" s="130"/>
    </row>
    <row r="38" spans="1:19" x14ac:dyDescent="0.25">
      <c r="A38" s="216"/>
      <c r="B38" s="145"/>
      <c r="C38" s="130"/>
      <c r="D38" s="130"/>
      <c r="E38" s="130"/>
      <c r="F38" s="130"/>
      <c r="G38" s="130"/>
      <c r="H38" s="130"/>
      <c r="I38" s="130"/>
      <c r="J38" s="130"/>
      <c r="K38" s="130"/>
      <c r="L38" s="130"/>
      <c r="M38" s="130"/>
      <c r="N38" s="130"/>
      <c r="O38" s="130"/>
    </row>
    <row r="39" spans="1:19" x14ac:dyDescent="0.25">
      <c r="A39" s="216"/>
      <c r="B39" s="145"/>
      <c r="C39" s="130"/>
      <c r="D39" s="130"/>
      <c r="E39" s="130"/>
      <c r="F39" s="130"/>
      <c r="G39" s="130"/>
      <c r="H39" s="130"/>
      <c r="I39" s="130"/>
      <c r="J39" s="130"/>
      <c r="K39" s="130"/>
      <c r="L39" s="130"/>
      <c r="M39" s="130"/>
      <c r="N39" s="130"/>
      <c r="O39" s="130"/>
    </row>
    <row r="40" spans="1:19" x14ac:dyDescent="0.25">
      <c r="A40" s="216"/>
      <c r="B40" s="145"/>
      <c r="C40" s="130"/>
      <c r="D40" s="130"/>
      <c r="E40" s="130"/>
      <c r="F40" s="130"/>
      <c r="G40" s="130"/>
      <c r="H40" s="130"/>
      <c r="I40" s="130"/>
      <c r="J40" s="130"/>
      <c r="K40" s="130"/>
      <c r="L40" s="130"/>
      <c r="M40" s="130"/>
      <c r="N40" s="130"/>
      <c r="O40" s="130"/>
    </row>
    <row r="41" spans="1:19" x14ac:dyDescent="0.25">
      <c r="A41" s="216"/>
      <c r="B41" s="145"/>
      <c r="C41" s="130"/>
      <c r="D41" s="130"/>
      <c r="E41" s="130"/>
      <c r="F41" s="130"/>
      <c r="G41" s="130"/>
      <c r="H41" s="130"/>
      <c r="I41" s="130"/>
      <c r="J41" s="130"/>
      <c r="K41" s="130"/>
      <c r="L41" s="130"/>
      <c r="M41" s="130"/>
      <c r="N41" s="130"/>
      <c r="O41" s="130"/>
    </row>
    <row r="46" spans="1:19" s="174" customFormat="1" x14ac:dyDescent="0.25"/>
    <row r="47" spans="1:19" x14ac:dyDescent="0.25">
      <c r="A47" s="27"/>
      <c r="B47" s="27"/>
      <c r="C47" s="41" t="str" cm="1">
        <f t="array" ref="C47:O47">Donnees_Brutes_150[[#Headers],[Connecteur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36" t="str">
        <v>Connecteur 13</v>
      </c>
      <c r="P47" s="33"/>
      <c r="Q47" s="27"/>
      <c r="R47" s="27"/>
    </row>
    <row r="48" spans="1:19" x14ac:dyDescent="0.25">
      <c r="A48" s="27"/>
      <c r="B48" s="42" t="s">
        <v>98</v>
      </c>
      <c r="C48" s="43" t="e">
        <f>MAX(C11:C41)</f>
        <v>#N/A</v>
      </c>
      <c r="D48" s="43" t="e">
        <f t="shared" ref="D48:O48" si="0">MAX(D11:D41)</f>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150+Mesures_Omia!B20</f>
        <v>150</v>
      </c>
      <c r="Q48" s="33"/>
      <c r="R48" s="36" t="s">
        <v>7</v>
      </c>
      <c r="S48" s="48" t="str">
        <f>"150°C"</f>
        <v>150°C</v>
      </c>
    </row>
    <row r="49" spans="1:19" s="27" customFormat="1" x14ac:dyDescent="0.25">
      <c r="B49" s="42" t="s">
        <v>100</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150-Mesures_Omia!B20</f>
        <v>150</v>
      </c>
      <c r="Q49" s="33"/>
      <c r="R49" s="36" t="s">
        <v>99</v>
      </c>
      <c r="S49" s="35" t="str">
        <f>"+" &amp; Mesures_Omia!B20 &amp; "°C"</f>
        <v>+°C</v>
      </c>
    </row>
    <row r="50" spans="1:19" s="27" customFormat="1" x14ac:dyDescent="0.25">
      <c r="B50" s="42" t="s">
        <v>102</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44"/>
      <c r="Q50" s="33"/>
      <c r="R50" s="36" t="s">
        <v>101</v>
      </c>
      <c r="S50" s="35" t="str">
        <f>"-" &amp; Mesures_Omia!B20 &amp; "°C"</f>
        <v>-°C</v>
      </c>
    </row>
    <row r="51" spans="1:19" s="27" customFormat="1" x14ac:dyDescent="0.25">
      <c r="B51" s="42" t="s">
        <v>103</v>
      </c>
      <c r="C51" s="45" t="e">
        <f>C48-C49</f>
        <v>#N/A</v>
      </c>
      <c r="D51" s="45" t="e">
        <f t="shared" ref="D51:O51" si="3">D48-D49</f>
        <v>#N/A</v>
      </c>
      <c r="E51" s="45" t="e">
        <f t="shared" si="3"/>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1:19" s="27" customFormat="1" x14ac:dyDescent="0.25">
      <c r="B52" s="42" t="s">
        <v>104</v>
      </c>
      <c r="C52" s="212" t="e">
        <f>ABS(MAX(C48:N48)-MIN(C49:N49))</f>
        <v>#N/A</v>
      </c>
      <c r="D52" s="213"/>
      <c r="E52" s="213"/>
      <c r="F52" s="213"/>
      <c r="G52" s="213"/>
      <c r="H52" s="213"/>
      <c r="I52" s="213"/>
      <c r="J52" s="213"/>
      <c r="K52" s="213"/>
      <c r="L52" s="213"/>
      <c r="M52" s="213"/>
      <c r="N52" s="213"/>
      <c r="O52" s="214"/>
      <c r="P52" s="33"/>
    </row>
    <row r="53" spans="1:19" s="27" customFormat="1" x14ac:dyDescent="0.25">
      <c r="B53" s="42" t="s">
        <v>105</v>
      </c>
      <c r="C53" s="212" t="e">
        <f>AVERAGE(C50:N50)</f>
        <v>#N/A</v>
      </c>
      <c r="D53" s="213"/>
      <c r="E53" s="213"/>
      <c r="F53" s="213"/>
      <c r="G53" s="213"/>
      <c r="H53" s="213"/>
      <c r="I53" s="213"/>
      <c r="J53" s="213"/>
      <c r="K53" s="213"/>
      <c r="L53" s="213"/>
      <c r="M53" s="213"/>
      <c r="N53" s="213"/>
      <c r="O53" s="214"/>
      <c r="P53" s="33"/>
    </row>
    <row r="54" spans="1:19" s="27" customFormat="1" x14ac:dyDescent="0.25">
      <c r="B54" s="36" t="s">
        <v>106</v>
      </c>
      <c r="C54" s="46" t="e">
        <f ca="1">STDEV(OFFSET(INDEX(Donnees_Brutes_150[Connecteur 1],1),COUNT(Donnees_Brutes_150[Connecteur 1])-30,0,30))+C5+C6</f>
        <v>#REF!</v>
      </c>
      <c r="D54" s="46" t="e">
        <f ca="1">STDEV(OFFSET(INDEX(Donnees_Brutes_150[Connecteur 2],1),COUNT(Donnees_Brutes_150[Connecteur 2])-30,0,30))+D5+D6</f>
        <v>#REF!</v>
      </c>
      <c r="E54" s="46" t="e">
        <f ca="1">STDEV(OFFSET(INDEX(Donnees_Brutes_150[Connecteur 3],1),COUNT(Donnees_Brutes_150[Connecteur 3])-30,0,30))+E5+E6</f>
        <v>#REF!</v>
      </c>
      <c r="F54" s="46" t="e">
        <f ca="1">STDEV(OFFSET(INDEX(Donnees_Brutes_150[Connecteur 4],1),COUNT(Donnees_Brutes_150[Connecteur 4])-30,0,30))+F5+F6</f>
        <v>#REF!</v>
      </c>
      <c r="G54" s="46" t="e">
        <f ca="1">STDEV(OFFSET(INDEX(Donnees_Brutes_150[Connecteur 5],1),COUNT(Donnees_Brutes_150[Connecteur 5])-30,0,30))+G5+G6</f>
        <v>#REF!</v>
      </c>
      <c r="H54" s="46" t="e">
        <f ca="1">STDEV(OFFSET(INDEX(Donnees_Brutes_150[Connecteur 6],1),COUNT(Donnees_Brutes_150[Connecteur 6])-30,0,30))+H5+H6</f>
        <v>#REF!</v>
      </c>
      <c r="I54" s="46" t="e">
        <f ca="1">STDEV(OFFSET(INDEX(Donnees_Brutes_150[Connecteur 7],1),COUNT(Donnees_Brutes_150[Connecteur 7])-30,0,30))+I5+I6</f>
        <v>#REF!</v>
      </c>
      <c r="J54" s="46" t="e">
        <f ca="1">STDEV(OFFSET(INDEX(Donnees_Brutes_150[Connecteur 8],1),COUNT(Donnees_Brutes_150[Connecteur 8])-30,0,30))+J5+J6</f>
        <v>#REF!</v>
      </c>
      <c r="K54" s="46" t="e">
        <f ca="1">STDEV(OFFSET(INDEX(Donnees_Brutes_150[Connecteur 9],1),COUNT(Donnees_Brutes_150[Connecteur 9])-30,0,30))+K5+K6</f>
        <v>#REF!</v>
      </c>
      <c r="L54" s="46" t="e">
        <f ca="1">STDEV(OFFSET(INDEX(Donnees_Brutes_150[Connecteur 10],1),COUNT(Donnees_Brutes_150[Connecteur 10])-30,0,30))+L5+L6</f>
        <v>#REF!</v>
      </c>
      <c r="M54" s="46" t="e">
        <f ca="1">STDEV(OFFSET(INDEX(Donnees_Brutes_150[Connecteur 11],1),COUNT(Donnees_Brutes_150[Connecteur 11])-30,0,30))+M5+M6</f>
        <v>#REF!</v>
      </c>
      <c r="N54" s="46" t="e">
        <f ca="1">STDEV(OFFSET(INDEX(Donnees_Brutes_150[Connecteur 12],1),COUNT(Donnees_Brutes_150[Connecteur 12])-30,0,30))+N5+N6</f>
        <v>#REF!</v>
      </c>
      <c r="O54" s="46" t="e">
        <f ca="1">STDEV(OFFSET(INDEX(Donnees_Brutes_150[Connecteur 13],1),COUNT(Donnees_Brutes_150[Connecteur 13])-30,0,30))+O5+O6</f>
        <v>#REF!</v>
      </c>
      <c r="P54" s="33"/>
    </row>
    <row r="55" spans="1:19" s="27" customFormat="1" x14ac:dyDescent="0.25">
      <c r="A55"/>
      <c r="B55"/>
      <c r="C55"/>
      <c r="D55"/>
      <c r="E55"/>
      <c r="F55"/>
      <c r="G55"/>
      <c r="H55"/>
      <c r="I55"/>
      <c r="J55"/>
      <c r="K55"/>
      <c r="L55"/>
      <c r="M55"/>
      <c r="N55"/>
      <c r="O55"/>
      <c r="P55"/>
      <c r="Q55"/>
      <c r="R55"/>
    </row>
    <row r="56" spans="1:19" s="27" customFormat="1" x14ac:dyDescent="0.25"/>
  </sheetData>
  <sheetProtection algorithmName="SHA-512" hashValue="NrKXv5b9jUnRi9TBSCJUz5v01RT+8gE0pK6UNfRyRPboXW1HOsyiockVjGOjp8mC1Gt1OmamDkYHJ7lwYPgiZA==" saltValue="lW0YVL+c9brOkAXUN3J+HQ==" spinCount="100000" sheet="1" objects="1" scenarios="1" autoFilter="0"/>
  <mergeCells count="6">
    <mergeCell ref="C53:O53"/>
    <mergeCell ref="A1:S3"/>
    <mergeCell ref="A9:N9"/>
    <mergeCell ref="A11:A41"/>
    <mergeCell ref="A46:XFD46"/>
    <mergeCell ref="C52:O52"/>
  </mergeCells>
  <conditionalFormatting sqref="C48:O48">
    <cfRule type="cellIs" dxfId="28" priority="2" operator="greaterThan">
      <formula>$P$48</formula>
    </cfRule>
    <cfRule type="cellIs" dxfId="27" priority="3" operator="greaterThan">
      <formula>$P$48</formula>
    </cfRule>
  </conditionalFormatting>
  <conditionalFormatting sqref="C49:O49">
    <cfRule type="cellIs" dxfId="26" priority="1" operator="lessThan">
      <formula>$P$49</formula>
    </cfRule>
    <cfRule type="cellIs" dxfId="25" priority="4" operator="lessThan">
      <formula>$P$49</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6213D-8465-48CF-BFB4-CA4445F49474}">
  <sheetPr codeName="Feuil9">
    <tabColor theme="7" tint="0.39997558519241921"/>
  </sheetPr>
  <dimension ref="A1:S55"/>
  <sheetViews>
    <sheetView topLeftCell="A38" workbookViewId="0">
      <selection activeCell="G15" sqref="G15"/>
    </sheetView>
  </sheetViews>
  <sheetFormatPr baseColWidth="10" defaultRowHeight="15" x14ac:dyDescent="0.25"/>
  <cols>
    <col min="1" max="1" width="11.140625" customWidth="1"/>
    <col min="2" max="2" width="15" bestFit="1" customWidth="1"/>
    <col min="3" max="11" width="12.7109375" bestFit="1" customWidth="1"/>
    <col min="12" max="15" width="13.7109375" bestFit="1" customWidth="1"/>
    <col min="18" max="18" width="15.28515625" bestFit="1" customWidth="1"/>
  </cols>
  <sheetData>
    <row r="1" spans="1:19" s="27" customFormat="1" x14ac:dyDescent="0.25">
      <c r="A1" s="172" t="str">
        <f>"190°C"</f>
        <v>190°C</v>
      </c>
      <c r="B1" s="172"/>
      <c r="C1" s="172"/>
      <c r="D1" s="172"/>
      <c r="E1" s="172"/>
      <c r="F1" s="172"/>
      <c r="G1" s="172"/>
      <c r="H1" s="172"/>
      <c r="I1" s="172"/>
      <c r="J1" s="172"/>
      <c r="K1" s="172"/>
      <c r="L1" s="172"/>
      <c r="M1" s="172"/>
      <c r="N1" s="172"/>
      <c r="O1" s="172"/>
      <c r="P1" s="172"/>
      <c r="Q1" s="172"/>
      <c r="R1" s="172"/>
      <c r="S1" s="172"/>
    </row>
    <row r="2" spans="1:19" s="27" customFormat="1" x14ac:dyDescent="0.25">
      <c r="A2" s="172"/>
      <c r="B2" s="172"/>
      <c r="C2" s="172"/>
      <c r="D2" s="172"/>
      <c r="E2" s="172"/>
      <c r="F2" s="172"/>
      <c r="G2" s="172"/>
      <c r="H2" s="172"/>
      <c r="I2" s="172"/>
      <c r="J2" s="172"/>
      <c r="K2" s="172"/>
      <c r="L2" s="172"/>
      <c r="M2" s="172"/>
      <c r="N2" s="172"/>
      <c r="O2" s="172"/>
      <c r="P2" s="172"/>
      <c r="Q2" s="172"/>
      <c r="R2" s="172"/>
      <c r="S2" s="172"/>
    </row>
    <row r="3" spans="1:19" s="27" customFormat="1" x14ac:dyDescent="0.25">
      <c r="A3" s="172"/>
      <c r="B3" s="172"/>
      <c r="C3" s="172"/>
      <c r="D3" s="172"/>
      <c r="E3" s="172"/>
      <c r="F3" s="172"/>
      <c r="G3" s="172"/>
      <c r="H3" s="172"/>
      <c r="I3" s="172"/>
      <c r="J3" s="172"/>
      <c r="K3" s="172"/>
      <c r="L3" s="172"/>
      <c r="M3" s="172"/>
      <c r="N3" s="172"/>
      <c r="O3" s="172"/>
      <c r="P3" s="172"/>
      <c r="Q3" s="172"/>
      <c r="R3" s="172"/>
      <c r="S3" s="172"/>
    </row>
    <row r="4" spans="1:19" s="27" customFormat="1" x14ac:dyDescent="0.25">
      <c r="P4" s="33"/>
    </row>
    <row r="5" spans="1:19" s="27" customFormat="1" x14ac:dyDescent="0.25">
      <c r="A5" s="146"/>
      <c r="B5" s="34" t="s">
        <v>24</v>
      </c>
      <c r="C5" s="35" t="e">
        <f>_xlfn.XLOOKUP(INT(SUBSTITUTE(C47,"Connecteur ","")),Mesures_Omia!C23:C35,Mesures_Omia!I23:I35)</f>
        <v>#N/A</v>
      </c>
      <c r="D5" s="35" t="e">
        <f>_xlfn.XLOOKUP(INT(SUBSTITUTE(D47,"Connecteur ","")),Mesures_Omia!C23:C35,Mesures_Omia!I23:I35)</f>
        <v>#N/A</v>
      </c>
      <c r="E5" s="35" t="e">
        <f>_xlfn.XLOOKUP(INT(SUBSTITUTE(E47,"Connecteur ","")),Mesures_Omia!C23:C35,Mesures_Omia!I23:I35)</f>
        <v>#N/A</v>
      </c>
      <c r="F5" s="35" t="e">
        <f>_xlfn.XLOOKUP(INT(SUBSTITUTE(F47,"Connecteur ","")),Mesures_Omia!C23:C35,Mesures_Omia!I23:I35)</f>
        <v>#N/A</v>
      </c>
      <c r="G5" s="35" t="e">
        <f>_xlfn.XLOOKUP(INT(SUBSTITUTE(G47,"Connecteur ","")),Mesures_Omia!C23:C35,Mesures_Omia!I23:I35)</f>
        <v>#N/A</v>
      </c>
      <c r="H5" s="35" t="e">
        <f>_xlfn.XLOOKUP(INT(SUBSTITUTE(H47,"Connecteur ","")),Mesures_Omia!C23:C35,Mesures_Omia!I23:I35)</f>
        <v>#N/A</v>
      </c>
      <c r="I5" s="35" t="e">
        <f>_xlfn.XLOOKUP(INT(SUBSTITUTE(I47,"Connecteur ","")),Mesures_Omia!C23:C35,Mesures_Omia!I23:I35)</f>
        <v>#N/A</v>
      </c>
      <c r="J5" s="35" t="e">
        <f>_xlfn.XLOOKUP(INT(SUBSTITUTE(J47,"Connecteur ","")),Mesures_Omia!C23:C35,Mesures_Omia!I23:I35)</f>
        <v>#N/A</v>
      </c>
      <c r="K5" s="35" t="e">
        <f>_xlfn.XLOOKUP(INT(SUBSTITUTE(K47,"Connecteur ","")),Mesures_Omia!C23:C35,Mesures_Omia!I23:I35)</f>
        <v>#N/A</v>
      </c>
      <c r="L5" s="35" t="e">
        <f>_xlfn.XLOOKUP(INT(SUBSTITUTE(L47,"Connecteur ","")),Mesures_Omia!C23:C35,Mesures_Omia!I23:I35)</f>
        <v>#N/A</v>
      </c>
      <c r="M5" s="35" t="e">
        <f>_xlfn.XLOOKUP(INT(SUBSTITUTE(M47,"Connecteur ","")),Mesures_Omia!C23:C35,Mesures_Omia!I23:I35)</f>
        <v>#N/A</v>
      </c>
      <c r="N5" s="35" t="e">
        <f>_xlfn.XLOOKUP(INT(SUBSTITUTE(N47,"Connecteur ","")),Mesures_Omia!C23:C35,Mesures_Omia!I23:I35)</f>
        <v>#N/A</v>
      </c>
      <c r="O5" s="35" t="e">
        <f>_xlfn.XLOOKUP(INT(SUBSTITUTE(O47,"Connecteur ","")),Mesures_Omia!C23:C35,Mesures_Omia!I23:I35)</f>
        <v>#N/A</v>
      </c>
      <c r="P5" s="33"/>
    </row>
    <row r="6" spans="1:19" s="27" customFormat="1" x14ac:dyDescent="0.25">
      <c r="A6" s="146"/>
      <c r="B6" s="34" t="s">
        <v>94</v>
      </c>
      <c r="C6" s="35" t="e">
        <f>_xlfn.XLOOKUP(INT(SUBSTITUTE(C47,"Connecteur ","")),Mesures_Omia!C23:C35,Mesures_Omia!F23:F35)</f>
        <v>#N/A</v>
      </c>
      <c r="D6" s="35" t="e">
        <f>_xlfn.XLOOKUP(INT(SUBSTITUTE(D47,"Connecteur ","")),Mesures_Omia!C23:C35,Mesures_Omia!F23:F35)</f>
        <v>#N/A</v>
      </c>
      <c r="E6" s="35" t="e">
        <f>_xlfn.XLOOKUP(INT(SUBSTITUTE(E47,"Connecteur ","")),Mesures_Omia!C23:C35,Mesures_Omia!F23:F35)</f>
        <v>#N/A</v>
      </c>
      <c r="F6" s="35" t="e">
        <f>_xlfn.XLOOKUP(INT(SUBSTITUTE(F47,"Connecteur ","")),Mesures_Omia!C23:C35,Mesures_Omia!F23:F35)</f>
        <v>#N/A</v>
      </c>
      <c r="G6" s="35" t="e">
        <f>_xlfn.XLOOKUP(INT(SUBSTITUTE(G47,"Connecteur ","")),Mesures_Omia!C23:C35,Mesures_Omia!F23:F35)</f>
        <v>#N/A</v>
      </c>
      <c r="H6" s="35" t="e">
        <f>_xlfn.XLOOKUP(INT(SUBSTITUTE(H47,"Connecteur ","")),Mesures_Omia!C23:C35,Mesures_Omia!F23:F35)</f>
        <v>#N/A</v>
      </c>
      <c r="I6" s="35" t="e">
        <f>_xlfn.XLOOKUP(INT(SUBSTITUTE(I47,"Connecteur ","")),Mesures_Omia!C23:C35,Mesures_Omia!F23:F35)</f>
        <v>#N/A</v>
      </c>
      <c r="J6" s="35" t="e">
        <f>_xlfn.XLOOKUP(INT(SUBSTITUTE(J47,"Connecteur ","")),Mesures_Omia!C23:C35,Mesures_Omia!F23:F35)</f>
        <v>#N/A</v>
      </c>
      <c r="K6" s="35" t="e">
        <f>_xlfn.XLOOKUP(INT(SUBSTITUTE(K47,"Connecteur ","")),Mesures_Omia!C23:C35,Mesures_Omia!F23:F35)</f>
        <v>#N/A</v>
      </c>
      <c r="L6" s="35" t="e">
        <f>_xlfn.XLOOKUP(INT(SUBSTITUTE(L47,"Connecteur ","")),Mesures_Omia!C23:C35,Mesures_Omia!F23:F35)</f>
        <v>#N/A</v>
      </c>
      <c r="M6" s="35" t="e">
        <f>_xlfn.XLOOKUP(INT(SUBSTITUTE(M47,"Connecteur ","")),Mesures_Omia!C23:C35,Mesures_Omia!F23:F35)</f>
        <v>#N/A</v>
      </c>
      <c r="N6" s="35" t="e">
        <f>_xlfn.XLOOKUP(INT(SUBSTITUTE(N47,"Connecteur ","")),Mesures_Omia!C23:C35,Mesures_Omia!F23:F35)</f>
        <v>#N/A</v>
      </c>
      <c r="O6" s="35" t="e">
        <f>_xlfn.XLOOKUP(INT(SUBSTITUTE(O47,"Connecteur ","")),Mesures_Omia!C23:C35,Mesures_Omia!F23:F35)</f>
        <v>#N/A</v>
      </c>
      <c r="P6" s="33"/>
    </row>
    <row r="7" spans="1:19" s="27" customFormat="1" x14ac:dyDescent="0.25">
      <c r="P7" s="33"/>
    </row>
    <row r="8" spans="1:19" s="27" customFormat="1" x14ac:dyDescent="0.25">
      <c r="P8" s="33"/>
    </row>
    <row r="9" spans="1:19" s="27" customFormat="1" x14ac:dyDescent="0.25">
      <c r="A9" s="173" t="s">
        <v>95</v>
      </c>
      <c r="B9" s="173"/>
      <c r="C9" s="173"/>
      <c r="D9" s="173"/>
      <c r="E9" s="173"/>
      <c r="F9" s="173"/>
      <c r="G9" s="173"/>
      <c r="H9" s="173"/>
      <c r="I9" s="173"/>
      <c r="J9" s="173"/>
      <c r="K9" s="173"/>
      <c r="L9" s="173"/>
      <c r="M9" s="173"/>
      <c r="N9" s="173"/>
      <c r="P9" s="33"/>
    </row>
    <row r="10" spans="1:19" s="27" customFormat="1" x14ac:dyDescent="0.25">
      <c r="A10" s="33"/>
      <c r="B10" s="34" t="str">
        <f>Donnees_Brutes_190[[#Headers],[Date/Heure]]</f>
        <v>Date/Heure</v>
      </c>
      <c r="C10" s="36" t="str" cm="1">
        <f t="array" ref="C10:O10">Donnees_Brutes_190[[#Headers],[Connecteur 1]:[Connecteur 13]]</f>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6" t="str">
        <v>Connecteur 10</v>
      </c>
      <c r="M10" s="36" t="str">
        <v>Connecteur 11</v>
      </c>
      <c r="N10" s="36" t="str">
        <v>Connecteur 12</v>
      </c>
      <c r="O10" s="36" t="str">
        <v>Connecteur 13</v>
      </c>
      <c r="P10" s="33"/>
    </row>
    <row r="11" spans="1:19" s="27" customFormat="1" ht="13.5" customHeight="1" x14ac:dyDescent="0.25">
      <c r="A11" s="215" t="s">
        <v>96</v>
      </c>
      <c r="B11" s="145" cm="1">
        <f t="array" ref="B11">Donnees_Brutes_190[Date/Heure]</f>
        <v>0</v>
      </c>
      <c r="C11" s="130" t="e" cm="1">
        <f t="array" ref="C11:O11">Donnees_Brutes_190[[Connecteur 1]:[Connecteur 13]] + C5:O5 +C6:O6</f>
        <v>#N/A</v>
      </c>
      <c r="D11" s="130" t="e">
        <v>#N/A</v>
      </c>
      <c r="E11" s="130" t="e">
        <v>#N/A</v>
      </c>
      <c r="F11" s="130" t="e">
        <v>#N/A</v>
      </c>
      <c r="G11" s="130" t="e">
        <v>#N/A</v>
      </c>
      <c r="H11" s="130" t="e">
        <v>#N/A</v>
      </c>
      <c r="I11" s="130" t="e">
        <v>#N/A</v>
      </c>
      <c r="J11" s="130" t="e">
        <v>#N/A</v>
      </c>
      <c r="K11" s="130" t="e">
        <v>#N/A</v>
      </c>
      <c r="L11" s="130" t="e">
        <v>#N/A</v>
      </c>
      <c r="M11" s="130" t="e">
        <v>#N/A</v>
      </c>
      <c r="N11" s="130" t="e">
        <v>#N/A</v>
      </c>
      <c r="O11" s="130" t="e">
        <v>#N/A</v>
      </c>
      <c r="P11" s="33"/>
    </row>
    <row r="12" spans="1:19" s="27" customFormat="1" x14ac:dyDescent="0.25">
      <c r="A12" s="216"/>
      <c r="B12" s="145"/>
      <c r="C12" s="130"/>
      <c r="D12" s="130"/>
      <c r="E12" s="130"/>
      <c r="F12" s="130"/>
      <c r="G12" s="130"/>
      <c r="H12" s="130"/>
      <c r="I12" s="130"/>
      <c r="J12" s="130"/>
      <c r="K12" s="130"/>
      <c r="L12" s="130"/>
      <c r="M12" s="130"/>
      <c r="N12" s="130"/>
      <c r="O12" s="130"/>
      <c r="P12" s="33"/>
    </row>
    <row r="13" spans="1:19" x14ac:dyDescent="0.25">
      <c r="A13" s="216"/>
      <c r="B13" s="145"/>
      <c r="C13" s="130"/>
      <c r="D13" s="130"/>
      <c r="E13" s="130"/>
      <c r="F13" s="130"/>
      <c r="G13" s="130"/>
      <c r="H13" s="130"/>
      <c r="I13" s="130"/>
      <c r="J13" s="130"/>
      <c r="K13" s="130"/>
      <c r="L13" s="130"/>
      <c r="M13" s="130"/>
      <c r="N13" s="130"/>
      <c r="O13" s="130"/>
    </row>
    <row r="14" spans="1:19" x14ac:dyDescent="0.25">
      <c r="A14" s="216"/>
      <c r="B14" s="145"/>
      <c r="C14" s="130"/>
      <c r="D14" s="130"/>
      <c r="E14" s="130"/>
      <c r="F14" s="130"/>
      <c r="G14" s="130"/>
      <c r="H14" s="130"/>
      <c r="I14" s="130"/>
      <c r="J14" s="130"/>
      <c r="K14" s="130"/>
      <c r="L14" s="130"/>
      <c r="M14" s="130"/>
      <c r="N14" s="130"/>
      <c r="O14" s="130"/>
    </row>
    <row r="15" spans="1:19" x14ac:dyDescent="0.25">
      <c r="A15" s="216"/>
      <c r="B15" s="145"/>
      <c r="C15" s="130"/>
      <c r="D15" s="130"/>
      <c r="E15" s="130"/>
      <c r="F15" s="130"/>
      <c r="G15" s="130"/>
      <c r="H15" s="130"/>
      <c r="I15" s="130"/>
      <c r="J15" s="130"/>
      <c r="K15" s="130"/>
      <c r="L15" s="130"/>
      <c r="M15" s="130"/>
      <c r="N15" s="130"/>
      <c r="O15" s="130"/>
    </row>
    <row r="16" spans="1:19" x14ac:dyDescent="0.25">
      <c r="A16" s="216"/>
      <c r="B16" s="145"/>
      <c r="C16" s="130"/>
      <c r="D16" s="130"/>
      <c r="E16" s="130"/>
      <c r="F16" s="130"/>
      <c r="G16" s="130"/>
      <c r="H16" s="130"/>
      <c r="I16" s="130"/>
      <c r="J16" s="130"/>
      <c r="K16" s="130"/>
      <c r="L16" s="130"/>
      <c r="M16" s="130"/>
      <c r="N16" s="130"/>
      <c r="O16" s="130"/>
    </row>
    <row r="17" spans="1:16" x14ac:dyDescent="0.25">
      <c r="A17" s="216"/>
      <c r="B17" s="145"/>
      <c r="C17" s="130"/>
      <c r="D17" s="130"/>
      <c r="E17" s="130"/>
      <c r="F17" s="130"/>
      <c r="G17" s="130"/>
      <c r="H17" s="130"/>
      <c r="I17" s="130"/>
      <c r="J17" s="130"/>
      <c r="K17" s="130"/>
      <c r="L17" s="130"/>
      <c r="M17" s="130"/>
      <c r="N17" s="130"/>
      <c r="O17" s="130"/>
    </row>
    <row r="18" spans="1:16" x14ac:dyDescent="0.25">
      <c r="A18" s="216"/>
      <c r="B18" s="145"/>
      <c r="C18" s="130"/>
      <c r="D18" s="130"/>
      <c r="E18" s="130"/>
      <c r="F18" s="130"/>
      <c r="G18" s="130"/>
      <c r="H18" s="130"/>
      <c r="I18" s="130"/>
      <c r="J18" s="130"/>
      <c r="K18" s="130"/>
      <c r="L18" s="130"/>
      <c r="M18" s="130"/>
      <c r="N18" s="130"/>
      <c r="O18" s="130"/>
    </row>
    <row r="19" spans="1:16" x14ac:dyDescent="0.25">
      <c r="A19" s="216"/>
      <c r="B19" s="145"/>
      <c r="C19" s="130"/>
      <c r="D19" s="130"/>
      <c r="E19" s="130"/>
      <c r="F19" s="130"/>
      <c r="G19" s="130"/>
      <c r="H19" s="130"/>
      <c r="I19" s="130"/>
      <c r="J19" s="130"/>
      <c r="K19" s="130"/>
      <c r="L19" s="130"/>
      <c r="M19" s="130"/>
      <c r="N19" s="130"/>
      <c r="O19" s="130"/>
    </row>
    <row r="20" spans="1:16" x14ac:dyDescent="0.25">
      <c r="A20" s="216"/>
      <c r="B20" s="145"/>
      <c r="C20" s="130"/>
      <c r="D20" s="130"/>
      <c r="E20" s="130"/>
      <c r="F20" s="130"/>
      <c r="G20" s="130"/>
      <c r="H20" s="130"/>
      <c r="I20" s="130"/>
      <c r="J20" s="130"/>
      <c r="K20" s="130"/>
      <c r="L20" s="130"/>
      <c r="M20" s="130"/>
      <c r="N20" s="130"/>
      <c r="O20" s="130"/>
    </row>
    <row r="21" spans="1:16" x14ac:dyDescent="0.25">
      <c r="A21" s="216"/>
      <c r="B21" s="145"/>
      <c r="C21" s="130"/>
      <c r="D21" s="130"/>
      <c r="E21" s="130"/>
      <c r="F21" s="130"/>
      <c r="G21" s="130"/>
      <c r="H21" s="130"/>
      <c r="I21" s="130"/>
      <c r="J21" s="130"/>
      <c r="K21" s="130"/>
      <c r="L21" s="130"/>
      <c r="M21" s="130"/>
      <c r="N21" s="130"/>
      <c r="O21" s="130"/>
    </row>
    <row r="22" spans="1:16" x14ac:dyDescent="0.25">
      <c r="A22" s="216"/>
      <c r="B22" s="145"/>
      <c r="C22" s="130"/>
      <c r="D22" s="130"/>
      <c r="E22" s="130"/>
      <c r="F22" s="130"/>
      <c r="G22" s="130"/>
      <c r="H22" s="130"/>
      <c r="I22" s="130"/>
      <c r="J22" s="130"/>
      <c r="K22" s="130"/>
      <c r="L22" s="130"/>
      <c r="M22" s="130"/>
      <c r="N22" s="130"/>
      <c r="O22" s="130"/>
    </row>
    <row r="23" spans="1:16" s="27" customFormat="1" x14ac:dyDescent="0.25">
      <c r="A23" s="216"/>
      <c r="B23" s="145"/>
      <c r="C23" s="130"/>
      <c r="D23" s="130"/>
      <c r="E23" s="130"/>
      <c r="F23" s="130"/>
      <c r="G23" s="130"/>
      <c r="H23" s="130"/>
      <c r="I23" s="130"/>
      <c r="J23" s="130"/>
      <c r="K23" s="130"/>
      <c r="L23" s="130"/>
      <c r="M23" s="130"/>
      <c r="N23" s="130"/>
      <c r="O23" s="130"/>
      <c r="P23" s="33"/>
    </row>
    <row r="24" spans="1:16" x14ac:dyDescent="0.25">
      <c r="A24" s="216"/>
      <c r="B24" s="145"/>
      <c r="C24" s="130"/>
      <c r="D24" s="130"/>
      <c r="E24" s="130"/>
      <c r="F24" s="130"/>
      <c r="G24" s="130"/>
      <c r="H24" s="130"/>
      <c r="I24" s="130"/>
      <c r="J24" s="130"/>
      <c r="K24" s="130"/>
      <c r="L24" s="130"/>
      <c r="M24" s="130"/>
      <c r="N24" s="130"/>
      <c r="O24" s="130"/>
    </row>
    <row r="25" spans="1:16" x14ac:dyDescent="0.25">
      <c r="A25" s="216"/>
      <c r="B25" s="145"/>
      <c r="C25" s="130"/>
      <c r="D25" s="130"/>
      <c r="E25" s="130"/>
      <c r="F25" s="130"/>
      <c r="G25" s="130"/>
      <c r="H25" s="130"/>
      <c r="I25" s="130"/>
      <c r="J25" s="130"/>
      <c r="K25" s="130"/>
      <c r="L25" s="130"/>
      <c r="M25" s="130"/>
      <c r="N25" s="130"/>
      <c r="O25" s="130"/>
    </row>
    <row r="26" spans="1:16" x14ac:dyDescent="0.25">
      <c r="A26" s="216"/>
      <c r="B26" s="145"/>
      <c r="C26" s="130"/>
      <c r="D26" s="130"/>
      <c r="E26" s="130"/>
      <c r="F26" s="130"/>
      <c r="G26" s="130"/>
      <c r="H26" s="130"/>
      <c r="I26" s="130"/>
      <c r="J26" s="130"/>
      <c r="K26" s="130"/>
      <c r="L26" s="130"/>
      <c r="M26" s="130"/>
      <c r="N26" s="130"/>
      <c r="O26" s="130"/>
    </row>
    <row r="27" spans="1:16" x14ac:dyDescent="0.25">
      <c r="A27" s="216"/>
      <c r="B27" s="145"/>
      <c r="C27" s="130"/>
      <c r="D27" s="130"/>
      <c r="E27" s="130"/>
      <c r="F27" s="130"/>
      <c r="G27" s="130"/>
      <c r="H27" s="130"/>
      <c r="I27" s="130"/>
      <c r="J27" s="130"/>
      <c r="K27" s="130"/>
      <c r="L27" s="130"/>
      <c r="M27" s="130"/>
      <c r="N27" s="130"/>
      <c r="O27" s="130"/>
    </row>
    <row r="28" spans="1:16" x14ac:dyDescent="0.25">
      <c r="A28" s="216"/>
      <c r="B28" s="145"/>
      <c r="C28" s="130"/>
      <c r="D28" s="130"/>
      <c r="E28" s="130"/>
      <c r="F28" s="130"/>
      <c r="G28" s="130"/>
      <c r="H28" s="130"/>
      <c r="I28" s="130"/>
      <c r="J28" s="130"/>
      <c r="K28" s="130"/>
      <c r="L28" s="130"/>
      <c r="M28" s="130"/>
      <c r="N28" s="130"/>
      <c r="O28" s="130"/>
    </row>
    <row r="29" spans="1:16" x14ac:dyDescent="0.25">
      <c r="A29" s="216"/>
      <c r="B29" s="145"/>
      <c r="C29" s="130"/>
      <c r="D29" s="130"/>
      <c r="E29" s="130"/>
      <c r="F29" s="130"/>
      <c r="G29" s="130"/>
      <c r="H29" s="130"/>
      <c r="I29" s="130"/>
      <c r="J29" s="130"/>
      <c r="K29" s="130"/>
      <c r="L29" s="130"/>
      <c r="M29" s="130"/>
      <c r="N29" s="130"/>
      <c r="O29" s="130"/>
    </row>
    <row r="30" spans="1:16" x14ac:dyDescent="0.25">
      <c r="A30" s="216"/>
      <c r="B30" s="145"/>
      <c r="C30" s="130"/>
      <c r="D30" s="130"/>
      <c r="E30" s="130"/>
      <c r="F30" s="130"/>
      <c r="G30" s="130"/>
      <c r="H30" s="130"/>
      <c r="I30" s="130"/>
      <c r="J30" s="130"/>
      <c r="K30" s="130"/>
      <c r="L30" s="130"/>
      <c r="M30" s="130"/>
      <c r="N30" s="130"/>
      <c r="O30" s="130"/>
    </row>
    <row r="31" spans="1:16" x14ac:dyDescent="0.25">
      <c r="A31" s="216"/>
      <c r="B31" s="145"/>
      <c r="C31" s="130"/>
      <c r="D31" s="130"/>
      <c r="E31" s="130"/>
      <c r="F31" s="130"/>
      <c r="G31" s="130"/>
      <c r="H31" s="130"/>
      <c r="I31" s="130"/>
      <c r="J31" s="130"/>
      <c r="K31" s="130"/>
      <c r="L31" s="130"/>
      <c r="M31" s="130"/>
      <c r="N31" s="130"/>
      <c r="O31" s="130"/>
    </row>
    <row r="32" spans="1:16" x14ac:dyDescent="0.25">
      <c r="A32" s="216"/>
      <c r="B32" s="145"/>
      <c r="C32" s="130"/>
      <c r="D32" s="130"/>
      <c r="E32" s="130"/>
      <c r="F32" s="130"/>
      <c r="G32" s="130"/>
      <c r="H32" s="130"/>
      <c r="I32" s="130"/>
      <c r="J32" s="130"/>
      <c r="K32" s="130"/>
      <c r="L32" s="130"/>
      <c r="M32" s="130"/>
      <c r="N32" s="130"/>
      <c r="O32" s="130"/>
    </row>
    <row r="33" spans="1:19" x14ac:dyDescent="0.25">
      <c r="A33" s="216"/>
      <c r="B33" s="145"/>
      <c r="C33" s="130"/>
      <c r="D33" s="130"/>
      <c r="E33" s="130"/>
      <c r="F33" s="130"/>
      <c r="G33" s="130"/>
      <c r="H33" s="130"/>
      <c r="I33" s="130"/>
      <c r="J33" s="130"/>
      <c r="K33" s="130"/>
      <c r="L33" s="130"/>
      <c r="M33" s="130"/>
      <c r="N33" s="130"/>
      <c r="O33" s="130"/>
    </row>
    <row r="34" spans="1:19" x14ac:dyDescent="0.25">
      <c r="A34" s="216"/>
      <c r="B34" s="145"/>
      <c r="C34" s="130"/>
      <c r="D34" s="130"/>
      <c r="E34" s="130"/>
      <c r="F34" s="130"/>
      <c r="G34" s="130"/>
      <c r="H34" s="130"/>
      <c r="I34" s="130"/>
      <c r="J34" s="130"/>
      <c r="K34" s="130"/>
      <c r="L34" s="130"/>
      <c r="M34" s="130"/>
      <c r="N34" s="130"/>
      <c r="O34" s="130"/>
    </row>
    <row r="35" spans="1:19" x14ac:dyDescent="0.25">
      <c r="A35" s="216"/>
      <c r="B35" s="145"/>
      <c r="C35" s="130"/>
      <c r="D35" s="130"/>
      <c r="E35" s="130"/>
      <c r="F35" s="130"/>
      <c r="G35" s="130"/>
      <c r="H35" s="130"/>
      <c r="I35" s="130"/>
      <c r="J35" s="130"/>
      <c r="K35" s="130"/>
      <c r="L35" s="130"/>
      <c r="M35" s="130"/>
      <c r="N35" s="130"/>
      <c r="O35" s="130"/>
    </row>
    <row r="36" spans="1:19" x14ac:dyDescent="0.25">
      <c r="A36" s="216"/>
      <c r="B36" s="145"/>
      <c r="C36" s="130"/>
      <c r="D36" s="130"/>
      <c r="E36" s="130"/>
      <c r="F36" s="130"/>
      <c r="G36" s="130"/>
      <c r="H36" s="130"/>
      <c r="I36" s="130"/>
      <c r="J36" s="130"/>
      <c r="K36" s="130"/>
      <c r="L36" s="130"/>
      <c r="M36" s="130"/>
      <c r="N36" s="130"/>
      <c r="O36" s="130"/>
    </row>
    <row r="37" spans="1:19" x14ac:dyDescent="0.25">
      <c r="A37" s="216"/>
      <c r="B37" s="145"/>
      <c r="C37" s="130"/>
      <c r="D37" s="130"/>
      <c r="E37" s="130"/>
      <c r="F37" s="130"/>
      <c r="G37" s="130"/>
      <c r="H37" s="130"/>
      <c r="I37" s="130"/>
      <c r="J37" s="130"/>
      <c r="K37" s="130"/>
      <c r="L37" s="130"/>
      <c r="M37" s="130"/>
      <c r="N37" s="130"/>
      <c r="O37" s="130"/>
    </row>
    <row r="38" spans="1:19" x14ac:dyDescent="0.25">
      <c r="A38" s="216"/>
      <c r="B38" s="145"/>
      <c r="C38" s="130"/>
      <c r="D38" s="130"/>
      <c r="E38" s="130"/>
      <c r="F38" s="130"/>
      <c r="G38" s="130"/>
      <c r="H38" s="130"/>
      <c r="I38" s="130"/>
      <c r="J38" s="130"/>
      <c r="K38" s="130"/>
      <c r="L38" s="130"/>
      <c r="M38" s="130"/>
      <c r="N38" s="130"/>
      <c r="O38" s="130"/>
    </row>
    <row r="39" spans="1:19" x14ac:dyDescent="0.25">
      <c r="A39" s="216"/>
      <c r="B39" s="145"/>
      <c r="C39" s="130"/>
      <c r="D39" s="130"/>
      <c r="E39" s="130"/>
      <c r="F39" s="130"/>
      <c r="G39" s="130"/>
      <c r="H39" s="130"/>
      <c r="I39" s="130"/>
      <c r="J39" s="130"/>
      <c r="K39" s="130"/>
      <c r="L39" s="130"/>
      <c r="M39" s="130"/>
      <c r="N39" s="130"/>
      <c r="O39" s="130"/>
    </row>
    <row r="40" spans="1:19" x14ac:dyDescent="0.25">
      <c r="A40" s="216"/>
      <c r="B40" s="145"/>
      <c r="C40" s="130"/>
      <c r="D40" s="130"/>
      <c r="E40" s="130"/>
      <c r="F40" s="130"/>
      <c r="G40" s="130"/>
      <c r="H40" s="130"/>
      <c r="I40" s="130"/>
      <c r="J40" s="130"/>
      <c r="K40" s="130"/>
      <c r="L40" s="130"/>
      <c r="M40" s="130"/>
      <c r="N40" s="130"/>
      <c r="O40" s="130"/>
    </row>
    <row r="41" spans="1:19" x14ac:dyDescent="0.25">
      <c r="A41" s="216"/>
      <c r="B41" s="145"/>
      <c r="C41" s="130"/>
      <c r="D41" s="130"/>
      <c r="E41" s="130"/>
      <c r="F41" s="130"/>
      <c r="G41" s="130"/>
      <c r="H41" s="130"/>
      <c r="I41" s="130"/>
      <c r="J41" s="130"/>
      <c r="K41" s="130"/>
      <c r="L41" s="130"/>
      <c r="M41" s="130"/>
      <c r="N41" s="130"/>
      <c r="O41" s="130"/>
    </row>
    <row r="46" spans="1:19" s="174" customFormat="1" x14ac:dyDescent="0.25"/>
    <row r="47" spans="1:19" s="27" customFormat="1" x14ac:dyDescent="0.25">
      <c r="C47" s="41" t="str" cm="1">
        <f t="array" ref="C47:O47">Donnees_Brutes_190[[#Headers],[Connecteur 1]:[Connecteur 13]]</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L47" s="41" t="str">
        <v>Connecteur 10</v>
      </c>
      <c r="M47" s="41" t="str">
        <v>Connecteur 11</v>
      </c>
      <c r="N47" s="41" t="str">
        <v>Connecteur 12</v>
      </c>
      <c r="O47" s="36" t="str">
        <v>Connecteur 13</v>
      </c>
      <c r="P47" s="33"/>
    </row>
    <row r="48" spans="1:19" s="27" customFormat="1" x14ac:dyDescent="0.25">
      <c r="B48" s="42" t="s">
        <v>98</v>
      </c>
      <c r="C48" s="43" t="e">
        <f>MAX(C11:C41)</f>
        <v>#N/A</v>
      </c>
      <c r="D48" s="43" t="e">
        <f t="shared" ref="D48:O48" si="0">MAX(D11:D41)</f>
        <v>#N/A</v>
      </c>
      <c r="E48" s="43" t="e">
        <f t="shared" si="0"/>
        <v>#N/A</v>
      </c>
      <c r="F48" s="43" t="e">
        <f t="shared" si="0"/>
        <v>#N/A</v>
      </c>
      <c r="G48" s="43" t="e">
        <f t="shared" si="0"/>
        <v>#N/A</v>
      </c>
      <c r="H48" s="43" t="e">
        <f t="shared" si="0"/>
        <v>#N/A</v>
      </c>
      <c r="I48" s="43" t="e">
        <f t="shared" si="0"/>
        <v>#N/A</v>
      </c>
      <c r="J48" s="43" t="e">
        <f t="shared" si="0"/>
        <v>#N/A</v>
      </c>
      <c r="K48" s="43" t="e">
        <f t="shared" si="0"/>
        <v>#N/A</v>
      </c>
      <c r="L48" s="43" t="e">
        <f t="shared" si="0"/>
        <v>#N/A</v>
      </c>
      <c r="M48" s="43" t="e">
        <f t="shared" si="0"/>
        <v>#N/A</v>
      </c>
      <c r="N48" s="43" t="e">
        <f t="shared" si="0"/>
        <v>#N/A</v>
      </c>
      <c r="O48" s="43" t="e">
        <f t="shared" si="0"/>
        <v>#N/A</v>
      </c>
      <c r="P48" s="48">
        <f>190+Mesures_Omia!B20</f>
        <v>190</v>
      </c>
      <c r="Q48" s="33"/>
      <c r="R48" s="36" t="s">
        <v>7</v>
      </c>
      <c r="S48" s="48">
        <f>190</f>
        <v>190</v>
      </c>
    </row>
    <row r="49" spans="1:19" s="27" customFormat="1" x14ac:dyDescent="0.25">
      <c r="B49" s="42" t="s">
        <v>100</v>
      </c>
      <c r="C49" s="43" t="e">
        <f>MIN(C11:C41)</f>
        <v>#N/A</v>
      </c>
      <c r="D49" s="43" t="e">
        <f t="shared" ref="D49:O49" si="1">MIN(D11:D41)</f>
        <v>#N/A</v>
      </c>
      <c r="E49" s="43" t="e">
        <f t="shared" si="1"/>
        <v>#N/A</v>
      </c>
      <c r="F49" s="43" t="e">
        <f t="shared" si="1"/>
        <v>#N/A</v>
      </c>
      <c r="G49" s="43" t="e">
        <f t="shared" si="1"/>
        <v>#N/A</v>
      </c>
      <c r="H49" s="43" t="e">
        <f t="shared" si="1"/>
        <v>#N/A</v>
      </c>
      <c r="I49" s="43" t="e">
        <f t="shared" si="1"/>
        <v>#N/A</v>
      </c>
      <c r="J49" s="43" t="e">
        <f t="shared" si="1"/>
        <v>#N/A</v>
      </c>
      <c r="K49" s="43" t="e">
        <f t="shared" si="1"/>
        <v>#N/A</v>
      </c>
      <c r="L49" s="43" t="e">
        <f t="shared" si="1"/>
        <v>#N/A</v>
      </c>
      <c r="M49" s="43" t="e">
        <f t="shared" si="1"/>
        <v>#N/A</v>
      </c>
      <c r="N49" s="43" t="e">
        <f t="shared" si="1"/>
        <v>#N/A</v>
      </c>
      <c r="O49" s="43" t="e">
        <f t="shared" si="1"/>
        <v>#N/A</v>
      </c>
      <c r="P49" s="48">
        <f>190-Mesures_Omia!B20</f>
        <v>190</v>
      </c>
      <c r="Q49" s="33"/>
      <c r="R49" s="36" t="s">
        <v>99</v>
      </c>
      <c r="S49" s="35" t="str">
        <f>"+" &amp; Mesures_Omia!B20 &amp; "°C"</f>
        <v>+°C</v>
      </c>
    </row>
    <row r="50" spans="1:19" s="27" customFormat="1" x14ac:dyDescent="0.25">
      <c r="B50" s="42" t="s">
        <v>102</v>
      </c>
      <c r="C50" s="43" t="e">
        <f>AVERAGE(C11:C41)</f>
        <v>#N/A</v>
      </c>
      <c r="D50" s="43" t="e">
        <f t="shared" ref="D50:O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43" t="e">
        <f t="shared" si="2"/>
        <v>#N/A</v>
      </c>
      <c r="M50" s="43" t="e">
        <f t="shared" si="2"/>
        <v>#N/A</v>
      </c>
      <c r="N50" s="43" t="e">
        <f t="shared" si="2"/>
        <v>#N/A</v>
      </c>
      <c r="O50" s="43" t="e">
        <f t="shared" si="2"/>
        <v>#N/A</v>
      </c>
      <c r="P50" s="33"/>
      <c r="Q50" s="33"/>
      <c r="R50" s="36" t="s">
        <v>101</v>
      </c>
      <c r="S50" s="35" t="str">
        <f>"-" &amp; Mesures_Omia!B20 &amp; "°C"</f>
        <v>-°C</v>
      </c>
    </row>
    <row r="51" spans="1:19" s="27" customFormat="1" x14ac:dyDescent="0.25">
      <c r="B51" s="42" t="s">
        <v>103</v>
      </c>
      <c r="C51" s="45" t="e">
        <f>C48-C49</f>
        <v>#N/A</v>
      </c>
      <c r="D51" s="45" t="e">
        <f>D48-D49</f>
        <v>#N/A</v>
      </c>
      <c r="E51" s="45" t="e">
        <f t="shared" ref="E51:O51" si="3">E48-E49</f>
        <v>#N/A</v>
      </c>
      <c r="F51" s="45" t="e">
        <f t="shared" si="3"/>
        <v>#N/A</v>
      </c>
      <c r="G51" s="45" t="e">
        <f t="shared" si="3"/>
        <v>#N/A</v>
      </c>
      <c r="H51" s="45" t="e">
        <f t="shared" si="3"/>
        <v>#N/A</v>
      </c>
      <c r="I51" s="45" t="e">
        <f t="shared" si="3"/>
        <v>#N/A</v>
      </c>
      <c r="J51" s="45" t="e">
        <f t="shared" si="3"/>
        <v>#N/A</v>
      </c>
      <c r="K51" s="45" t="e">
        <f t="shared" si="3"/>
        <v>#N/A</v>
      </c>
      <c r="L51" s="45" t="e">
        <f t="shared" si="3"/>
        <v>#N/A</v>
      </c>
      <c r="M51" s="45" t="e">
        <f t="shared" si="3"/>
        <v>#N/A</v>
      </c>
      <c r="N51" s="45" t="e">
        <f t="shared" si="3"/>
        <v>#N/A</v>
      </c>
      <c r="O51" s="45" t="e">
        <f t="shared" si="3"/>
        <v>#N/A</v>
      </c>
      <c r="P51" s="33"/>
    </row>
    <row r="52" spans="1:19" s="27" customFormat="1" x14ac:dyDescent="0.25">
      <c r="B52" s="42" t="s">
        <v>104</v>
      </c>
      <c r="C52" s="175" t="e">
        <f>ABS(MAX(C48:N48)-MIN(C49:N49))</f>
        <v>#N/A</v>
      </c>
      <c r="D52" s="175"/>
      <c r="E52" s="175"/>
      <c r="F52" s="175"/>
      <c r="G52" s="175"/>
      <c r="H52" s="175"/>
      <c r="I52" s="175"/>
      <c r="J52" s="175"/>
      <c r="K52" s="175"/>
      <c r="L52" s="175"/>
      <c r="M52" s="175"/>
      <c r="N52" s="175"/>
      <c r="O52" s="175"/>
      <c r="P52" s="175"/>
    </row>
    <row r="53" spans="1:19" s="27" customFormat="1" x14ac:dyDescent="0.25">
      <c r="B53" s="42" t="s">
        <v>105</v>
      </c>
      <c r="C53" s="175" t="e">
        <f>AVERAGE(C50:N50)</f>
        <v>#N/A</v>
      </c>
      <c r="D53" s="175"/>
      <c r="E53" s="175"/>
      <c r="F53" s="175"/>
      <c r="G53" s="175"/>
      <c r="H53" s="175"/>
      <c r="I53" s="175"/>
      <c r="J53" s="175"/>
      <c r="K53" s="175"/>
      <c r="L53" s="175"/>
      <c r="M53" s="175"/>
      <c r="N53" s="175"/>
      <c r="O53" s="175"/>
      <c r="P53" s="175"/>
    </row>
    <row r="54" spans="1:19" s="27" customFormat="1" x14ac:dyDescent="0.25">
      <c r="B54" s="36" t="s">
        <v>106</v>
      </c>
      <c r="C54" s="46" t="e">
        <f ca="1">STDEV(OFFSET(INDEX(Donnees_Brutes_190[Connecteur 1],1),COUNT(Donnees_Brutes_190[Connecteur 1])-30,0,30))+C5+C6</f>
        <v>#REF!</v>
      </c>
      <c r="D54" s="46" t="e">
        <f ca="1">STDEV(OFFSET(INDEX(Donnees_Brutes_190[Connecteur 2],1),COUNT(Donnees_Brutes_190[Connecteur 2])-30,0,30))+D5+D6</f>
        <v>#REF!</v>
      </c>
      <c r="E54" s="46" t="e">
        <f ca="1">STDEV(OFFSET(INDEX(Donnees_Brutes_190[Connecteur 3],1),COUNT(Donnees_Brutes_190[Connecteur 3])-30,0,30))+E5+E6</f>
        <v>#REF!</v>
      </c>
      <c r="F54" s="46" t="e">
        <f ca="1">STDEV(OFFSET(INDEX(Donnees_Brutes_190[Connecteur 4],1),COUNT(Donnees_Brutes_190[Connecteur 4])-30,0,30))+F5+F6</f>
        <v>#REF!</v>
      </c>
      <c r="G54" s="46" t="e">
        <f ca="1">STDEV(OFFSET(INDEX(Donnees_Brutes_190[Connecteur 5],1),COUNT(Donnees_Brutes_190[Connecteur 5])-30,0,30))+G5+G6</f>
        <v>#REF!</v>
      </c>
      <c r="H54" s="46" t="e">
        <f ca="1">STDEV(OFFSET(INDEX(Donnees_Brutes_190[Connecteur 6],1),COUNT(Donnees_Brutes_190[Connecteur 6])-30,0,30))+H5+H6</f>
        <v>#REF!</v>
      </c>
      <c r="I54" s="46" t="e">
        <f ca="1">STDEV(OFFSET(INDEX(Donnees_Brutes_190[Connecteur 7],1),COUNT(Donnees_Brutes_190[Connecteur 7])-30,0,30))+I5+I6</f>
        <v>#REF!</v>
      </c>
      <c r="J54" s="46" t="e">
        <f ca="1">STDEV(OFFSET(INDEX(Donnees_Brutes_190[Connecteur 8],1),COUNT(Donnees_Brutes_190[Connecteur 8])-30,0,30))+J5+J6</f>
        <v>#REF!</v>
      </c>
      <c r="K54" s="46" t="e">
        <f ca="1">STDEV(OFFSET(INDEX(Donnees_Brutes_190[Connecteur 9],1),COUNT(Donnees_Brutes_190[Connecteur 9])-30,0,30))+K5+K6</f>
        <v>#REF!</v>
      </c>
      <c r="L54" s="46" t="e">
        <f ca="1">STDEV(OFFSET(INDEX(Donnees_Brutes_190[Connecteur 10],1),COUNT(Donnees_Brutes_190[Connecteur 10])-30,0,30))+L5+L6</f>
        <v>#REF!</v>
      </c>
      <c r="M54" s="46" t="e">
        <f ca="1">STDEV(OFFSET(INDEX(Donnees_Brutes_190[Connecteur 11],1),COUNT(Donnees_Brutes_190[Connecteur 11])-30,0,30))+M5+M6</f>
        <v>#REF!</v>
      </c>
      <c r="N54" s="46" t="e">
        <f ca="1">STDEV(OFFSET(INDEX(Donnees_Brutes_190[Connecteur 12],1),COUNT(Donnees_Brutes_190[Connecteur 12])-30,0,30))+N5+N6</f>
        <v>#REF!</v>
      </c>
      <c r="O54" s="46" t="e">
        <f ca="1">STDEV(OFFSET(INDEX(Donnees_Brutes_190[Connecteur 13],1),COUNT(Donnees_Brutes_190[Connecteur 13])-30,0,30))+O5+O6</f>
        <v>#REF!</v>
      </c>
      <c r="P54" s="33"/>
    </row>
    <row r="55" spans="1:19" s="27" customFormat="1" x14ac:dyDescent="0.25">
      <c r="A55"/>
      <c r="B55"/>
      <c r="C55"/>
      <c r="D55"/>
      <c r="E55"/>
      <c r="F55"/>
      <c r="G55"/>
      <c r="H55"/>
      <c r="I55"/>
      <c r="J55"/>
      <c r="K55"/>
      <c r="L55"/>
      <c r="M55"/>
      <c r="N55"/>
      <c r="O55"/>
      <c r="P55"/>
    </row>
  </sheetData>
  <sheetProtection algorithmName="SHA-512" hashValue="LUneU/9a9LcUT2TN2S286lr5xJg+8HKoM6TovspS6nGsamgkNut6EKp1uvP7xfQDkjz+8rqbX5PGFjbeGyUa+w==" saltValue="2ZKxwI3rSul0W9Ie8uLjrw==" spinCount="100000" sheet="1" objects="1" scenarios="1" autoFilter="0"/>
  <mergeCells count="6">
    <mergeCell ref="C53:P53"/>
    <mergeCell ref="A1:S3"/>
    <mergeCell ref="A9:N9"/>
    <mergeCell ref="A11:A41"/>
    <mergeCell ref="A46:XFD46"/>
    <mergeCell ref="C52:P52"/>
  </mergeCells>
  <conditionalFormatting sqref="C48:O48">
    <cfRule type="cellIs" dxfId="24" priority="1" operator="greaterThan">
      <formula>$P$48</formula>
    </cfRule>
  </conditionalFormatting>
  <conditionalFormatting sqref="C49:O49">
    <cfRule type="cellIs" dxfId="23" priority="2" operator="lessThan">
      <formula>$P$49</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736E2-BE61-465C-96E8-4456F0596F91}">
  <sheetPr codeName="Feuil14">
    <tabColor theme="7" tint="0.39997558519241921"/>
  </sheetPr>
  <dimension ref="A4:N512"/>
  <sheetViews>
    <sheetView view="pageBreakPreview" topLeftCell="A450" zoomScale="60" zoomScaleNormal="100" zoomScalePageLayoutView="60" workbookViewId="0">
      <selection activeCell="B7" sqref="B7"/>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221" t="s">
        <v>273</v>
      </c>
      <c r="C4" s="222"/>
      <c r="D4" s="222"/>
      <c r="E4" s="222"/>
      <c r="F4" s="222"/>
    </row>
    <row r="5" spans="2:9" ht="26.25" x14ac:dyDescent="0.25">
      <c r="B5" s="222"/>
      <c r="C5" s="222"/>
      <c r="D5" s="222"/>
      <c r="E5" s="222"/>
      <c r="F5" s="222"/>
      <c r="G5" s="88"/>
      <c r="H5" s="88"/>
      <c r="I5" s="89"/>
    </row>
    <row r="6" spans="2:9" ht="58.5" customHeight="1" x14ac:dyDescent="0.25">
      <c r="B6" s="222"/>
      <c r="C6" s="222"/>
      <c r="D6" s="222"/>
      <c r="E6" s="222"/>
      <c r="F6" s="222"/>
    </row>
    <row r="10" spans="2:9" ht="21" x14ac:dyDescent="0.25">
      <c r="C10" s="192" t="s">
        <v>145</v>
      </c>
      <c r="D10" s="192"/>
      <c r="E10" s="193">
        <f>Mesures_Omia!D5</f>
        <v>0</v>
      </c>
      <c r="F10" s="193"/>
    </row>
    <row r="11" spans="2:9" ht="21" x14ac:dyDescent="0.25">
      <c r="C11" s="90"/>
      <c r="D11" s="90"/>
      <c r="E11" s="91"/>
      <c r="F11" s="91"/>
    </row>
    <row r="12" spans="2:9" x14ac:dyDescent="0.25">
      <c r="C12" s="92" t="s">
        <v>1</v>
      </c>
      <c r="D12" s="147">
        <f>Mesures_Omia!C7</f>
        <v>0</v>
      </c>
      <c r="F12" s="92" t="s">
        <v>19</v>
      </c>
      <c r="G12" s="147">
        <f>Mesures_Omia!G7</f>
        <v>0</v>
      </c>
    </row>
    <row r="13" spans="2:9" ht="15.75" x14ac:dyDescent="0.25">
      <c r="C13" s="94" t="s">
        <v>2</v>
      </c>
      <c r="D13" s="148">
        <f>Mesures_Omia!C8</f>
        <v>0</v>
      </c>
      <c r="F13" s="96" t="s">
        <v>20</v>
      </c>
      <c r="G13" s="148">
        <f>Mesures_Omia!G8</f>
        <v>0</v>
      </c>
    </row>
    <row r="14" spans="2:9" ht="15.75" x14ac:dyDescent="0.25">
      <c r="C14" s="97"/>
      <c r="D14" s="98"/>
      <c r="G14" s="99"/>
    </row>
    <row r="15" spans="2:9" ht="15.75" x14ac:dyDescent="0.25">
      <c r="C15" s="100" t="s">
        <v>146</v>
      </c>
      <c r="D15" s="101">
        <f>Mesures_Omia!C14</f>
        <v>0</v>
      </c>
      <c r="F15" s="92" t="s">
        <v>147</v>
      </c>
      <c r="G15" s="9">
        <f>Mesures_Omia!C15</f>
        <v>0</v>
      </c>
    </row>
    <row r="16" spans="2:9" ht="15.75" x14ac:dyDescent="0.25">
      <c r="C16" s="100" t="s">
        <v>148</v>
      </c>
      <c r="D16" s="103">
        <f>Mesures_Omia!G11</f>
        <v>15</v>
      </c>
      <c r="F16" s="92" t="s">
        <v>149</v>
      </c>
      <c r="G16" s="9">
        <f>Mesures_Omia!G12</f>
        <v>0</v>
      </c>
    </row>
    <row r="17" spans="1:9" ht="15.75" x14ac:dyDescent="0.25">
      <c r="C17" s="97"/>
      <c r="D17" s="98"/>
      <c r="F17" s="97"/>
      <c r="G17" s="1"/>
    </row>
    <row r="18" spans="1:9" ht="15.75" x14ac:dyDescent="0.25">
      <c r="C18" s="100" t="s">
        <v>150</v>
      </c>
      <c r="D18" s="149">
        <f>Mesures_Omia!C11</f>
        <v>0</v>
      </c>
      <c r="F18" s="92" t="s">
        <v>151</v>
      </c>
      <c r="G18" s="156">
        <f>Mesures_Omia!G10</f>
        <v>0</v>
      </c>
    </row>
    <row r="19" spans="1:9" ht="15.75" x14ac:dyDescent="0.25">
      <c r="C19" s="94" t="s">
        <v>152</v>
      </c>
      <c r="D19" s="149">
        <f>Mesures_Omia!C11</f>
        <v>0</v>
      </c>
    </row>
    <row r="20" spans="1:9" ht="15.75" x14ac:dyDescent="0.25">
      <c r="C20" s="97"/>
      <c r="D20" s="98"/>
    </row>
    <row r="21" spans="1:9" ht="15.75" x14ac:dyDescent="0.25">
      <c r="C21" s="97"/>
      <c r="D21" s="98"/>
    </row>
    <row r="28" spans="1:9" ht="36" x14ac:dyDescent="0.55000000000000004">
      <c r="A28" s="180" t="s">
        <v>153</v>
      </c>
      <c r="B28" s="180"/>
    </row>
    <row r="30" spans="1:9" x14ac:dyDescent="0.25">
      <c r="A30" s="194" t="s">
        <v>235</v>
      </c>
      <c r="B30" s="194"/>
      <c r="C30" s="194"/>
      <c r="D30" s="194"/>
      <c r="E30" s="194"/>
      <c r="F30" s="194"/>
      <c r="G30" s="194"/>
      <c r="H30" s="194"/>
      <c r="I30" s="194"/>
    </row>
    <row r="31" spans="1:9" x14ac:dyDescent="0.25">
      <c r="A31" s="194"/>
      <c r="B31" s="194"/>
      <c r="C31" s="194"/>
      <c r="D31" s="194"/>
      <c r="E31" s="194"/>
      <c r="F31" s="194"/>
      <c r="G31" s="194"/>
      <c r="H31" s="194"/>
      <c r="I31" s="194"/>
    </row>
    <row r="32" spans="1:9" x14ac:dyDescent="0.25">
      <c r="A32" s="194"/>
      <c r="B32" s="194"/>
      <c r="C32" s="194"/>
      <c r="D32" s="194"/>
      <c r="E32" s="194"/>
      <c r="F32" s="194"/>
      <c r="G32" s="194"/>
      <c r="H32" s="194"/>
      <c r="I32" s="194"/>
    </row>
    <row r="33" spans="1:9" x14ac:dyDescent="0.25">
      <c r="A33" s="194"/>
      <c r="B33" s="194"/>
      <c r="C33" s="194"/>
      <c r="D33" s="194"/>
      <c r="E33" s="194"/>
      <c r="F33" s="194"/>
      <c r="G33" s="194"/>
      <c r="H33" s="194"/>
      <c r="I33" s="194"/>
    </row>
    <row r="34" spans="1:9" x14ac:dyDescent="0.25">
      <c r="A34" s="194"/>
      <c r="B34" s="194"/>
      <c r="C34" s="194"/>
      <c r="D34" s="194"/>
      <c r="E34" s="194"/>
      <c r="F34" s="194"/>
      <c r="G34" s="194"/>
      <c r="H34" s="194"/>
      <c r="I34" s="194"/>
    </row>
    <row r="35" spans="1:9" x14ac:dyDescent="0.25">
      <c r="A35" s="194"/>
      <c r="B35" s="194"/>
      <c r="C35" s="194"/>
      <c r="D35" s="194"/>
      <c r="E35" s="194"/>
      <c r="F35" s="194"/>
      <c r="G35" s="194"/>
      <c r="H35" s="194"/>
      <c r="I35" s="194"/>
    </row>
    <row r="36" spans="1:9" x14ac:dyDescent="0.25">
      <c r="A36" s="194"/>
      <c r="B36" s="194"/>
      <c r="C36" s="194"/>
      <c r="D36" s="194"/>
      <c r="E36" s="194"/>
      <c r="F36" s="194"/>
      <c r="G36" s="194"/>
      <c r="H36" s="194"/>
      <c r="I36" s="194"/>
    </row>
    <row r="37" spans="1:9" x14ac:dyDescent="0.25">
      <c r="A37" s="194"/>
      <c r="B37" s="194"/>
      <c r="C37" s="194"/>
      <c r="D37" s="194"/>
      <c r="E37" s="194"/>
      <c r="F37" s="194"/>
      <c r="G37" s="194"/>
      <c r="H37" s="194"/>
      <c r="I37" s="194"/>
    </row>
    <row r="38" spans="1:9" x14ac:dyDescent="0.25">
      <c r="A38" s="194"/>
      <c r="B38" s="194"/>
      <c r="C38" s="194"/>
      <c r="D38" s="194"/>
      <c r="E38" s="194"/>
      <c r="F38" s="194"/>
      <c r="G38" s="194"/>
      <c r="H38" s="194"/>
      <c r="I38" s="194"/>
    </row>
    <row r="39" spans="1:9" x14ac:dyDescent="0.25">
      <c r="A39" s="194"/>
      <c r="B39" s="194"/>
      <c r="C39" s="194"/>
      <c r="D39" s="194"/>
      <c r="E39" s="194"/>
      <c r="F39" s="194"/>
      <c r="G39" s="194"/>
      <c r="H39" s="194"/>
      <c r="I39" s="194"/>
    </row>
    <row r="40" spans="1:9" x14ac:dyDescent="0.25">
      <c r="A40" s="194"/>
      <c r="B40" s="194"/>
      <c r="C40" s="194"/>
      <c r="D40" s="194"/>
      <c r="E40" s="194"/>
      <c r="F40" s="194"/>
      <c r="G40" s="194"/>
      <c r="H40" s="194"/>
      <c r="I40" s="194"/>
    </row>
    <row r="41" spans="1:9" x14ac:dyDescent="0.25">
      <c r="A41" s="194"/>
      <c r="B41" s="194"/>
      <c r="C41" s="194"/>
      <c r="D41" s="194"/>
      <c r="E41" s="194"/>
      <c r="F41" s="194"/>
      <c r="G41" s="194"/>
      <c r="H41" s="194"/>
      <c r="I41" s="194"/>
    </row>
    <row r="42" spans="1:9" x14ac:dyDescent="0.25">
      <c r="A42" s="194"/>
      <c r="B42" s="194"/>
      <c r="C42" s="194"/>
      <c r="D42" s="194"/>
      <c r="E42" s="194"/>
      <c r="F42" s="194"/>
      <c r="G42" s="194"/>
      <c r="H42" s="194"/>
      <c r="I42" s="194"/>
    </row>
    <row r="43" spans="1:9" x14ac:dyDescent="0.25">
      <c r="A43" s="194"/>
      <c r="B43" s="194"/>
      <c r="C43" s="194"/>
      <c r="D43" s="194"/>
      <c r="E43" s="194"/>
      <c r="F43" s="194"/>
      <c r="G43" s="194"/>
      <c r="H43" s="194"/>
      <c r="I43" s="194"/>
    </row>
    <row r="44" spans="1:9" x14ac:dyDescent="0.25">
      <c r="A44" s="194"/>
      <c r="B44" s="194"/>
      <c r="C44" s="194"/>
      <c r="D44" s="194"/>
      <c r="E44" s="194"/>
      <c r="F44" s="194"/>
      <c r="G44" s="194"/>
      <c r="H44" s="194"/>
      <c r="I44" s="194"/>
    </row>
    <row r="45" spans="1:9" x14ac:dyDescent="0.25">
      <c r="A45" s="194"/>
      <c r="B45" s="194"/>
      <c r="C45" s="194"/>
      <c r="D45" s="194"/>
      <c r="E45" s="194"/>
      <c r="F45" s="194"/>
      <c r="G45" s="194"/>
      <c r="H45" s="194"/>
      <c r="I45" s="194"/>
    </row>
    <row r="46" spans="1:9" x14ac:dyDescent="0.25">
      <c r="A46" s="194"/>
      <c r="B46" s="194"/>
      <c r="C46" s="194"/>
      <c r="D46" s="194"/>
      <c r="E46" s="194"/>
      <c r="F46" s="194"/>
      <c r="G46" s="194"/>
      <c r="H46" s="194"/>
      <c r="I46" s="194"/>
    </row>
    <row r="47" spans="1:9" x14ac:dyDescent="0.25">
      <c r="A47" s="194"/>
      <c r="B47" s="194"/>
      <c r="C47" s="194"/>
      <c r="D47" s="194"/>
      <c r="E47" s="194"/>
      <c r="F47" s="194"/>
      <c r="G47" s="194"/>
      <c r="H47" s="194"/>
      <c r="I47" s="194"/>
    </row>
    <row r="51" spans="2:8" ht="36" x14ac:dyDescent="0.25">
      <c r="C51" s="182" t="s">
        <v>155</v>
      </c>
      <c r="D51" s="182"/>
      <c r="E51" s="182"/>
      <c r="F51" s="182"/>
    </row>
    <row r="52" spans="2:8" ht="17.25" x14ac:dyDescent="0.25">
      <c r="B52" s="105"/>
    </row>
    <row r="53" spans="2:8" ht="23.25" x14ac:dyDescent="0.25">
      <c r="B53" s="106" t="s">
        <v>156</v>
      </c>
    </row>
    <row r="55" spans="2:8" ht="21" x14ac:dyDescent="0.25">
      <c r="B55" s="107" t="s">
        <v>236</v>
      </c>
      <c r="E55" s="191" t="s">
        <v>237</v>
      </c>
      <c r="F55" s="191"/>
      <c r="G55" s="107"/>
      <c r="H55" s="108"/>
    </row>
    <row r="56" spans="2:8" ht="21" x14ac:dyDescent="0.25">
      <c r="B56" s="107" t="s">
        <v>238</v>
      </c>
      <c r="E56" s="191" t="s">
        <v>239</v>
      </c>
      <c r="F56" s="191"/>
      <c r="G56" s="191"/>
      <c r="H56" s="107"/>
    </row>
    <row r="57" spans="2:8" ht="21" x14ac:dyDescent="0.25">
      <c r="B57" s="191" t="s">
        <v>240</v>
      </c>
      <c r="C57" s="191"/>
      <c r="E57" s="191" t="s">
        <v>162</v>
      </c>
      <c r="F57" s="191"/>
      <c r="G57" s="108"/>
      <c r="H57" s="108"/>
    </row>
    <row r="59" spans="2:8" ht="23.25" x14ac:dyDescent="0.25">
      <c r="B59" s="106" t="s">
        <v>163</v>
      </c>
    </row>
    <row r="61" spans="2:8" ht="21" x14ac:dyDescent="0.25">
      <c r="B61" s="191" t="s">
        <v>241</v>
      </c>
      <c r="C61" s="191"/>
      <c r="D61" s="107"/>
      <c r="E61" s="191"/>
      <c r="F61" s="191"/>
      <c r="G61" s="191"/>
    </row>
    <row r="62" spans="2:8" ht="21" x14ac:dyDescent="0.25">
      <c r="B62" s="191" t="s">
        <v>242</v>
      </c>
      <c r="C62" s="191"/>
      <c r="D62" s="107"/>
    </row>
    <row r="64" spans="2:8" ht="21" x14ac:dyDescent="0.25">
      <c r="B64" s="107" t="s">
        <v>167</v>
      </c>
    </row>
    <row r="66" spans="2:9" ht="21" x14ac:dyDescent="0.25">
      <c r="B66" s="107" t="s">
        <v>243</v>
      </c>
      <c r="C66" s="107"/>
      <c r="D66" s="107"/>
      <c r="E66" s="220" t="s">
        <v>244</v>
      </c>
      <c r="F66" s="220"/>
      <c r="G66" s="107"/>
      <c r="H66" s="107"/>
      <c r="I66" s="107"/>
    </row>
    <row r="67" spans="2:9" ht="21" x14ac:dyDescent="0.25">
      <c r="B67" s="150" t="s">
        <v>244</v>
      </c>
      <c r="C67" s="107"/>
      <c r="D67" s="107"/>
      <c r="E67" s="191" t="s">
        <v>245</v>
      </c>
      <c r="F67" s="191"/>
      <c r="G67" s="191"/>
      <c r="H67" s="191"/>
      <c r="I67" s="107"/>
    </row>
    <row r="68" spans="2:9" ht="21" x14ac:dyDescent="0.25">
      <c r="B68" s="191"/>
      <c r="C68" s="191"/>
      <c r="D68" s="191"/>
      <c r="E68" s="191"/>
      <c r="F68" s="191"/>
      <c r="G68" s="191"/>
      <c r="H68" s="191"/>
      <c r="I68" s="191"/>
    </row>
    <row r="69" spans="2:9" ht="21" x14ac:dyDescent="0.25">
      <c r="B69" s="191"/>
      <c r="C69" s="191"/>
      <c r="D69" s="191"/>
      <c r="E69" s="191"/>
      <c r="F69" s="191"/>
      <c r="G69" s="191"/>
      <c r="H69" s="191"/>
      <c r="I69" s="108"/>
    </row>
    <row r="85" spans="1:9" ht="36" x14ac:dyDescent="0.25">
      <c r="C85" s="182" t="s">
        <v>177</v>
      </c>
      <c r="D85" s="182"/>
      <c r="E85" s="182"/>
      <c r="F85" s="182"/>
      <c r="G85" s="182"/>
    </row>
    <row r="87" spans="1:9" ht="26.25" x14ac:dyDescent="0.25">
      <c r="B87" s="109" t="s">
        <v>178</v>
      </c>
    </row>
    <row r="89" spans="1:9" ht="21" x14ac:dyDescent="0.25">
      <c r="B89" s="107" t="s">
        <v>246</v>
      </c>
      <c r="C89" s="107"/>
      <c r="E89" s="107"/>
      <c r="F89" s="107"/>
      <c r="G89" s="107"/>
      <c r="H89" s="108"/>
    </row>
    <row r="90" spans="1:9" ht="21" x14ac:dyDescent="0.25">
      <c r="B90" s="107" t="s">
        <v>180</v>
      </c>
      <c r="C90" s="107"/>
      <c r="E90" s="107"/>
      <c r="F90" s="107"/>
      <c r="G90" s="107"/>
      <c r="H90" s="108"/>
    </row>
    <row r="91" spans="1:9" ht="21" x14ac:dyDescent="0.25">
      <c r="B91" s="107" t="s">
        <v>247</v>
      </c>
      <c r="C91" s="107"/>
      <c r="E91" s="107"/>
      <c r="F91" s="107"/>
      <c r="G91" s="107"/>
      <c r="H91" s="108"/>
    </row>
    <row r="92" spans="1:9" ht="21" x14ac:dyDescent="0.25">
      <c r="B92" s="107" t="s">
        <v>248</v>
      </c>
      <c r="C92" s="107"/>
      <c r="E92" s="107"/>
      <c r="F92" s="107"/>
      <c r="G92" s="107"/>
      <c r="H92" s="108"/>
    </row>
    <row r="93" spans="1:9" ht="21" x14ac:dyDescent="0.25">
      <c r="B93" s="110"/>
      <c r="C93" s="110"/>
      <c r="E93" s="107"/>
      <c r="F93" s="107"/>
      <c r="G93" s="107"/>
      <c r="H93" s="108"/>
    </row>
    <row r="94" spans="1:9" ht="17.25" x14ac:dyDescent="0.25">
      <c r="A94" s="111"/>
      <c r="C94" s="160" t="s">
        <v>10</v>
      </c>
      <c r="D94" s="209"/>
      <c r="E94" s="209"/>
      <c r="F94" s="209"/>
      <c r="G94" s="209"/>
      <c r="H94" s="161"/>
      <c r="I94" s="111"/>
    </row>
    <row r="95" spans="1:9" ht="30" x14ac:dyDescent="0.25">
      <c r="A95" s="111"/>
      <c r="B95" s="111"/>
      <c r="C95" s="164"/>
      <c r="D95" s="164"/>
      <c r="E95" s="3" t="s">
        <v>16</v>
      </c>
      <c r="F95" s="20" t="s">
        <v>18</v>
      </c>
      <c r="G95" s="20" t="s">
        <v>25</v>
      </c>
      <c r="H95" s="20" t="s">
        <v>26</v>
      </c>
      <c r="I95" s="114"/>
    </row>
    <row r="96" spans="1:9" ht="17.25" x14ac:dyDescent="0.25">
      <c r="A96" s="111"/>
      <c r="B96" s="111"/>
      <c r="C96" s="160" t="str">
        <f>Mesures_Omia!A44</f>
        <v xml:space="preserve">Sonde </v>
      </c>
      <c r="D96" s="161"/>
      <c r="E96" s="10" cm="1">
        <f t="array" ref="E96:H108">Mesures_Omia!C44:F56</f>
        <v>0</v>
      </c>
      <c r="F96" s="10">
        <v>0</v>
      </c>
      <c r="G96" s="10">
        <v>0</v>
      </c>
      <c r="H96" s="10">
        <v>0</v>
      </c>
      <c r="I96" s="111"/>
    </row>
    <row r="97" spans="1:9" ht="17.25" x14ac:dyDescent="0.25">
      <c r="A97" s="111"/>
      <c r="B97" s="111"/>
      <c r="C97" s="160" t="str">
        <f>Mesures_Omia!A45</f>
        <v xml:space="preserve">Sonde </v>
      </c>
      <c r="D97" s="161"/>
      <c r="E97" s="10">
        <v>0</v>
      </c>
      <c r="F97" s="10">
        <v>0</v>
      </c>
      <c r="G97" s="10">
        <v>0</v>
      </c>
      <c r="H97" s="10">
        <v>0</v>
      </c>
      <c r="I97" s="111"/>
    </row>
    <row r="98" spans="1:9" ht="17.25" x14ac:dyDescent="0.25">
      <c r="A98" s="111"/>
      <c r="B98" s="111"/>
      <c r="C98" s="160" t="str">
        <f>Mesures_Omia!A46</f>
        <v xml:space="preserve">Sonde </v>
      </c>
      <c r="D98" s="161"/>
      <c r="E98" s="10">
        <v>0</v>
      </c>
      <c r="F98" s="10">
        <v>0</v>
      </c>
      <c r="G98" s="10">
        <v>0</v>
      </c>
      <c r="H98" s="10">
        <v>0</v>
      </c>
      <c r="I98" s="111"/>
    </row>
    <row r="99" spans="1:9" ht="17.25" x14ac:dyDescent="0.25">
      <c r="A99" s="111"/>
      <c r="B99" s="111"/>
      <c r="C99" s="160" t="str">
        <f>Mesures_Omia!A47</f>
        <v xml:space="preserve">Sonde </v>
      </c>
      <c r="D99" s="161"/>
      <c r="E99" s="10">
        <v>0</v>
      </c>
      <c r="F99" s="10">
        <v>0</v>
      </c>
      <c r="G99" s="10">
        <v>0</v>
      </c>
      <c r="H99" s="10">
        <v>0</v>
      </c>
      <c r="I99" s="111"/>
    </row>
    <row r="100" spans="1:9" ht="17.25" x14ac:dyDescent="0.25">
      <c r="A100" s="111"/>
      <c r="B100" s="111"/>
      <c r="C100" s="160" t="str">
        <f>Mesures_Omia!A48</f>
        <v xml:space="preserve">Sonde </v>
      </c>
      <c r="D100" s="161"/>
      <c r="E100" s="10">
        <v>0</v>
      </c>
      <c r="F100" s="10">
        <v>0</v>
      </c>
      <c r="G100" s="10">
        <v>0</v>
      </c>
      <c r="H100" s="10">
        <v>0</v>
      </c>
      <c r="I100" s="111"/>
    </row>
    <row r="101" spans="1:9" ht="17.25" x14ac:dyDescent="0.25">
      <c r="A101" s="111"/>
      <c r="B101" s="111"/>
      <c r="C101" s="160" t="str">
        <f>Mesures_Omia!A49</f>
        <v xml:space="preserve">Sonde </v>
      </c>
      <c r="D101" s="161"/>
      <c r="E101" s="10">
        <v>0</v>
      </c>
      <c r="F101" s="10">
        <v>0</v>
      </c>
      <c r="G101" s="10">
        <v>0</v>
      </c>
      <c r="H101" s="10">
        <v>0</v>
      </c>
      <c r="I101" s="111"/>
    </row>
    <row r="102" spans="1:9" ht="17.25" x14ac:dyDescent="0.25">
      <c r="A102" s="111"/>
      <c r="B102" s="111"/>
      <c r="C102" s="160" t="str">
        <f>Mesures_Omia!A50</f>
        <v xml:space="preserve">Sonde </v>
      </c>
      <c r="D102" s="161"/>
      <c r="E102" s="10">
        <v>0</v>
      </c>
      <c r="F102" s="10">
        <v>0</v>
      </c>
      <c r="G102" s="10">
        <v>0</v>
      </c>
      <c r="H102" s="10">
        <v>0</v>
      </c>
      <c r="I102" s="111"/>
    </row>
    <row r="103" spans="1:9" ht="17.25" x14ac:dyDescent="0.25">
      <c r="A103" s="111"/>
      <c r="B103" s="111"/>
      <c r="C103" s="160" t="str">
        <f>Mesures_Omia!A51</f>
        <v xml:space="preserve">Sonde </v>
      </c>
      <c r="D103" s="161"/>
      <c r="E103" s="10">
        <v>0</v>
      </c>
      <c r="F103" s="10">
        <v>0</v>
      </c>
      <c r="G103" s="10">
        <v>0</v>
      </c>
      <c r="H103" s="10">
        <v>0</v>
      </c>
      <c r="I103" s="111"/>
    </row>
    <row r="104" spans="1:9" ht="17.25" x14ac:dyDescent="0.25">
      <c r="A104" s="111"/>
      <c r="B104" s="111"/>
      <c r="C104" s="160" t="str">
        <f>Mesures_Omia!A52</f>
        <v xml:space="preserve">Sonde </v>
      </c>
      <c r="D104" s="161"/>
      <c r="E104" s="10">
        <v>0</v>
      </c>
      <c r="F104" s="10">
        <v>0</v>
      </c>
      <c r="G104" s="10">
        <v>0</v>
      </c>
      <c r="H104" s="10">
        <v>0</v>
      </c>
      <c r="I104" s="111"/>
    </row>
    <row r="105" spans="1:9" ht="17.25" x14ac:dyDescent="0.25">
      <c r="A105" s="111"/>
      <c r="B105" s="111"/>
      <c r="C105" s="160" t="str">
        <f>Mesures_Omia!A53</f>
        <v xml:space="preserve">Sonde </v>
      </c>
      <c r="D105" s="161"/>
      <c r="E105" s="10">
        <v>0</v>
      </c>
      <c r="F105" s="10">
        <v>0</v>
      </c>
      <c r="G105" s="10">
        <v>0</v>
      </c>
      <c r="H105" s="10">
        <v>0</v>
      </c>
      <c r="I105" s="111"/>
    </row>
    <row r="106" spans="1:9" ht="17.25" x14ac:dyDescent="0.25">
      <c r="A106" s="111"/>
      <c r="B106" s="111"/>
      <c r="C106" s="160" t="str">
        <f>Mesures_Omia!A54</f>
        <v xml:space="preserve">Sonde </v>
      </c>
      <c r="D106" s="161"/>
      <c r="E106" s="10">
        <v>0</v>
      </c>
      <c r="F106" s="10">
        <v>0</v>
      </c>
      <c r="G106" s="10">
        <v>0</v>
      </c>
      <c r="H106" s="10">
        <v>0</v>
      </c>
      <c r="I106" s="111"/>
    </row>
    <row r="107" spans="1:9" ht="17.25" x14ac:dyDescent="0.25">
      <c r="A107" s="111"/>
      <c r="B107" s="111"/>
      <c r="C107" s="160" t="str">
        <f>Mesures_Omia!A55</f>
        <v xml:space="preserve">Sonde </v>
      </c>
      <c r="D107" s="161"/>
      <c r="E107" s="10">
        <v>0</v>
      </c>
      <c r="F107" s="10">
        <v>0</v>
      </c>
      <c r="G107" s="10">
        <v>0</v>
      </c>
      <c r="H107" s="10">
        <v>0</v>
      </c>
      <c r="I107" s="111"/>
    </row>
    <row r="108" spans="1:9" ht="17.25" x14ac:dyDescent="0.25">
      <c r="A108" s="111"/>
      <c r="B108" s="111"/>
      <c r="C108" s="160" t="str">
        <f>Mesures_Omia!A56</f>
        <v xml:space="preserve">Sonde </v>
      </c>
      <c r="D108" s="161"/>
      <c r="E108" s="10">
        <v>0</v>
      </c>
      <c r="F108" s="10">
        <v>0</v>
      </c>
      <c r="G108" s="10">
        <v>0</v>
      </c>
      <c r="H108" s="10">
        <v>0</v>
      </c>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17.25" x14ac:dyDescent="0.25">
      <c r="A112" s="111"/>
      <c r="B112" s="111"/>
      <c r="C112" s="111"/>
      <c r="D112" s="111"/>
      <c r="E112" s="111"/>
      <c r="F112" s="111"/>
      <c r="G112" s="111"/>
      <c r="H112" s="111"/>
      <c r="I112" s="111"/>
    </row>
    <row r="113" spans="1:9" ht="17.25" x14ac:dyDescent="0.25">
      <c r="A113" s="111"/>
      <c r="B113" s="111"/>
      <c r="C113" s="111"/>
      <c r="D113" s="111"/>
      <c r="E113" s="111"/>
      <c r="F113" s="111"/>
      <c r="G113" s="111"/>
      <c r="H113" s="111"/>
      <c r="I113" s="111"/>
    </row>
    <row r="114" spans="1:9" ht="17.25" x14ac:dyDescent="0.25">
      <c r="A114" s="111"/>
      <c r="B114" s="111"/>
      <c r="C114" s="111"/>
      <c r="D114" s="111"/>
      <c r="E114" s="111"/>
      <c r="F114" s="111"/>
      <c r="G114" s="111"/>
      <c r="H114" s="111"/>
      <c r="I114" s="111"/>
    </row>
    <row r="115" spans="1:9" ht="17.25" x14ac:dyDescent="0.25">
      <c r="A115" s="111"/>
      <c r="B115" s="111"/>
      <c r="C115" s="111"/>
      <c r="D115" s="111"/>
      <c r="E115" s="111"/>
      <c r="F115" s="111"/>
      <c r="G115" s="111"/>
      <c r="H115" s="111"/>
      <c r="I115" s="111"/>
    </row>
    <row r="116" spans="1:9" ht="21" x14ac:dyDescent="0.25">
      <c r="B116" s="185" t="s">
        <v>183</v>
      </c>
      <c r="C116" s="185"/>
      <c r="D116" s="185"/>
      <c r="E116" s="185"/>
      <c r="F116" s="185"/>
    </row>
    <row r="118" spans="1:9" ht="26.25" x14ac:dyDescent="0.25">
      <c r="B118" s="109" t="s">
        <v>184</v>
      </c>
    </row>
    <row r="119" spans="1:9" ht="21" x14ac:dyDescent="0.3">
      <c r="E119" s="107" t="s">
        <v>185</v>
      </c>
      <c r="F119" s="107"/>
      <c r="G119" s="116">
        <f>Mesures_Omia!K44</f>
        <v>0</v>
      </c>
    </row>
    <row r="120" spans="1:9" ht="21" x14ac:dyDescent="0.3">
      <c r="B120" s="117" t="s">
        <v>186</v>
      </c>
      <c r="C120" s="107" t="s">
        <v>187</v>
      </c>
      <c r="E120" s="107" t="s">
        <v>188</v>
      </c>
      <c r="F120" s="107"/>
      <c r="G120" s="116">
        <f>Mesures_Omia!L44</f>
        <v>0</v>
      </c>
    </row>
    <row r="121" spans="1:9" ht="21" x14ac:dyDescent="0.25">
      <c r="B121" s="117" t="s">
        <v>189</v>
      </c>
      <c r="C121" s="110" t="s">
        <v>190</v>
      </c>
      <c r="E121" s="107" t="s">
        <v>191</v>
      </c>
      <c r="F121" s="107"/>
      <c r="G121" s="118">
        <f>Mesures_Omia!M44</f>
        <v>0</v>
      </c>
    </row>
    <row r="122" spans="1:9" ht="21" x14ac:dyDescent="0.35">
      <c r="B122" s="119" t="s">
        <v>192</v>
      </c>
      <c r="C122" s="120" t="s">
        <v>193</v>
      </c>
      <c r="E122" s="107" t="s">
        <v>194</v>
      </c>
      <c r="F122" s="107"/>
      <c r="G122" s="121" t="e">
        <f>"±" &amp;  SUBSTITUTE(ROUND(AVERAGE(Mesures_Omia!D23:F35),2),"-"," ") &amp; "°C"</f>
        <v>#DIV/0!</v>
      </c>
    </row>
    <row r="127" spans="1:9" ht="36" x14ac:dyDescent="0.25">
      <c r="C127" s="182" t="s">
        <v>195</v>
      </c>
      <c r="D127" s="182"/>
      <c r="E127" s="182"/>
      <c r="F127" s="182"/>
    </row>
    <row r="128" spans="1:9" ht="36" x14ac:dyDescent="0.25">
      <c r="B128" s="104"/>
      <c r="C128" s="104"/>
      <c r="D128" s="104"/>
    </row>
    <row r="129" spans="2:9" x14ac:dyDescent="0.25">
      <c r="B129" s="173"/>
      <c r="C129" s="173"/>
      <c r="D129" s="173"/>
      <c r="E129" s="173"/>
      <c r="F129" s="173"/>
      <c r="G129" s="173"/>
      <c r="H129" s="173"/>
      <c r="I129" s="173"/>
    </row>
    <row r="130" spans="2:9" x14ac:dyDescent="0.25">
      <c r="B130" s="173"/>
      <c r="C130" s="173"/>
      <c r="D130" s="173"/>
      <c r="E130" s="173"/>
      <c r="F130" s="173"/>
      <c r="G130" s="173"/>
      <c r="H130" s="173"/>
      <c r="I130" s="173"/>
    </row>
    <row r="131" spans="2:9" x14ac:dyDescent="0.25">
      <c r="B131" s="173"/>
      <c r="C131" s="173"/>
      <c r="D131" s="173"/>
      <c r="E131" s="173"/>
      <c r="F131" s="173"/>
      <c r="G131" s="173"/>
      <c r="H131" s="173"/>
      <c r="I131" s="173"/>
    </row>
    <row r="132" spans="2:9" x14ac:dyDescent="0.25">
      <c r="B132" s="173"/>
      <c r="C132" s="173"/>
      <c r="D132" s="173"/>
      <c r="E132" s="173"/>
      <c r="F132" s="173"/>
      <c r="G132" s="173"/>
      <c r="H132" s="173"/>
      <c r="I132" s="173"/>
    </row>
    <row r="133" spans="2:9" x14ac:dyDescent="0.25">
      <c r="B133" s="173"/>
      <c r="C133" s="173"/>
      <c r="D133" s="173"/>
      <c r="E133" s="173"/>
      <c r="F133" s="173"/>
      <c r="G133" s="173"/>
      <c r="H133" s="173"/>
      <c r="I133" s="173"/>
    </row>
    <row r="134" spans="2:9" x14ac:dyDescent="0.25">
      <c r="B134" s="173"/>
      <c r="C134" s="173"/>
      <c r="D134" s="173"/>
      <c r="E134" s="173"/>
      <c r="F134" s="173"/>
      <c r="G134" s="173"/>
      <c r="H134" s="173"/>
      <c r="I134" s="173"/>
    </row>
    <row r="135" spans="2:9" x14ac:dyDescent="0.25">
      <c r="B135" s="173"/>
      <c r="C135" s="173"/>
      <c r="D135" s="173"/>
      <c r="E135" s="173"/>
      <c r="F135" s="173"/>
      <c r="G135" s="173"/>
      <c r="H135" s="173"/>
      <c r="I135" s="173"/>
    </row>
    <row r="136" spans="2:9" x14ac:dyDescent="0.25">
      <c r="B136" s="173"/>
      <c r="C136" s="173"/>
      <c r="D136" s="173"/>
      <c r="E136" s="173"/>
      <c r="F136" s="173"/>
      <c r="G136" s="173"/>
      <c r="H136" s="173"/>
      <c r="I136" s="173"/>
    </row>
    <row r="137" spans="2:9" x14ac:dyDescent="0.25">
      <c r="B137" s="173"/>
      <c r="C137" s="173"/>
      <c r="D137" s="173"/>
      <c r="E137" s="173"/>
      <c r="F137" s="173"/>
      <c r="G137" s="173"/>
      <c r="H137" s="173"/>
      <c r="I137" s="173"/>
    </row>
    <row r="138" spans="2:9" x14ac:dyDescent="0.25">
      <c r="B138" s="173"/>
      <c r="C138" s="173"/>
      <c r="D138" s="173"/>
      <c r="E138" s="173"/>
      <c r="F138" s="173"/>
      <c r="G138" s="173"/>
      <c r="H138" s="173"/>
      <c r="I138" s="173"/>
    </row>
    <row r="139" spans="2:9" x14ac:dyDescent="0.25">
      <c r="B139" s="173"/>
      <c r="C139" s="173"/>
      <c r="D139" s="173"/>
      <c r="E139" s="173"/>
      <c r="F139" s="173"/>
      <c r="G139" s="173"/>
      <c r="H139" s="173"/>
      <c r="I139" s="173"/>
    </row>
    <row r="140" spans="2:9" x14ac:dyDescent="0.25">
      <c r="B140" s="173"/>
      <c r="C140" s="173"/>
      <c r="D140" s="173"/>
      <c r="E140" s="173"/>
      <c r="F140" s="173"/>
      <c r="G140" s="173"/>
      <c r="H140" s="173"/>
      <c r="I140" s="173"/>
    </row>
    <row r="141" spans="2:9" x14ac:dyDescent="0.25">
      <c r="B141" s="173"/>
      <c r="C141" s="173"/>
      <c r="D141" s="173"/>
      <c r="E141" s="173"/>
      <c r="F141" s="173"/>
      <c r="G141" s="173"/>
      <c r="H141" s="173"/>
      <c r="I141" s="173"/>
    </row>
    <row r="142" spans="2:9" x14ac:dyDescent="0.25">
      <c r="B142" s="173"/>
      <c r="C142" s="173"/>
      <c r="D142" s="173"/>
      <c r="E142" s="173"/>
      <c r="F142" s="173"/>
      <c r="G142" s="173"/>
      <c r="H142" s="173"/>
      <c r="I142" s="173"/>
    </row>
    <row r="143" spans="2:9" x14ac:dyDescent="0.25">
      <c r="B143" s="173"/>
      <c r="C143" s="173"/>
      <c r="D143" s="173"/>
      <c r="E143" s="173"/>
      <c r="F143" s="173"/>
      <c r="G143" s="173"/>
      <c r="H143" s="173"/>
      <c r="I143" s="173"/>
    </row>
    <row r="144" spans="2:9" x14ac:dyDescent="0.25">
      <c r="B144" s="173"/>
      <c r="C144" s="173"/>
      <c r="D144" s="173"/>
      <c r="E144" s="173"/>
      <c r="F144" s="173"/>
      <c r="G144" s="173"/>
      <c r="H144" s="173"/>
      <c r="I144" s="173"/>
    </row>
    <row r="163" spans="1:8" ht="36" x14ac:dyDescent="0.25">
      <c r="C163" s="182" t="s">
        <v>249</v>
      </c>
      <c r="D163" s="182"/>
      <c r="E163" s="182"/>
      <c r="F163" s="182"/>
      <c r="G163" s="182"/>
      <c r="H163" s="182"/>
    </row>
    <row r="166" spans="1:8" ht="15.75" thickBot="1" x14ac:dyDescent="0.3"/>
    <row r="167" spans="1:8" ht="15.75" thickBot="1" x14ac:dyDescent="0.3">
      <c r="A167" s="12" t="s">
        <v>9</v>
      </c>
      <c r="B167" s="13" t="s">
        <v>12</v>
      </c>
      <c r="C167" s="13" t="s">
        <v>15</v>
      </c>
    </row>
    <row r="168" spans="1:8" x14ac:dyDescent="0.25">
      <c r="A168" s="15">
        <v>1</v>
      </c>
      <c r="B168" s="16">
        <f>Mesures_Omia!B23</f>
        <v>0</v>
      </c>
      <c r="C168" s="17">
        <f>Mesures_Omia!C23</f>
        <v>0</v>
      </c>
    </row>
    <row r="169" spans="1:8" x14ac:dyDescent="0.25">
      <c r="A169" s="19">
        <v>2</v>
      </c>
      <c r="B169" s="16">
        <f>Mesures_Omia!B24</f>
        <v>0</v>
      </c>
      <c r="C169" s="17">
        <f>Mesures_Omia!C24</f>
        <v>0</v>
      </c>
    </row>
    <row r="170" spans="1:8" x14ac:dyDescent="0.25">
      <c r="A170" s="15">
        <v>3</v>
      </c>
      <c r="B170" s="16">
        <f>Mesures_Omia!B25</f>
        <v>0</v>
      </c>
      <c r="C170" s="17">
        <f>Mesures_Omia!C25</f>
        <v>0</v>
      </c>
    </row>
    <row r="171" spans="1:8" x14ac:dyDescent="0.25">
      <c r="A171" s="19">
        <v>4</v>
      </c>
      <c r="B171" s="16">
        <f>Mesures_Omia!B26</f>
        <v>0</v>
      </c>
      <c r="C171" s="17">
        <f>Mesures_Omia!C26</f>
        <v>0</v>
      </c>
    </row>
    <row r="172" spans="1:8" x14ac:dyDescent="0.25">
      <c r="A172" s="15">
        <v>5</v>
      </c>
      <c r="B172" s="16">
        <f>Mesures_Omia!B27</f>
        <v>0</v>
      </c>
      <c r="C172" s="17">
        <f>Mesures_Omia!C27</f>
        <v>0</v>
      </c>
    </row>
    <row r="173" spans="1:8" x14ac:dyDescent="0.25">
      <c r="A173" s="19">
        <v>6</v>
      </c>
      <c r="B173" s="16">
        <f>Mesures_Omia!B28</f>
        <v>0</v>
      </c>
      <c r="C173" s="17">
        <f>Mesures_Omia!C28</f>
        <v>0</v>
      </c>
    </row>
    <row r="174" spans="1:8" x14ac:dyDescent="0.25">
      <c r="A174" s="15">
        <v>7</v>
      </c>
      <c r="B174" s="16">
        <f>Mesures_Omia!B29</f>
        <v>0</v>
      </c>
      <c r="C174" s="17">
        <f>Mesures_Omia!C29</f>
        <v>0</v>
      </c>
    </row>
    <row r="175" spans="1:8" x14ac:dyDescent="0.25">
      <c r="A175" s="19">
        <v>8</v>
      </c>
      <c r="B175" s="16">
        <f>Mesures_Omia!B30</f>
        <v>0</v>
      </c>
      <c r="C175" s="17">
        <f>Mesures_Omia!C30</f>
        <v>0</v>
      </c>
    </row>
    <row r="176" spans="1:8" x14ac:dyDescent="0.25">
      <c r="A176" s="15">
        <v>9</v>
      </c>
      <c r="B176" s="16">
        <f>Mesures_Omia!B31</f>
        <v>0</v>
      </c>
      <c r="C176" s="17">
        <f>Mesures_Omia!C31</f>
        <v>0</v>
      </c>
    </row>
    <row r="177" spans="1:3" x14ac:dyDescent="0.25">
      <c r="A177" s="19">
        <v>10</v>
      </c>
      <c r="B177" s="16">
        <f>Mesures_Omia!B32</f>
        <v>0</v>
      </c>
      <c r="C177" s="17">
        <f>Mesures_Omia!C32</f>
        <v>0</v>
      </c>
    </row>
    <row r="178" spans="1:3" x14ac:dyDescent="0.25">
      <c r="A178" s="15">
        <v>11</v>
      </c>
      <c r="B178" s="16">
        <f>Mesures_Omia!B33</f>
        <v>0</v>
      </c>
      <c r="C178" s="17">
        <f>Mesures_Omia!C33</f>
        <v>0</v>
      </c>
    </row>
    <row r="179" spans="1:3" x14ac:dyDescent="0.25">
      <c r="A179" s="19">
        <v>12</v>
      </c>
      <c r="B179" s="16">
        <f>Mesures_Omia!B34</f>
        <v>0</v>
      </c>
      <c r="C179" s="17">
        <f>Mesures_Omia!C34</f>
        <v>0</v>
      </c>
    </row>
    <row r="180" spans="1:3" x14ac:dyDescent="0.25">
      <c r="A180" s="19">
        <v>13</v>
      </c>
      <c r="B180" s="16">
        <f>Mesures_Omia!B35</f>
        <v>0</v>
      </c>
      <c r="C180" s="17">
        <f>Mesures_Omia!C35</f>
        <v>0</v>
      </c>
    </row>
    <row r="196" spans="1:9" ht="36" x14ac:dyDescent="0.25">
      <c r="C196" s="182" t="s">
        <v>250</v>
      </c>
      <c r="D196" s="182"/>
      <c r="E196" s="182"/>
      <c r="F196" s="182"/>
      <c r="G196" s="182"/>
      <c r="H196" s="182"/>
    </row>
    <row r="200" spans="1:9" x14ac:dyDescent="0.25">
      <c r="A200" s="122" t="s">
        <v>251</v>
      </c>
      <c r="B200" s="124">
        <v>60</v>
      </c>
      <c r="G200" s="186" t="s">
        <v>198</v>
      </c>
      <c r="H200" s="187"/>
      <c r="I200" s="188"/>
    </row>
    <row r="201" spans="1:9" x14ac:dyDescent="0.25">
      <c r="A201" s="122" t="s">
        <v>252</v>
      </c>
      <c r="B201" s="151">
        <f>Mesures_Omia!B20</f>
        <v>0</v>
      </c>
      <c r="G201" s="22" t="s">
        <v>199</v>
      </c>
      <c r="H201" s="22" t="s">
        <v>200</v>
      </c>
      <c r="I201" s="22" t="s">
        <v>201</v>
      </c>
    </row>
    <row r="202" spans="1:9" x14ac:dyDescent="0.25">
      <c r="G202" s="125">
        <f>Omia_60°C!B11</f>
        <v>0</v>
      </c>
      <c r="H202" s="125">
        <f>Omia_60°C!B41</f>
        <v>0</v>
      </c>
      <c r="I202" s="125">
        <f>H202-G202</f>
        <v>0</v>
      </c>
    </row>
    <row r="205" spans="1:9" ht="23.25" x14ac:dyDescent="0.25">
      <c r="B205" s="189" t="s">
        <v>202</v>
      </c>
      <c r="C205" s="189"/>
    </row>
    <row r="208" spans="1:9" ht="30" x14ac:dyDescent="0.25">
      <c r="B208" s="126" t="s">
        <v>203</v>
      </c>
      <c r="C208" s="127" t="s">
        <v>204</v>
      </c>
      <c r="D208" s="127" t="s">
        <v>119</v>
      </c>
      <c r="E208" s="128" t="s">
        <v>205</v>
      </c>
      <c r="F208" s="127" t="s">
        <v>206</v>
      </c>
    </row>
    <row r="209" spans="1:6" x14ac:dyDescent="0.25">
      <c r="B209" s="129" t="s">
        <v>207</v>
      </c>
      <c r="C209" s="130" t="str">
        <f>"60°C"</f>
        <v>60°C</v>
      </c>
      <c r="D209" s="130" t="s">
        <v>208</v>
      </c>
      <c r="E209" s="130" t="s">
        <v>208</v>
      </c>
      <c r="F209" s="131" t="s">
        <v>208</v>
      </c>
    </row>
    <row r="210" spans="1:6" x14ac:dyDescent="0.25">
      <c r="B210" s="129" t="s">
        <v>209</v>
      </c>
      <c r="C210" s="130" t="str">
        <f>"60°C"</f>
        <v>60°C</v>
      </c>
      <c r="D210" s="130" t="s">
        <v>208</v>
      </c>
      <c r="E210" s="130" t="s">
        <v>208</v>
      </c>
      <c r="F210" s="131" t="s">
        <v>208</v>
      </c>
    </row>
    <row r="211" spans="1:6" x14ac:dyDescent="0.25">
      <c r="A211" s="190" t="s">
        <v>210</v>
      </c>
      <c r="B211" s="129" t="s">
        <v>211</v>
      </c>
      <c r="C211" s="132" t="e">
        <f>MAX(Omia_60°C!C48:O48)</f>
        <v>#N/A</v>
      </c>
      <c r="D211" s="130" t="e">
        <f>_xlfn.XLOOKUP(INT(SUBSTITUTE(E211,"Connecteur ","")),Mesures_Omia!C23:C35,Mesures_Omia!A23:A35)</f>
        <v>#N/A</v>
      </c>
      <c r="E211" s="130" t="e" cm="1">
        <f t="array" ref="E211">_xlfn.XLOOKUP(MAX(Omia_60°C!C48:O48),Omia_60°C!C48:O48,_xlfn.ANCHORARRAY(Omia_60°C!C47))</f>
        <v>#N/A</v>
      </c>
      <c r="F211" s="130" t="e">
        <f>_xlfn.XLOOKUP(INT(SUBSTITUTE(E211,"Connecteur ","")),Mesures_Omia!C23:C35,Mesures_Omia!B23:B35)</f>
        <v>#N/A</v>
      </c>
    </row>
    <row r="212" spans="1:6" x14ac:dyDescent="0.25">
      <c r="A212" s="190"/>
      <c r="B212" s="129" t="s">
        <v>212</v>
      </c>
      <c r="C212" s="132" t="e">
        <f>MIN(Omia_60°C!C48:O48)</f>
        <v>#N/A</v>
      </c>
      <c r="D212" s="130" t="e">
        <f>_xlfn.XLOOKUP(INT(SUBSTITUTE(E212,"Connecteur ","")),Mesures_Omia!C23:C35,Mesures_Omia!A23:A35)</f>
        <v>#N/A</v>
      </c>
      <c r="E212" s="130" t="e" cm="1">
        <f t="array" ref="E212">_xlfn.XLOOKUP(MIN(Omia_60°C!C48:O48),Omia_60°C!C48:O48,_xlfn.ANCHORARRAY(Omia_60°C!C47))</f>
        <v>#N/A</v>
      </c>
      <c r="F212" s="131" t="e">
        <f>_xlfn.XLOOKUP(INT(SUBSTITUTE(E212,"Connecteur ","")),Mesures_Omia!C23:C35,Mesures_Omia!B23:B35)</f>
        <v>#N/A</v>
      </c>
    </row>
    <row r="213" spans="1:6" x14ac:dyDescent="0.25">
      <c r="A213" s="190"/>
      <c r="B213" s="129" t="s">
        <v>213</v>
      </c>
      <c r="C213" s="132" t="e">
        <f>MIN(Omia_60°C!C49:O49)</f>
        <v>#N/A</v>
      </c>
      <c r="D213" s="130" t="e">
        <f>_xlfn.XLOOKUP(INT(SUBSTITUTE(E213,"Connecteur ","")),Mesures_Omia!C23:C35,Mesures_Omia!A23:A35)</f>
        <v>#N/A</v>
      </c>
      <c r="E213" s="130" t="e" cm="1">
        <f t="array" ref="E213">_xlfn.XLOOKUP(MIN(Omia_60°C!C49:O49),Omia_60°C!C49:O49,_xlfn.ANCHORARRAY(Omia_60°C!C47))</f>
        <v>#N/A</v>
      </c>
      <c r="F213" s="131" t="e">
        <f>_xlfn.XLOOKUP(INT(SUBSTITUTE(E213,"Connecteur ","")),Mesures_Omia!C23:C35,Mesures_Omia!B23:B35)</f>
        <v>#N/A</v>
      </c>
    </row>
    <row r="214" spans="1:6" x14ac:dyDescent="0.25">
      <c r="A214" s="190"/>
      <c r="B214" s="129" t="s">
        <v>214</v>
      </c>
      <c r="C214" s="132" t="e">
        <f>AVERAGE(Omia_60°C!C50:O50)</f>
        <v>#N/A</v>
      </c>
      <c r="D214" s="130" t="s">
        <v>208</v>
      </c>
      <c r="E214" s="130" t="s">
        <v>208</v>
      </c>
      <c r="F214" s="131" t="s">
        <v>208</v>
      </c>
    </row>
    <row r="215" spans="1:6" x14ac:dyDescent="0.25">
      <c r="C215" s="89"/>
      <c r="D215" s="89"/>
      <c r="E215" s="89"/>
      <c r="F215" s="89"/>
    </row>
    <row r="226" spans="1:14" ht="36" x14ac:dyDescent="0.25">
      <c r="B226" s="182" t="s">
        <v>253</v>
      </c>
      <c r="C226" s="182"/>
      <c r="D226" s="182"/>
      <c r="E226" s="182"/>
      <c r="F226" s="182"/>
    </row>
    <row r="229" spans="1:14" x14ac:dyDescent="0.25">
      <c r="B229" s="173" t="s">
        <v>216</v>
      </c>
      <c r="C229" s="173"/>
    </row>
    <row r="233" spans="1:14" x14ac:dyDescent="0.25">
      <c r="A233" s="1"/>
      <c r="B233" s="152" t="str" cm="1">
        <f t="array" ref="B233:N233">Donnees_Brutes_60[[#Headers],[Connecteur 1]:[Connecteur 13]]</f>
        <v>Connecteur 1</v>
      </c>
      <c r="C233" s="152" t="str">
        <v>Connecteur 2</v>
      </c>
      <c r="D233" s="152" t="str">
        <v>Connecteur 3</v>
      </c>
      <c r="E233" s="152" t="str">
        <v>Connecteur 4</v>
      </c>
      <c r="F233" s="152" t="str">
        <v>Connecteur 5</v>
      </c>
      <c r="G233" s="152" t="str">
        <v>Connecteur 6</v>
      </c>
      <c r="H233" s="152" t="str">
        <v>Connecteur 7</v>
      </c>
      <c r="I233" s="152" t="str">
        <v>Connecteur 8</v>
      </c>
      <c r="J233" s="152" t="str">
        <v>Connecteur 9</v>
      </c>
      <c r="K233" s="152" t="str">
        <v>Connecteur 10</v>
      </c>
      <c r="L233" s="152" t="str">
        <v>Connecteur 11</v>
      </c>
      <c r="M233" s="152" t="str">
        <v>Connecteur 12</v>
      </c>
      <c r="N233" s="152" t="str">
        <v>Connecteur 13</v>
      </c>
    </row>
    <row r="234" spans="1:14" x14ac:dyDescent="0.25">
      <c r="A234" s="42" t="s">
        <v>98</v>
      </c>
      <c r="B234" s="43" t="e">
        <f>Omia_60°C!C48</f>
        <v>#N/A</v>
      </c>
      <c r="C234" s="43" t="e">
        <f>Omia_60°C!D48</f>
        <v>#N/A</v>
      </c>
      <c r="D234" s="43" t="e">
        <f>Omia_60°C!E48</f>
        <v>#N/A</v>
      </c>
      <c r="E234" s="43" t="e">
        <f>Omia_60°C!F48</f>
        <v>#N/A</v>
      </c>
      <c r="F234" s="43" t="e">
        <f>Omia_60°C!G48</f>
        <v>#N/A</v>
      </c>
      <c r="G234" s="43" t="e">
        <f>Omia_60°C!H48</f>
        <v>#N/A</v>
      </c>
      <c r="H234" s="43" t="e">
        <f>Omia_60°C!I48</f>
        <v>#N/A</v>
      </c>
      <c r="I234" s="43" t="e">
        <f>Omia_60°C!J48</f>
        <v>#N/A</v>
      </c>
      <c r="J234" s="43" t="e">
        <f>Omia_60°C!K48</f>
        <v>#N/A</v>
      </c>
      <c r="K234" s="43" t="e">
        <f>Omia_60°C!L48</f>
        <v>#N/A</v>
      </c>
      <c r="L234" s="43" t="e">
        <f>Omia_60°C!M48</f>
        <v>#N/A</v>
      </c>
      <c r="M234" s="43" t="e">
        <f>Omia_60°C!N48</f>
        <v>#N/A</v>
      </c>
      <c r="N234" s="43" t="e">
        <f>Omia_60°C!O48</f>
        <v>#N/A</v>
      </c>
    </row>
    <row r="235" spans="1:14" x14ac:dyDescent="0.25">
      <c r="A235" s="42" t="s">
        <v>100</v>
      </c>
      <c r="B235" s="43" t="e">
        <f>Omia_60°C!C49</f>
        <v>#N/A</v>
      </c>
      <c r="C235" s="43" t="e">
        <f>Omia_60°C!D49</f>
        <v>#N/A</v>
      </c>
      <c r="D235" s="43" t="e">
        <f>Omia_60°C!E49</f>
        <v>#N/A</v>
      </c>
      <c r="E235" s="43" t="e">
        <f>Omia_60°C!F49</f>
        <v>#N/A</v>
      </c>
      <c r="F235" s="43" t="e">
        <f>Omia_60°C!G49</f>
        <v>#N/A</v>
      </c>
      <c r="G235" s="43" t="e">
        <f>Omia_60°C!H49</f>
        <v>#N/A</v>
      </c>
      <c r="H235" s="43" t="e">
        <f>Omia_60°C!I49</f>
        <v>#N/A</v>
      </c>
      <c r="I235" s="43" t="e">
        <f>Omia_60°C!J49</f>
        <v>#N/A</v>
      </c>
      <c r="J235" s="43" t="e">
        <f>Omia_60°C!K49</f>
        <v>#N/A</v>
      </c>
      <c r="K235" s="43" t="e">
        <f>Omia_60°C!L49</f>
        <v>#N/A</v>
      </c>
      <c r="L235" s="43" t="e">
        <f>Omia_60°C!M49</f>
        <v>#N/A</v>
      </c>
      <c r="M235" s="43" t="e">
        <f>Omia_60°C!N49</f>
        <v>#N/A</v>
      </c>
      <c r="N235" s="43" t="e">
        <f>Omia_60°C!O49</f>
        <v>#N/A</v>
      </c>
    </row>
    <row r="236" spans="1:14" x14ac:dyDescent="0.25">
      <c r="A236" s="42" t="s">
        <v>102</v>
      </c>
      <c r="B236" s="43" t="e">
        <f>Omia_60°C!C50</f>
        <v>#N/A</v>
      </c>
      <c r="C236" s="43" t="e">
        <f>Omia_60°C!D50</f>
        <v>#N/A</v>
      </c>
      <c r="D236" s="43" t="e">
        <f>Omia_60°C!E50</f>
        <v>#N/A</v>
      </c>
      <c r="E236" s="43" t="e">
        <f>Omia_60°C!F50</f>
        <v>#N/A</v>
      </c>
      <c r="F236" s="43" t="e">
        <f>Omia_60°C!G50</f>
        <v>#N/A</v>
      </c>
      <c r="G236" s="43" t="e">
        <f>Omia_60°C!H50</f>
        <v>#N/A</v>
      </c>
      <c r="H236" s="43" t="e">
        <f>Omia_60°C!I50</f>
        <v>#N/A</v>
      </c>
      <c r="I236" s="43" t="e">
        <f>Omia_60°C!J50</f>
        <v>#N/A</v>
      </c>
      <c r="J236" s="43" t="e">
        <f>Omia_60°C!K50</f>
        <v>#N/A</v>
      </c>
      <c r="K236" s="43" t="e">
        <f>Omia_60°C!L50</f>
        <v>#N/A</v>
      </c>
      <c r="L236" s="43" t="e">
        <f>Omia_60°C!M50</f>
        <v>#N/A</v>
      </c>
      <c r="M236" s="43" t="e">
        <f>Omia_60°C!N50</f>
        <v>#N/A</v>
      </c>
      <c r="N236" s="43" t="e">
        <f>Omia_60°C!O50</f>
        <v>#N/A</v>
      </c>
    </row>
    <row r="237" spans="1:14" x14ac:dyDescent="0.25">
      <c r="A237" s="42" t="s">
        <v>103</v>
      </c>
      <c r="B237" s="43" t="e">
        <f>Omia_60°C!C51</f>
        <v>#N/A</v>
      </c>
      <c r="C237" s="43" t="e">
        <f>Omia_60°C!D51</f>
        <v>#N/A</v>
      </c>
      <c r="D237" s="43" t="e">
        <f>Omia_60°C!E51</f>
        <v>#N/A</v>
      </c>
      <c r="E237" s="43" t="e">
        <f>Omia_60°C!F51</f>
        <v>#N/A</v>
      </c>
      <c r="F237" s="43" t="e">
        <f>Omia_60°C!G51</f>
        <v>#N/A</v>
      </c>
      <c r="G237" s="43" t="e">
        <f>Omia_60°C!H51</f>
        <v>#N/A</v>
      </c>
      <c r="H237" s="43" t="e">
        <f>Omia_60°C!I51</f>
        <v>#N/A</v>
      </c>
      <c r="I237" s="43" t="e">
        <f>Omia_60°C!J51</f>
        <v>#N/A</v>
      </c>
      <c r="J237" s="43" t="e">
        <f>Omia_60°C!K51</f>
        <v>#N/A</v>
      </c>
      <c r="K237" s="43" t="e">
        <f>Omia_60°C!L51</f>
        <v>#N/A</v>
      </c>
      <c r="L237" s="43" t="e">
        <f>Omia_60°C!M51</f>
        <v>#N/A</v>
      </c>
      <c r="M237" s="43" t="e">
        <f>Omia_60°C!N51</f>
        <v>#N/A</v>
      </c>
      <c r="N237" s="43" t="e">
        <f>Omia_60°C!O51</f>
        <v>#N/A</v>
      </c>
    </row>
    <row r="238" spans="1:14" x14ac:dyDescent="0.25">
      <c r="A238" s="42" t="s">
        <v>104</v>
      </c>
      <c r="B238" s="217" t="e">
        <f>Omia_60°C!C52</f>
        <v>#N/A</v>
      </c>
      <c r="C238" s="218"/>
      <c r="D238" s="218"/>
      <c r="E238" s="218"/>
      <c r="F238" s="218"/>
      <c r="G238" s="218"/>
      <c r="H238" s="218"/>
      <c r="I238" s="218"/>
      <c r="J238" s="218"/>
      <c r="K238" s="218"/>
      <c r="L238" s="218"/>
      <c r="M238" s="218"/>
      <c r="N238" s="219"/>
    </row>
    <row r="239" spans="1:14" x14ac:dyDescent="0.25">
      <c r="A239" s="42" t="s">
        <v>105</v>
      </c>
      <c r="B239" s="217" t="e">
        <f>Omia_60°C!C53</f>
        <v>#N/A</v>
      </c>
      <c r="C239" s="218"/>
      <c r="D239" s="218"/>
      <c r="E239" s="218"/>
      <c r="F239" s="218"/>
      <c r="G239" s="218"/>
      <c r="H239" s="218"/>
      <c r="I239" s="218"/>
      <c r="J239" s="218"/>
      <c r="K239" s="218"/>
      <c r="L239" s="218"/>
      <c r="M239" s="218"/>
      <c r="N239" s="219"/>
    </row>
    <row r="240" spans="1:14" x14ac:dyDescent="0.25">
      <c r="A240" s="36" t="s">
        <v>106</v>
      </c>
      <c r="B240" s="153" t="e" cm="1">
        <f t="array" aca="1" ref="B240:N240" ca="1">Omia_60°C!C54:O54</f>
        <v>#REF!</v>
      </c>
      <c r="C240" s="154" t="e">
        <f ca="1"/>
        <v>#REF!</v>
      </c>
      <c r="D240" s="154" t="e">
        <f ca="1"/>
        <v>#REF!</v>
      </c>
      <c r="E240" s="154" t="e">
        <f ca="1"/>
        <v>#REF!</v>
      </c>
      <c r="F240" s="154" t="e">
        <f ca="1"/>
        <v>#REF!</v>
      </c>
      <c r="G240" s="154" t="e">
        <f ca="1"/>
        <v>#REF!</v>
      </c>
      <c r="H240" s="154" t="e">
        <f ca="1"/>
        <v>#REF!</v>
      </c>
      <c r="I240" s="154" t="e">
        <f ca="1"/>
        <v>#REF!</v>
      </c>
      <c r="J240" s="154" t="e">
        <f ca="1"/>
        <v>#REF!</v>
      </c>
      <c r="K240" s="154" t="e">
        <f ca="1"/>
        <v>#REF!</v>
      </c>
      <c r="L240" s="154" t="e">
        <f ca="1"/>
        <v>#REF!</v>
      </c>
      <c r="M240" s="154" t="e">
        <f ca="1"/>
        <v>#REF!</v>
      </c>
      <c r="N240" s="154" t="e">
        <f ca="1"/>
        <v>#REF!</v>
      </c>
    </row>
    <row r="252" spans="2:6" x14ac:dyDescent="0.25">
      <c r="B252" s="135"/>
    </row>
    <row r="254" spans="2:6" ht="36" x14ac:dyDescent="0.3">
      <c r="C254" s="136" t="s">
        <v>254</v>
      </c>
      <c r="D254" s="137"/>
      <c r="E254" s="137"/>
      <c r="F254" s="137"/>
    </row>
    <row r="257" spans="2:2" x14ac:dyDescent="0.25">
      <c r="B257" t="s">
        <v>223</v>
      </c>
    </row>
    <row r="299" spans="1:9" x14ac:dyDescent="0.25">
      <c r="A299" s="122" t="s">
        <v>251</v>
      </c>
      <c r="B299" s="124">
        <v>150</v>
      </c>
      <c r="G299" s="186" t="s">
        <v>198</v>
      </c>
      <c r="H299" s="187"/>
      <c r="I299" s="188"/>
    </row>
    <row r="300" spans="1:9" x14ac:dyDescent="0.25">
      <c r="A300" s="122" t="s">
        <v>252</v>
      </c>
      <c r="B300" s="151">
        <f>Mesures_Omia!B20</f>
        <v>0</v>
      </c>
      <c r="G300" s="22" t="s">
        <v>199</v>
      </c>
      <c r="H300" s="22" t="s">
        <v>200</v>
      </c>
      <c r="I300" s="22" t="s">
        <v>201</v>
      </c>
    </row>
    <row r="301" spans="1:9" x14ac:dyDescent="0.25">
      <c r="G301" s="125">
        <f>Omia_150°C!B11</f>
        <v>0</v>
      </c>
      <c r="H301" s="125">
        <f>Omia_150°C!B41</f>
        <v>0</v>
      </c>
      <c r="I301" s="125">
        <f>H301-G301</f>
        <v>0</v>
      </c>
    </row>
    <row r="304" spans="1:9" ht="23.25" x14ac:dyDescent="0.25">
      <c r="B304" s="189" t="s">
        <v>202</v>
      </c>
      <c r="C304" s="189"/>
    </row>
    <row r="307" spans="1:6" ht="30" x14ac:dyDescent="0.25">
      <c r="B307" s="126" t="s">
        <v>203</v>
      </c>
      <c r="C307" s="127" t="s">
        <v>204</v>
      </c>
      <c r="D307" s="127" t="s">
        <v>119</v>
      </c>
      <c r="E307" s="128" t="s">
        <v>205</v>
      </c>
      <c r="F307" s="127" t="s">
        <v>206</v>
      </c>
    </row>
    <row r="308" spans="1:6" x14ac:dyDescent="0.25">
      <c r="B308" s="129" t="s">
        <v>207</v>
      </c>
      <c r="C308" s="130" t="str">
        <f>"150°C"</f>
        <v>150°C</v>
      </c>
      <c r="D308" s="130" t="s">
        <v>208</v>
      </c>
      <c r="E308" s="130" t="s">
        <v>208</v>
      </c>
      <c r="F308" s="131" t="s">
        <v>208</v>
      </c>
    </row>
    <row r="309" spans="1:6" x14ac:dyDescent="0.25">
      <c r="B309" s="129" t="s">
        <v>209</v>
      </c>
      <c r="C309" s="130" t="str">
        <f>"150°C"</f>
        <v>150°C</v>
      </c>
      <c r="D309" s="130" t="s">
        <v>208</v>
      </c>
      <c r="E309" s="130" t="s">
        <v>208</v>
      </c>
      <c r="F309" s="131" t="s">
        <v>208</v>
      </c>
    </row>
    <row r="310" spans="1:6" x14ac:dyDescent="0.25">
      <c r="A310" s="190" t="s">
        <v>210</v>
      </c>
      <c r="B310" s="129" t="s">
        <v>211</v>
      </c>
      <c r="C310" s="132" t="e">
        <f>MAX(Omia_150°C!C48:O48)</f>
        <v>#N/A</v>
      </c>
      <c r="D310" s="130" t="e">
        <f>_xlfn.XLOOKUP(INT(SUBSTITUTE(E310,"Connecteur ","")),Mesures_Omia!C23:C35,Mesures_Omia!A23:A35)</f>
        <v>#N/A</v>
      </c>
      <c r="E310" s="130" t="e" cm="1">
        <f t="array" ref="E310">_xlfn.XLOOKUP(MAX(Omia_150°C!C48:O48),Omia_150°C!C48:O48,_xlfn.ANCHORARRAY(Omia_150°C!C47))</f>
        <v>#N/A</v>
      </c>
      <c r="F310" s="130" t="e">
        <f>_xlfn.XLOOKUP(INT(SUBSTITUTE(E310,"Connecteur ","")),Mesures_Omia!C23:C35,Mesures_Omia!B23:B35)</f>
        <v>#N/A</v>
      </c>
    </row>
    <row r="311" spans="1:6" x14ac:dyDescent="0.25">
      <c r="A311" s="190"/>
      <c r="B311" s="129" t="s">
        <v>212</v>
      </c>
      <c r="C311" s="132" t="e">
        <f>MIN(Omia_150°C!C48:O48)</f>
        <v>#N/A</v>
      </c>
      <c r="D311" s="130" t="e">
        <f>_xlfn.XLOOKUP(INT(SUBSTITUTE(E311,"Connecteur ","")),Mesures_Omia!C23:C35,Mesures_Omia!A23:A35)</f>
        <v>#N/A</v>
      </c>
      <c r="E311" s="130" t="e" cm="1">
        <f t="array" ref="E311">_xlfn.XLOOKUP(MIN(Omia_150°C!C48:O48),Omia_150°C!C48:O48,_xlfn.ANCHORARRAY(Omia_150°C!C47))</f>
        <v>#N/A</v>
      </c>
      <c r="F311" s="131" t="e">
        <f>_xlfn.XLOOKUP(INT(SUBSTITUTE(E311,"Connecteur ","")),Mesures_Omia!C23:C35,Mesures_Omia!B23:B35)</f>
        <v>#N/A</v>
      </c>
    </row>
    <row r="312" spans="1:6" x14ac:dyDescent="0.25">
      <c r="A312" s="190"/>
      <c r="B312" s="129" t="s">
        <v>213</v>
      </c>
      <c r="C312" s="132" t="e">
        <f>MIN(Omia_150°C!C48:O48)</f>
        <v>#N/A</v>
      </c>
      <c r="D312" s="130" t="e">
        <f>_xlfn.XLOOKUP(INT(SUBSTITUTE(E312,"Connecteur ","")),Mesures_Omia!C24:C36,Mesures_Omia!A24:A36)</f>
        <v>#N/A</v>
      </c>
      <c r="E312" s="130" t="e" cm="1">
        <f t="array" ref="E312">_xlfn.XLOOKUP(MIN(Omia_150°C!C49:O49),Omia_150°C!C49:O49,_xlfn.ANCHORARRAY(Omia_150°C!C47))</f>
        <v>#N/A</v>
      </c>
      <c r="F312" s="131" t="e">
        <f>_xlfn.XLOOKUP(INT(SUBSTITUTE(E312,"Connecteur ","")),Mesures_Omia!C24:C36,Mesures_Omia!B24:B36)</f>
        <v>#N/A</v>
      </c>
    </row>
    <row r="313" spans="1:6" x14ac:dyDescent="0.25">
      <c r="A313" s="190"/>
      <c r="B313" s="129" t="s">
        <v>214</v>
      </c>
      <c r="C313" s="132" t="e">
        <f>AVERAGE(Omia_150°C!C48:O48)</f>
        <v>#N/A</v>
      </c>
      <c r="D313" s="130" t="s">
        <v>208</v>
      </c>
      <c r="E313" s="130" t="s">
        <v>208</v>
      </c>
      <c r="F313" s="131" t="s">
        <v>208</v>
      </c>
    </row>
    <row r="314" spans="1:6" x14ac:dyDescent="0.25">
      <c r="C314" s="89"/>
      <c r="D314" s="89"/>
      <c r="E314" s="89"/>
      <c r="F314" s="89"/>
    </row>
    <row r="324" spans="1:14" ht="36" x14ac:dyDescent="0.25">
      <c r="B324" s="182" t="s">
        <v>255</v>
      </c>
      <c r="C324" s="182"/>
      <c r="D324" s="182"/>
      <c r="E324" s="182"/>
      <c r="F324" s="182"/>
    </row>
    <row r="327" spans="1:14" x14ac:dyDescent="0.25">
      <c r="B327" s="173" t="s">
        <v>216</v>
      </c>
      <c r="C327" s="173"/>
    </row>
    <row r="331" spans="1:14" x14ac:dyDescent="0.25">
      <c r="A331" s="1"/>
      <c r="B331" s="152" t="str" cm="1">
        <f t="array" ref="B331:N331">Donnees_Brutes_60[[#Headers],[Connecteur 1]:[Connecteur 13]]</f>
        <v>Connecteur 1</v>
      </c>
      <c r="C331" s="152" t="str">
        <v>Connecteur 2</v>
      </c>
      <c r="D331" s="152" t="str">
        <v>Connecteur 3</v>
      </c>
      <c r="E331" s="152" t="str">
        <v>Connecteur 4</v>
      </c>
      <c r="F331" s="152" t="str">
        <v>Connecteur 5</v>
      </c>
      <c r="G331" s="152" t="str">
        <v>Connecteur 6</v>
      </c>
      <c r="H331" s="152" t="str">
        <v>Connecteur 7</v>
      </c>
      <c r="I331" s="152" t="str">
        <v>Connecteur 8</v>
      </c>
      <c r="J331" s="152" t="str">
        <v>Connecteur 9</v>
      </c>
      <c r="K331" s="152" t="str">
        <v>Connecteur 10</v>
      </c>
      <c r="L331" s="152" t="str">
        <v>Connecteur 11</v>
      </c>
      <c r="M331" s="152" t="str">
        <v>Connecteur 12</v>
      </c>
      <c r="N331" s="152" t="str">
        <v>Connecteur 13</v>
      </c>
    </row>
    <row r="332" spans="1:14" x14ac:dyDescent="0.25">
      <c r="A332" s="42" t="s">
        <v>98</v>
      </c>
      <c r="B332" s="43" t="e" cm="1">
        <f t="array" ref="B332:N335">Omia_150°C!C48:O51</f>
        <v>#N/A</v>
      </c>
      <c r="C332" s="43" t="e">
        <v>#N/A</v>
      </c>
      <c r="D332" s="43" t="e">
        <v>#N/A</v>
      </c>
      <c r="E332" s="43" t="e">
        <v>#N/A</v>
      </c>
      <c r="F332" s="43" t="e">
        <v>#N/A</v>
      </c>
      <c r="G332" s="43" t="e">
        <v>#N/A</v>
      </c>
      <c r="H332" s="43" t="e">
        <v>#N/A</v>
      </c>
      <c r="I332" s="43" t="e">
        <v>#N/A</v>
      </c>
      <c r="J332" s="43" t="e">
        <v>#N/A</v>
      </c>
      <c r="K332" s="43" t="e">
        <v>#N/A</v>
      </c>
      <c r="L332" s="43" t="e">
        <v>#N/A</v>
      </c>
      <c r="M332" s="43" t="e">
        <v>#N/A</v>
      </c>
      <c r="N332" s="43" t="e">
        <v>#N/A</v>
      </c>
    </row>
    <row r="333" spans="1:14" x14ac:dyDescent="0.25">
      <c r="A333" s="42" t="s">
        <v>100</v>
      </c>
      <c r="B333" s="43" t="e">
        <v>#N/A</v>
      </c>
      <c r="C333" s="43" t="e">
        <v>#N/A</v>
      </c>
      <c r="D333" s="43" t="e">
        <v>#N/A</v>
      </c>
      <c r="E333" s="43" t="e">
        <v>#N/A</v>
      </c>
      <c r="F333" s="43" t="e">
        <v>#N/A</v>
      </c>
      <c r="G333" s="43" t="e">
        <v>#N/A</v>
      </c>
      <c r="H333" s="43" t="e">
        <v>#N/A</v>
      </c>
      <c r="I333" s="43" t="e">
        <v>#N/A</v>
      </c>
      <c r="J333" s="43" t="e">
        <v>#N/A</v>
      </c>
      <c r="K333" s="43" t="e">
        <v>#N/A</v>
      </c>
      <c r="L333" s="43" t="e">
        <v>#N/A</v>
      </c>
      <c r="M333" s="43" t="e">
        <v>#N/A</v>
      </c>
      <c r="N333" s="43" t="e">
        <v>#N/A</v>
      </c>
    </row>
    <row r="334" spans="1:14" x14ac:dyDescent="0.25">
      <c r="A334" s="42" t="s">
        <v>102</v>
      </c>
      <c r="B334" s="43" t="e">
        <v>#N/A</v>
      </c>
      <c r="C334" s="43" t="e">
        <v>#N/A</v>
      </c>
      <c r="D334" s="43" t="e">
        <v>#N/A</v>
      </c>
      <c r="E334" s="43" t="e">
        <v>#N/A</v>
      </c>
      <c r="F334" s="43" t="e">
        <v>#N/A</v>
      </c>
      <c r="G334" s="43" t="e">
        <v>#N/A</v>
      </c>
      <c r="H334" s="43" t="e">
        <v>#N/A</v>
      </c>
      <c r="I334" s="43" t="e">
        <v>#N/A</v>
      </c>
      <c r="J334" s="43" t="e">
        <v>#N/A</v>
      </c>
      <c r="K334" s="43" t="e">
        <v>#N/A</v>
      </c>
      <c r="L334" s="43" t="e">
        <v>#N/A</v>
      </c>
      <c r="M334" s="43" t="e">
        <v>#N/A</v>
      </c>
      <c r="N334" s="43" t="e">
        <v>#N/A</v>
      </c>
    </row>
    <row r="335" spans="1:14" x14ac:dyDescent="0.25">
      <c r="A335" s="42" t="s">
        <v>103</v>
      </c>
      <c r="B335" s="43" t="e">
        <v>#N/A</v>
      </c>
      <c r="C335" s="43" t="e">
        <v>#N/A</v>
      </c>
      <c r="D335" s="43" t="e">
        <v>#N/A</v>
      </c>
      <c r="E335" s="43" t="e">
        <v>#N/A</v>
      </c>
      <c r="F335" s="43" t="e">
        <v>#N/A</v>
      </c>
      <c r="G335" s="43" t="e">
        <v>#N/A</v>
      </c>
      <c r="H335" s="43" t="e">
        <v>#N/A</v>
      </c>
      <c r="I335" s="43" t="e">
        <v>#N/A</v>
      </c>
      <c r="J335" s="43" t="e">
        <v>#N/A</v>
      </c>
      <c r="K335" s="43" t="e">
        <v>#N/A</v>
      </c>
      <c r="L335" s="43" t="e">
        <v>#N/A</v>
      </c>
      <c r="M335" s="43" t="e">
        <v>#N/A</v>
      </c>
      <c r="N335" s="43" t="e">
        <v>#N/A</v>
      </c>
    </row>
    <row r="336" spans="1:14" x14ac:dyDescent="0.25">
      <c r="A336" s="42" t="s">
        <v>104</v>
      </c>
      <c r="B336" s="217" t="e">
        <f>Omia_150°C!C52</f>
        <v>#N/A</v>
      </c>
      <c r="C336" s="218"/>
      <c r="D336" s="218"/>
      <c r="E336" s="218"/>
      <c r="F336" s="218"/>
      <c r="G336" s="218"/>
      <c r="H336" s="218"/>
      <c r="I336" s="218"/>
      <c r="J336" s="218"/>
      <c r="K336" s="218"/>
      <c r="L336" s="218"/>
      <c r="M336" s="218"/>
      <c r="N336" s="219"/>
    </row>
    <row r="337" spans="1:14" x14ac:dyDescent="0.25">
      <c r="A337" s="42" t="s">
        <v>105</v>
      </c>
      <c r="B337" s="217" t="e">
        <f>Omia_150°C!C53</f>
        <v>#N/A</v>
      </c>
      <c r="C337" s="218"/>
      <c r="D337" s="218"/>
      <c r="E337" s="218"/>
      <c r="F337" s="218"/>
      <c r="G337" s="218"/>
      <c r="H337" s="218"/>
      <c r="I337" s="218"/>
      <c r="J337" s="218"/>
      <c r="K337" s="218"/>
      <c r="L337" s="218"/>
      <c r="M337" s="218"/>
      <c r="N337" s="219"/>
    </row>
    <row r="338" spans="1:14" x14ac:dyDescent="0.25">
      <c r="A338" s="36" t="s">
        <v>106</v>
      </c>
      <c r="B338" s="153" t="e" cm="1">
        <f t="array" aca="1" ref="B338:N338" ca="1">Omia_150°C!C54:O54</f>
        <v>#REF!</v>
      </c>
      <c r="C338" s="154" t="e">
        <f ca="1"/>
        <v>#REF!</v>
      </c>
      <c r="D338" s="154" t="e">
        <f ca="1"/>
        <v>#REF!</v>
      </c>
      <c r="E338" s="154" t="e">
        <f ca="1"/>
        <v>#REF!</v>
      </c>
      <c r="F338" s="154" t="e">
        <f ca="1"/>
        <v>#REF!</v>
      </c>
      <c r="G338" s="154" t="e">
        <f ca="1"/>
        <v>#REF!</v>
      </c>
      <c r="H338" s="154" t="e">
        <f ca="1"/>
        <v>#REF!</v>
      </c>
      <c r="I338" s="154" t="e">
        <f ca="1"/>
        <v>#REF!</v>
      </c>
      <c r="J338" s="154" t="e">
        <f ca="1"/>
        <v>#REF!</v>
      </c>
      <c r="K338" s="154" t="e">
        <f ca="1"/>
        <v>#REF!</v>
      </c>
      <c r="L338" s="154" t="e">
        <f ca="1"/>
        <v>#REF!</v>
      </c>
      <c r="M338" s="154" t="e">
        <f ca="1"/>
        <v>#REF!</v>
      </c>
      <c r="N338" s="154" t="e">
        <f ca="1"/>
        <v>#REF!</v>
      </c>
    </row>
    <row r="348" spans="1:14" x14ac:dyDescent="0.25">
      <c r="B348" s="135"/>
    </row>
    <row r="350" spans="1:14" ht="36" x14ac:dyDescent="0.3">
      <c r="C350" s="136" t="s">
        <v>256</v>
      </c>
      <c r="D350" s="137"/>
      <c r="E350" s="137"/>
      <c r="F350" s="137"/>
    </row>
    <row r="353" spans="2:2" x14ac:dyDescent="0.25">
      <c r="B353" t="s">
        <v>223</v>
      </c>
    </row>
    <row r="409" spans="1:9" x14ac:dyDescent="0.25">
      <c r="A409" s="122" t="s">
        <v>251</v>
      </c>
      <c r="B409" s="124">
        <v>190</v>
      </c>
      <c r="G409" s="186" t="s">
        <v>198</v>
      </c>
      <c r="H409" s="187"/>
      <c r="I409" s="188"/>
    </row>
    <row r="410" spans="1:9" x14ac:dyDescent="0.25">
      <c r="A410" s="122" t="s">
        <v>252</v>
      </c>
      <c r="B410" s="151">
        <f>Mesures_Omia!B20</f>
        <v>0</v>
      </c>
      <c r="G410" s="22" t="s">
        <v>199</v>
      </c>
      <c r="H410" s="22" t="s">
        <v>200</v>
      </c>
      <c r="I410" s="22" t="s">
        <v>201</v>
      </c>
    </row>
    <row r="411" spans="1:9" x14ac:dyDescent="0.25">
      <c r="G411" s="125">
        <f>Omia_190°C!B11</f>
        <v>0</v>
      </c>
      <c r="H411" s="125">
        <f>Omia_190°C!B41</f>
        <v>0</v>
      </c>
      <c r="I411" s="125">
        <f>H411-G411</f>
        <v>0</v>
      </c>
    </row>
    <row r="414" spans="1:9" ht="23.25" x14ac:dyDescent="0.25">
      <c r="B414" s="189" t="s">
        <v>202</v>
      </c>
      <c r="C414" s="189"/>
    </row>
    <row r="417" spans="1:6" ht="30" x14ac:dyDescent="0.25">
      <c r="B417" s="126" t="s">
        <v>203</v>
      </c>
      <c r="C417" s="127" t="s">
        <v>204</v>
      </c>
      <c r="D417" s="127" t="s">
        <v>119</v>
      </c>
      <c r="E417" s="128" t="s">
        <v>205</v>
      </c>
      <c r="F417" s="127" t="s">
        <v>206</v>
      </c>
    </row>
    <row r="418" spans="1:6" x14ac:dyDescent="0.25">
      <c r="B418" s="129" t="s">
        <v>207</v>
      </c>
      <c r="C418" s="130" t="str">
        <f>"190°C"</f>
        <v>190°C</v>
      </c>
      <c r="D418" s="130" t="s">
        <v>208</v>
      </c>
      <c r="E418" s="130" t="s">
        <v>208</v>
      </c>
      <c r="F418" s="131" t="s">
        <v>208</v>
      </c>
    </row>
    <row r="419" spans="1:6" x14ac:dyDescent="0.25">
      <c r="B419" s="129" t="s">
        <v>209</v>
      </c>
      <c r="C419" s="130" t="str">
        <f>"190°C"</f>
        <v>190°C</v>
      </c>
      <c r="D419" s="130" t="s">
        <v>208</v>
      </c>
      <c r="E419" s="130" t="s">
        <v>208</v>
      </c>
      <c r="F419" s="131" t="s">
        <v>208</v>
      </c>
    </row>
    <row r="420" spans="1:6" x14ac:dyDescent="0.25">
      <c r="A420" s="190" t="s">
        <v>210</v>
      </c>
      <c r="B420" s="129" t="s">
        <v>211</v>
      </c>
      <c r="C420" s="132" t="e">
        <f>MAX(Omia_190°C!C48:O48)</f>
        <v>#N/A</v>
      </c>
      <c r="D420" s="130" t="e">
        <f>_xlfn.XLOOKUP(INT(SUBSTITUTE(E420,"Connecteur ","")),Mesures_Omia!C23:C35,Mesures_Omia!A23:A35)</f>
        <v>#N/A</v>
      </c>
      <c r="E420" s="130" t="e" cm="1">
        <f t="array" ref="E420">_xlfn.XLOOKUP(MAX(Omia_190°C!C48:O48),Omia_190°C!C48:O48,_xlfn.ANCHORARRAY(Omia_190°C!C47))</f>
        <v>#N/A</v>
      </c>
      <c r="F420" s="130" t="e">
        <f>_xlfn.XLOOKUP(INT(SUBSTITUTE(E420,"Connecteur ","")),Mesures_Omia!C23:C35,Mesures_Omia!B23:B35)</f>
        <v>#N/A</v>
      </c>
    </row>
    <row r="421" spans="1:6" x14ac:dyDescent="0.25">
      <c r="A421" s="190"/>
      <c r="B421" s="129" t="s">
        <v>212</v>
      </c>
      <c r="C421" s="132" t="e">
        <f>MIN(Omia_190°C!C48:O48)</f>
        <v>#N/A</v>
      </c>
      <c r="D421" s="130" t="e">
        <f>_xlfn.XLOOKUP(INT(SUBSTITUTE(E421,"Connecteur ","")),Mesures_Omia!C23:C35,Mesures_Omia!A23:A35)</f>
        <v>#N/A</v>
      </c>
      <c r="E421" s="130" t="e" cm="1">
        <f t="array" ref="E421">_xlfn.XLOOKUP(MIN(Omia_190°C!C48:O48),Omia_190°C!C48:O48,_xlfn.ANCHORARRAY(Omia_190°C!C47))</f>
        <v>#N/A</v>
      </c>
      <c r="F421" s="131" t="e">
        <f>_xlfn.XLOOKUP(INT(SUBSTITUTE(E421,"Connecteur ","")),Mesures_Omia!C23:C35,Mesures_Omia!B23:B35)</f>
        <v>#N/A</v>
      </c>
    </row>
    <row r="422" spans="1:6" x14ac:dyDescent="0.25">
      <c r="A422" s="190"/>
      <c r="B422" s="129" t="s">
        <v>213</v>
      </c>
      <c r="C422" s="132" t="e">
        <f>MIN(Omia_190°C!C49:O49)</f>
        <v>#N/A</v>
      </c>
      <c r="D422" s="130" t="e">
        <f>_xlfn.XLOOKUP(INT(SUBSTITUTE(E422,"Connecteur ","")),Mesures_Omia!C23:C35,Mesures_Omia!A23:A35)</f>
        <v>#N/A</v>
      </c>
      <c r="E422" s="130" t="e" cm="1">
        <f t="array" ref="E422">_xlfn.XLOOKUP(MAX(Omia_190°C!C49:O49),Omia_190°C!C49:O49,_xlfn.ANCHORARRAY(Omia_190°C!C47))</f>
        <v>#N/A</v>
      </c>
      <c r="F422" s="131" t="e">
        <f>_xlfn.XLOOKUP(INT(SUBSTITUTE(E422,"Connecteur ","")),Mesures_Omia!C23:C35,Mesures_Omia!B23:B35)</f>
        <v>#N/A</v>
      </c>
    </row>
    <row r="423" spans="1:6" x14ac:dyDescent="0.25">
      <c r="A423" s="190"/>
      <c r="B423" s="129" t="s">
        <v>214</v>
      </c>
      <c r="C423" s="132" t="e">
        <f>AVERAGE(Omia_190°C!C50:O50)</f>
        <v>#N/A</v>
      </c>
      <c r="D423" s="130" t="s">
        <v>208</v>
      </c>
      <c r="E423" s="130" t="s">
        <v>208</v>
      </c>
      <c r="F423" s="131" t="s">
        <v>208</v>
      </c>
    </row>
    <row r="424" spans="1:6" x14ac:dyDescent="0.25">
      <c r="C424" s="89"/>
      <c r="D424" s="89"/>
      <c r="E424" s="89"/>
      <c r="F424" s="89"/>
    </row>
    <row r="433" spans="1:14" ht="36" x14ac:dyDescent="0.25">
      <c r="B433" s="182" t="s">
        <v>255</v>
      </c>
      <c r="C433" s="182"/>
      <c r="D433" s="182"/>
      <c r="E433" s="182"/>
      <c r="F433" s="182"/>
    </row>
    <row r="436" spans="1:14" x14ac:dyDescent="0.25">
      <c r="B436" s="173" t="s">
        <v>216</v>
      </c>
      <c r="C436" s="173"/>
    </row>
    <row r="440" spans="1:14" x14ac:dyDescent="0.25">
      <c r="A440" s="1"/>
      <c r="B440" s="152" t="str" cm="1">
        <f t="array" ref="B440:N440">Donnees_Brutes_60[[#Headers],[Connecteur 1]:[Connecteur 13]]</f>
        <v>Connecteur 1</v>
      </c>
      <c r="C440" s="152" t="str">
        <v>Connecteur 2</v>
      </c>
      <c r="D440" s="152" t="str">
        <v>Connecteur 3</v>
      </c>
      <c r="E440" s="152" t="str">
        <v>Connecteur 4</v>
      </c>
      <c r="F440" s="152" t="str">
        <v>Connecteur 5</v>
      </c>
      <c r="G440" s="152" t="str">
        <v>Connecteur 6</v>
      </c>
      <c r="H440" s="152" t="str">
        <v>Connecteur 7</v>
      </c>
      <c r="I440" s="152" t="str">
        <v>Connecteur 8</v>
      </c>
      <c r="J440" s="152" t="str">
        <v>Connecteur 9</v>
      </c>
      <c r="K440" s="152" t="str">
        <v>Connecteur 10</v>
      </c>
      <c r="L440" s="152" t="str">
        <v>Connecteur 11</v>
      </c>
      <c r="M440" s="152" t="str">
        <v>Connecteur 12</v>
      </c>
      <c r="N440" s="152" t="str">
        <v>Connecteur 13</v>
      </c>
    </row>
    <row r="441" spans="1:14" x14ac:dyDescent="0.25">
      <c r="A441" s="42" t="s">
        <v>98</v>
      </c>
      <c r="B441" s="43" t="e" cm="1">
        <f t="array" ref="B441:N444">Omia_190°C!C48:O51</f>
        <v>#N/A</v>
      </c>
      <c r="C441" s="43" t="e">
        <v>#N/A</v>
      </c>
      <c r="D441" s="43" t="e">
        <v>#N/A</v>
      </c>
      <c r="E441" s="43" t="e">
        <v>#N/A</v>
      </c>
      <c r="F441" s="43" t="e">
        <v>#N/A</v>
      </c>
      <c r="G441" s="43" t="e">
        <v>#N/A</v>
      </c>
      <c r="H441" s="43" t="e">
        <v>#N/A</v>
      </c>
      <c r="I441" s="43" t="e">
        <v>#N/A</v>
      </c>
      <c r="J441" s="43" t="e">
        <v>#N/A</v>
      </c>
      <c r="K441" s="43" t="e">
        <v>#N/A</v>
      </c>
      <c r="L441" s="43" t="e">
        <v>#N/A</v>
      </c>
      <c r="M441" s="43" t="e">
        <v>#N/A</v>
      </c>
      <c r="N441" s="43" t="e">
        <v>#N/A</v>
      </c>
    </row>
    <row r="442" spans="1:14" x14ac:dyDescent="0.25">
      <c r="A442" s="42" t="s">
        <v>100</v>
      </c>
      <c r="B442" s="43" t="e">
        <v>#N/A</v>
      </c>
      <c r="C442" s="43" t="e">
        <v>#N/A</v>
      </c>
      <c r="D442" s="43" t="e">
        <v>#N/A</v>
      </c>
      <c r="E442" s="43" t="e">
        <v>#N/A</v>
      </c>
      <c r="F442" s="43" t="e">
        <v>#N/A</v>
      </c>
      <c r="G442" s="43" t="e">
        <v>#N/A</v>
      </c>
      <c r="H442" s="43" t="e">
        <v>#N/A</v>
      </c>
      <c r="I442" s="43" t="e">
        <v>#N/A</v>
      </c>
      <c r="J442" s="43" t="e">
        <v>#N/A</v>
      </c>
      <c r="K442" s="43" t="e">
        <v>#N/A</v>
      </c>
      <c r="L442" s="43" t="e">
        <v>#N/A</v>
      </c>
      <c r="M442" s="43" t="e">
        <v>#N/A</v>
      </c>
      <c r="N442" s="43" t="e">
        <v>#N/A</v>
      </c>
    </row>
    <row r="443" spans="1:14" x14ac:dyDescent="0.25">
      <c r="A443" s="42" t="s">
        <v>102</v>
      </c>
      <c r="B443" s="43" t="e">
        <v>#N/A</v>
      </c>
      <c r="C443" s="43" t="e">
        <v>#N/A</v>
      </c>
      <c r="D443" s="43" t="e">
        <v>#N/A</v>
      </c>
      <c r="E443" s="43" t="e">
        <v>#N/A</v>
      </c>
      <c r="F443" s="43" t="e">
        <v>#N/A</v>
      </c>
      <c r="G443" s="43" t="e">
        <v>#N/A</v>
      </c>
      <c r="H443" s="43" t="e">
        <v>#N/A</v>
      </c>
      <c r="I443" s="43" t="e">
        <v>#N/A</v>
      </c>
      <c r="J443" s="43" t="e">
        <v>#N/A</v>
      </c>
      <c r="K443" s="43" t="e">
        <v>#N/A</v>
      </c>
      <c r="L443" s="43" t="e">
        <v>#N/A</v>
      </c>
      <c r="M443" s="43" t="e">
        <v>#N/A</v>
      </c>
      <c r="N443" s="43" t="e">
        <v>#N/A</v>
      </c>
    </row>
    <row r="444" spans="1:14" x14ac:dyDescent="0.25">
      <c r="A444" s="42" t="s">
        <v>103</v>
      </c>
      <c r="B444" s="43" t="e">
        <v>#N/A</v>
      </c>
      <c r="C444" s="43" t="e">
        <v>#N/A</v>
      </c>
      <c r="D444" s="43" t="e">
        <v>#N/A</v>
      </c>
      <c r="E444" s="43" t="e">
        <v>#N/A</v>
      </c>
      <c r="F444" s="43" t="e">
        <v>#N/A</v>
      </c>
      <c r="G444" s="43" t="e">
        <v>#N/A</v>
      </c>
      <c r="H444" s="43" t="e">
        <v>#N/A</v>
      </c>
      <c r="I444" s="43" t="e">
        <v>#N/A</v>
      </c>
      <c r="J444" s="43" t="e">
        <v>#N/A</v>
      </c>
      <c r="K444" s="43" t="e">
        <v>#N/A</v>
      </c>
      <c r="L444" s="43" t="e">
        <v>#N/A</v>
      </c>
      <c r="M444" s="43" t="e">
        <v>#N/A</v>
      </c>
      <c r="N444" s="43" t="e">
        <v>#N/A</v>
      </c>
    </row>
    <row r="445" spans="1:14" x14ac:dyDescent="0.25">
      <c r="A445" s="42" t="s">
        <v>104</v>
      </c>
      <c r="B445" s="217" t="e">
        <f>Omia_190°C!C52</f>
        <v>#N/A</v>
      </c>
      <c r="C445" s="218"/>
      <c r="D445" s="218"/>
      <c r="E445" s="218"/>
      <c r="F445" s="218"/>
      <c r="G445" s="218"/>
      <c r="H445" s="218"/>
      <c r="I445" s="218"/>
      <c r="J445" s="218"/>
      <c r="K445" s="218"/>
      <c r="L445" s="218"/>
      <c r="M445" s="218"/>
      <c r="N445" s="219"/>
    </row>
    <row r="446" spans="1:14" x14ac:dyDescent="0.25">
      <c r="A446" s="42" t="s">
        <v>105</v>
      </c>
      <c r="B446" s="217" t="e">
        <f>Omia_190°C!C53</f>
        <v>#N/A</v>
      </c>
      <c r="C446" s="218"/>
      <c r="D446" s="218"/>
      <c r="E446" s="218"/>
      <c r="F446" s="218"/>
      <c r="G446" s="218"/>
      <c r="H446" s="218"/>
      <c r="I446" s="218"/>
      <c r="J446" s="218"/>
      <c r="K446" s="218"/>
      <c r="L446" s="218"/>
      <c r="M446" s="218"/>
      <c r="N446" s="219"/>
    </row>
    <row r="447" spans="1:14" x14ac:dyDescent="0.25">
      <c r="A447" s="36" t="s">
        <v>106</v>
      </c>
      <c r="B447" s="153" t="e" cm="1">
        <f t="array" aca="1" ref="B447:N447" ca="1">Omia_190°C!C54:O54</f>
        <v>#REF!</v>
      </c>
      <c r="C447" s="154" t="e">
        <f ca="1"/>
        <v>#REF!</v>
      </c>
      <c r="D447" s="154" t="e">
        <f ca="1"/>
        <v>#REF!</v>
      </c>
      <c r="E447" s="154" t="e">
        <f ca="1"/>
        <v>#REF!</v>
      </c>
      <c r="F447" s="154" t="e">
        <f ca="1"/>
        <v>#REF!</v>
      </c>
      <c r="G447" s="154" t="e">
        <f ca="1"/>
        <v>#REF!</v>
      </c>
      <c r="H447" s="154" t="e">
        <f ca="1"/>
        <v>#REF!</v>
      </c>
      <c r="I447" s="154" t="e">
        <f ca="1"/>
        <v>#REF!</v>
      </c>
      <c r="J447" s="154" t="e">
        <f ca="1"/>
        <v>#REF!</v>
      </c>
      <c r="K447" s="154" t="e">
        <f ca="1"/>
        <v>#REF!</v>
      </c>
      <c r="L447" s="154" t="e">
        <f ca="1"/>
        <v>#REF!</v>
      </c>
      <c r="M447" s="154" t="e">
        <f ca="1"/>
        <v>#REF!</v>
      </c>
      <c r="N447" s="154" t="e">
        <f ca="1"/>
        <v>#REF!</v>
      </c>
    </row>
    <row r="453" spans="2:6" x14ac:dyDescent="0.25">
      <c r="B453" s="135"/>
    </row>
    <row r="455" spans="2:6" ht="36" x14ac:dyDescent="0.3">
      <c r="C455" s="136" t="s">
        <v>256</v>
      </c>
      <c r="D455" s="137"/>
      <c r="E455" s="137"/>
      <c r="F455" s="137"/>
    </row>
    <row r="458" spans="2:6" x14ac:dyDescent="0.25">
      <c r="B458" t="s">
        <v>223</v>
      </c>
    </row>
    <row r="505" spans="3:7" x14ac:dyDescent="0.25">
      <c r="C505" s="129" t="s">
        <v>226</v>
      </c>
      <c r="D505" s="129"/>
      <c r="E505" s="22" t="s">
        <v>257</v>
      </c>
      <c r="F505" s="22" t="s">
        <v>258</v>
      </c>
      <c r="G505" s="22" t="s">
        <v>259</v>
      </c>
    </row>
    <row r="506" spans="3:7" x14ac:dyDescent="0.25">
      <c r="C506" s="177" t="s">
        <v>227</v>
      </c>
      <c r="D506" s="178"/>
      <c r="E506" s="130">
        <v>60</v>
      </c>
      <c r="F506" s="130">
        <v>150</v>
      </c>
      <c r="G506" s="130">
        <v>190</v>
      </c>
    </row>
    <row r="507" spans="3:7" x14ac:dyDescent="0.25">
      <c r="C507" s="177" t="s">
        <v>228</v>
      </c>
      <c r="D507" s="178"/>
      <c r="E507" s="132" t="e">
        <f>Omia_60°C!C52</f>
        <v>#N/A</v>
      </c>
      <c r="F507" s="132" t="e">
        <f>Omia_150°C!C52</f>
        <v>#N/A</v>
      </c>
      <c r="G507" s="132" t="e">
        <f>Omia_190°C!C52</f>
        <v>#N/A</v>
      </c>
    </row>
    <row r="508" spans="3:7" x14ac:dyDescent="0.25">
      <c r="C508" s="177" t="s">
        <v>229</v>
      </c>
      <c r="D508" s="178"/>
      <c r="E508" s="155">
        <f>Mesures_Omia!B20</f>
        <v>0</v>
      </c>
      <c r="F508" s="155">
        <f>Mesures_Omia!B20</f>
        <v>0</v>
      </c>
      <c r="G508" s="155">
        <f>Mesures_Omia!B20</f>
        <v>0</v>
      </c>
    </row>
    <row r="509" spans="3:7" x14ac:dyDescent="0.25">
      <c r="C509" s="177" t="s">
        <v>260</v>
      </c>
      <c r="D509" s="178"/>
      <c r="E509" s="130" t="e">
        <f>IF(MIN(Omia_60°C!C49:O49)&lt;Omia_60°C!P49,"NON CONFORME","CONFORME")</f>
        <v>#N/A</v>
      </c>
      <c r="F509" s="130" t="e">
        <f>IF(MIN(Omia_150°C!C49:O49)&lt;Omia_150°C!P49,"NON CONFORME","CONFORME")</f>
        <v>#N/A</v>
      </c>
      <c r="G509" s="130" t="e">
        <f>IF(MIN(Omia_190°C!C49:O49)&lt;Omia_190°C!P49,"NON CONFORME","CONFORME")</f>
        <v>#N/A</v>
      </c>
    </row>
    <row r="510" spans="3:7" x14ac:dyDescent="0.25">
      <c r="C510" s="177" t="s">
        <v>261</v>
      </c>
      <c r="D510" s="178"/>
      <c r="E510" s="130" t="e">
        <f>IF(MAX(Omia_60°C!C48:O48)&gt;Omia_60°C!P48,"NON CONFORME","CONFORME")</f>
        <v>#N/A</v>
      </c>
      <c r="F510" s="130" t="e">
        <f>IF(MAX(Omia_150°C!C48:O48)&gt;Omia_150°C!P48,"NON CONFORME","CONFORME")</f>
        <v>#N/A</v>
      </c>
      <c r="G510" s="130" t="e">
        <f>IF(MAX(Omia_190°C!C48:O48)&gt;Omia_190°C!P48,"NON CONFORME","CONFORME")</f>
        <v>#N/A</v>
      </c>
    </row>
    <row r="511" spans="3:7" x14ac:dyDescent="0.25">
      <c r="C511" s="177" t="s">
        <v>262</v>
      </c>
      <c r="D511" s="178"/>
      <c r="E511" s="130" t="e">
        <f>IF(OR(Omia_60°C!C53&lt;Omia_60°C!P49,Omia_60°C!C53&gt;Omia_60°C!P48),"NON CONFORME","CONFORME")</f>
        <v>#N/A</v>
      </c>
      <c r="F511" s="130" t="e">
        <f>IF(OR(Omia_150°C!C53&lt;Omia_150°C!P49,Omia_150°C!C53&gt;Omia_150°C!P48),"NON CONFORME","CONFORME")</f>
        <v>#N/A</v>
      </c>
      <c r="G511" s="130" t="e">
        <f>IF(OR(Omia_190°C!C53&lt;Omia_190°C!P49,Omia_190°C!C53&gt;Omia_190°C!P48),"NON CONFORME","CONFORME")</f>
        <v>#N/A</v>
      </c>
    </row>
    <row r="512" spans="3:7" x14ac:dyDescent="0.25">
      <c r="C512" s="177" t="s">
        <v>231</v>
      </c>
      <c r="D512" s="178"/>
      <c r="E512" s="130" t="e">
        <f>(MAX(Omia_60°C!C48:O48)- MIN(Omia_60°C!C49:O49))/2</f>
        <v>#N/A</v>
      </c>
      <c r="F512" s="130" t="e">
        <f>(MAX(Omia_150°C!C48:O48)- MIN(Omia_150°C!C49:O49))/2</f>
        <v>#N/A</v>
      </c>
      <c r="G512" s="130" t="e">
        <f>(MAX(Omia_190°C!C48:O48)- MIN(Omia_190°C!C49:O49))/2</f>
        <v>#N/A</v>
      </c>
    </row>
  </sheetData>
  <sheetProtection algorithmName="SHA-512" hashValue="3VvWcQcqMZnguxJBs2VicTZino1nMukj4pg7yHe8mqElYPB09TPLcG5Y/GVE2+NJQB/ia57GSga81uCiHf5KVA==" saltValue="96YBdoMAqLzZUyKQxJ9Srw==" spinCount="100000" sheet="1" objects="1" scenarios="1" autoFilter="0"/>
  <mergeCells count="68">
    <mergeCell ref="C51:F51"/>
    <mergeCell ref="B4:F6"/>
    <mergeCell ref="C10:D10"/>
    <mergeCell ref="E10:F10"/>
    <mergeCell ref="A28:B28"/>
    <mergeCell ref="A30:I47"/>
    <mergeCell ref="B69:D69"/>
    <mergeCell ref="E69:H69"/>
    <mergeCell ref="E55:F55"/>
    <mergeCell ref="E56:G56"/>
    <mergeCell ref="B57:C57"/>
    <mergeCell ref="E57:F57"/>
    <mergeCell ref="B61:C61"/>
    <mergeCell ref="E61:G61"/>
    <mergeCell ref="B62:C62"/>
    <mergeCell ref="E66:F66"/>
    <mergeCell ref="E67:H67"/>
    <mergeCell ref="B68:D68"/>
    <mergeCell ref="E68:I68"/>
    <mergeCell ref="C104:D104"/>
    <mergeCell ref="C85:G85"/>
    <mergeCell ref="C94:H94"/>
    <mergeCell ref="C95:D95"/>
    <mergeCell ref="C96:D96"/>
    <mergeCell ref="C97:D97"/>
    <mergeCell ref="C98:D98"/>
    <mergeCell ref="C99:D99"/>
    <mergeCell ref="C100:D100"/>
    <mergeCell ref="C101:D101"/>
    <mergeCell ref="C102:D102"/>
    <mergeCell ref="C103:D103"/>
    <mergeCell ref="A211:A214"/>
    <mergeCell ref="C105:D105"/>
    <mergeCell ref="C106:D106"/>
    <mergeCell ref="C107:D107"/>
    <mergeCell ref="C108:D108"/>
    <mergeCell ref="B116:F116"/>
    <mergeCell ref="C127:F127"/>
    <mergeCell ref="B304:C304"/>
    <mergeCell ref="B129:I144"/>
    <mergeCell ref="C163:H163"/>
    <mergeCell ref="C196:H196"/>
    <mergeCell ref="G200:I200"/>
    <mergeCell ref="B205:C205"/>
    <mergeCell ref="B226:F226"/>
    <mergeCell ref="B229:C229"/>
    <mergeCell ref="B238:N238"/>
    <mergeCell ref="B239:N239"/>
    <mergeCell ref="G299:I299"/>
    <mergeCell ref="B446:N446"/>
    <mergeCell ref="A310:A313"/>
    <mergeCell ref="B324:F324"/>
    <mergeCell ref="B327:C327"/>
    <mergeCell ref="B336:N336"/>
    <mergeCell ref="B337:N337"/>
    <mergeCell ref="G409:I409"/>
    <mergeCell ref="B414:C414"/>
    <mergeCell ref="A420:A423"/>
    <mergeCell ref="B433:F433"/>
    <mergeCell ref="B436:C436"/>
    <mergeCell ref="B445:N445"/>
    <mergeCell ref="C512:D512"/>
    <mergeCell ref="C506:D506"/>
    <mergeCell ref="C507:D507"/>
    <mergeCell ref="C508:D508"/>
    <mergeCell ref="C509:D509"/>
    <mergeCell ref="C510:D510"/>
    <mergeCell ref="C511:D511"/>
  </mergeCells>
  <conditionalFormatting sqref="E509">
    <cfRule type="containsText" dxfId="22" priority="6" operator="containsText" text="NON CONFORME">
      <formula>NOT(ISERROR(SEARCH("NON CONFORME",E509)))</formula>
    </cfRule>
  </conditionalFormatting>
  <conditionalFormatting sqref="E510">
    <cfRule type="containsText" dxfId="21" priority="5" operator="containsText" text="NON CONFORME">
      <formula>NOT(ISERROR(SEARCH("NON CONFORME",E510)))</formula>
    </cfRule>
  </conditionalFormatting>
  <conditionalFormatting sqref="F509">
    <cfRule type="containsText" dxfId="20" priority="4" operator="containsText" text="NON CONFORME">
      <formula>NOT(ISERROR(SEARCH("NON CONFORME",F509)))</formula>
    </cfRule>
  </conditionalFormatting>
  <conditionalFormatting sqref="F510">
    <cfRule type="containsText" dxfId="19" priority="3" operator="containsText" text="NON CONFORME">
      <formula>NOT(ISERROR(SEARCH("NON CONFORME",F510)))</formula>
    </cfRule>
  </conditionalFormatting>
  <conditionalFormatting sqref="G509">
    <cfRule type="containsText" dxfId="18" priority="2" operator="containsText" text="NON CONFORME">
      <formula>NOT(ISERROR(SEARCH("NON CONFORME",G509)))</formula>
    </cfRule>
  </conditionalFormatting>
  <conditionalFormatting sqref="G510">
    <cfRule type="containsText" dxfId="17" priority="1" operator="containsText" text="NON CONFORME">
      <formula>NOT(ISERROR(SEARCH("NON CONFORME",G510)))</formula>
    </cfRule>
  </conditionalFormatting>
  <pageMargins left="0.7" right="0.7" top="0.75" bottom="0.75" header="0.3" footer="0.3"/>
  <pageSetup paperSize="9" scale="24" orientation="portrait" r:id="rId1"/>
  <rowBreaks count="14" manualBreakCount="14">
    <brk id="47" max="16383" man="1"/>
    <brk id="81" max="16383" man="1"/>
    <brk id="124" max="14" man="1"/>
    <brk id="159" max="16383" man="1"/>
    <brk id="192" max="16383" man="1"/>
    <brk id="219" max="16383" man="1"/>
    <brk id="251" max="16383" man="1"/>
    <brk id="288" max="14" man="1"/>
    <brk id="317" max="14" man="1"/>
    <brk id="347" max="14" man="1"/>
    <brk id="398" max="14" man="1"/>
    <brk id="426" max="14" man="1"/>
    <brk id="452" max="14" man="1"/>
    <brk id="493" max="14" man="1"/>
  </rowBreaks>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DC84F-6157-40B1-956A-FBEE0F0B7E4D}">
  <sheetPr codeName="Feuil4">
    <tabColor theme="9" tint="0.39997558519241921"/>
  </sheetPr>
  <dimension ref="A2:O48"/>
  <sheetViews>
    <sheetView topLeftCell="A16" zoomScale="115" zoomScaleNormal="115" workbookViewId="0">
      <selection activeCell="D28" sqref="D28"/>
    </sheetView>
  </sheetViews>
  <sheetFormatPr baseColWidth="10" defaultRowHeight="15" x14ac:dyDescent="0.25"/>
  <cols>
    <col min="1" max="1" width="13.5703125" bestFit="1" customWidth="1"/>
    <col min="2" max="2" width="14.7109375" bestFit="1" customWidth="1"/>
    <col min="3" max="3" width="18.85546875" bestFit="1" customWidth="1"/>
    <col min="4" max="4" width="17.85546875" customWidth="1"/>
    <col min="5" max="5" width="17.5703125" customWidth="1"/>
    <col min="6" max="6" width="18.85546875" customWidth="1"/>
    <col min="7" max="7" width="14.5703125" customWidth="1"/>
    <col min="8" max="8" width="15.85546875" customWidth="1"/>
    <col min="9" max="9" width="17.5703125" customWidth="1"/>
    <col min="11" max="11" width="21.42578125" bestFit="1" customWidth="1"/>
    <col min="12" max="12" width="17.28515625" bestFit="1" customWidth="1"/>
    <col min="13" max="13" width="25.85546875" bestFit="1" customWidth="1"/>
  </cols>
  <sheetData>
    <row r="2" spans="1:13" x14ac:dyDescent="0.25">
      <c r="B2" s="162" t="s">
        <v>50</v>
      </c>
      <c r="C2" s="163"/>
      <c r="D2" s="163"/>
      <c r="E2" s="163"/>
      <c r="F2" s="163"/>
      <c r="G2" s="163"/>
      <c r="H2" s="163"/>
      <c r="I2" s="163"/>
      <c r="J2" s="163"/>
      <c r="K2" s="163"/>
    </row>
    <row r="3" spans="1:13" x14ac:dyDescent="0.25">
      <c r="B3" s="163"/>
      <c r="C3" s="163"/>
      <c r="D3" s="163"/>
      <c r="E3" s="163"/>
      <c r="F3" s="163"/>
      <c r="G3" s="163"/>
      <c r="H3" s="163"/>
      <c r="I3" s="163"/>
      <c r="J3" s="163"/>
      <c r="K3" s="163"/>
    </row>
    <row r="4" spans="1:13" ht="57" x14ac:dyDescent="0.25">
      <c r="A4" s="1"/>
      <c r="B4" s="2"/>
      <c r="C4" s="2"/>
      <c r="D4" s="2"/>
      <c r="E4" s="2"/>
      <c r="F4" s="2"/>
      <c r="G4" s="2"/>
    </row>
    <row r="5" spans="1:13" x14ac:dyDescent="0.25">
      <c r="A5" s="164" t="s">
        <v>0</v>
      </c>
      <c r="B5" s="164"/>
      <c r="C5" s="164"/>
      <c r="D5" s="231"/>
      <c r="E5" s="1"/>
      <c r="F5" s="1"/>
    </row>
    <row r="6" spans="1:13" x14ac:dyDescent="0.25">
      <c r="A6" s="1"/>
      <c r="B6" s="1"/>
      <c r="C6" s="1"/>
      <c r="D6" s="1"/>
      <c r="E6" s="1"/>
      <c r="F6" s="1"/>
      <c r="G6" s="1"/>
    </row>
    <row r="7" spans="1:13" x14ac:dyDescent="0.25">
      <c r="A7" s="164" t="s">
        <v>1</v>
      </c>
      <c r="B7" s="164"/>
      <c r="C7" s="4"/>
      <c r="D7" s="1"/>
      <c r="E7" s="164" t="s">
        <v>19</v>
      </c>
      <c r="F7" s="164"/>
      <c r="G7" s="4"/>
      <c r="H7" s="157"/>
      <c r="M7" s="5"/>
    </row>
    <row r="8" spans="1:13" x14ac:dyDescent="0.25">
      <c r="A8" s="164" t="s">
        <v>2</v>
      </c>
      <c r="B8" s="164"/>
      <c r="C8" s="6"/>
      <c r="D8" s="1"/>
      <c r="E8" s="164" t="s">
        <v>20</v>
      </c>
      <c r="F8" s="164"/>
      <c r="G8" s="6"/>
      <c r="M8" s="5"/>
    </row>
    <row r="9" spans="1:13" x14ac:dyDescent="0.25">
      <c r="A9" s="1"/>
      <c r="B9" s="1"/>
      <c r="C9" s="1"/>
      <c r="D9" s="1"/>
      <c r="E9" s="1"/>
      <c r="F9" s="1"/>
      <c r="G9" s="1"/>
      <c r="M9" s="5"/>
    </row>
    <row r="10" spans="1:13" x14ac:dyDescent="0.25">
      <c r="A10" s="160" t="s">
        <v>3</v>
      </c>
      <c r="B10" s="161"/>
      <c r="C10" s="7"/>
      <c r="D10" s="1"/>
      <c r="E10" s="160" t="s">
        <v>21</v>
      </c>
      <c r="F10" s="161"/>
      <c r="G10" s="8"/>
    </row>
    <row r="11" spans="1:13" x14ac:dyDescent="0.25">
      <c r="A11" s="160" t="s">
        <v>4</v>
      </c>
      <c r="B11" s="161"/>
      <c r="C11" s="8"/>
      <c r="D11" s="1"/>
      <c r="E11" s="164" t="s">
        <v>22</v>
      </c>
      <c r="F11" s="164"/>
      <c r="G11" s="228">
        <v>15</v>
      </c>
    </row>
    <row r="12" spans="1:13" x14ac:dyDescent="0.25">
      <c r="A12" s="1"/>
      <c r="B12" s="1"/>
      <c r="C12" s="1"/>
      <c r="D12" s="1"/>
      <c r="E12" s="164" t="s">
        <v>23</v>
      </c>
      <c r="F12" s="164"/>
      <c r="G12" s="10"/>
    </row>
    <row r="13" spans="1:13" x14ac:dyDescent="0.25">
      <c r="A13" s="1"/>
      <c r="B13" s="1"/>
      <c r="C13" s="1"/>
      <c r="D13" s="1"/>
      <c r="E13" s="1"/>
      <c r="F13" s="1"/>
      <c r="G13" s="1"/>
    </row>
    <row r="14" spans="1:13" x14ac:dyDescent="0.25">
      <c r="A14" s="160" t="s">
        <v>5</v>
      </c>
      <c r="B14" s="161"/>
      <c r="C14" s="4"/>
      <c r="D14" s="1"/>
      <c r="E14" s="1"/>
      <c r="F14" s="1"/>
      <c r="G14" s="1"/>
    </row>
    <row r="15" spans="1:13" x14ac:dyDescent="0.25">
      <c r="A15" s="160" t="s">
        <v>6</v>
      </c>
      <c r="B15" s="161"/>
      <c r="C15" s="10"/>
      <c r="D15" s="1"/>
      <c r="E15" s="1"/>
      <c r="F15" s="1"/>
      <c r="G15" s="1"/>
    </row>
    <row r="16" spans="1:13" x14ac:dyDescent="0.25">
      <c r="A16" s="1"/>
      <c r="B16" s="1"/>
      <c r="C16" s="1"/>
      <c r="D16" s="5" t="s">
        <v>14</v>
      </c>
      <c r="E16" s="1"/>
      <c r="F16" s="1"/>
      <c r="G16" s="1"/>
    </row>
    <row r="17" spans="1:9" x14ac:dyDescent="0.25">
      <c r="A17" s="1"/>
      <c r="B17" s="1"/>
      <c r="C17" s="1"/>
      <c r="D17" s="5" t="s">
        <v>232</v>
      </c>
      <c r="E17" s="1"/>
      <c r="F17" s="1"/>
      <c r="G17" s="1"/>
      <c r="H17" s="1"/>
    </row>
    <row r="18" spans="1:9" x14ac:dyDescent="0.25">
      <c r="A18" s="1"/>
      <c r="B18" s="1"/>
      <c r="C18" s="1"/>
      <c r="D18" s="5" t="s">
        <v>233</v>
      </c>
      <c r="E18" s="1"/>
      <c r="F18" s="1"/>
      <c r="G18" s="1"/>
      <c r="H18" s="1"/>
    </row>
    <row r="19" spans="1:9" x14ac:dyDescent="0.25">
      <c r="A19" s="1"/>
      <c r="B19" s="1"/>
      <c r="C19" s="1"/>
      <c r="D19" s="1"/>
      <c r="E19" s="1"/>
    </row>
    <row r="20" spans="1:9" x14ac:dyDescent="0.25">
      <c r="A20" s="3" t="s">
        <v>8</v>
      </c>
      <c r="B20" s="11"/>
      <c r="C20" s="1"/>
      <c r="D20" s="1"/>
      <c r="E20" s="1"/>
      <c r="F20" s="1"/>
      <c r="G20" s="1"/>
    </row>
    <row r="21" spans="1:9" ht="15.75" thickBot="1" x14ac:dyDescent="0.3">
      <c r="A21" s="1"/>
      <c r="B21" s="1"/>
      <c r="C21" s="1"/>
      <c r="D21" s="1"/>
      <c r="E21" s="1"/>
      <c r="F21" s="1"/>
      <c r="G21" s="1"/>
    </row>
    <row r="22" spans="1:9" ht="60.75" thickBot="1" x14ac:dyDescent="0.3">
      <c r="A22" s="12" t="s">
        <v>9</v>
      </c>
      <c r="B22" s="13" t="s">
        <v>12</v>
      </c>
      <c r="C22" s="13" t="s">
        <v>15</v>
      </c>
      <c r="D22" s="25" t="s">
        <v>268</v>
      </c>
      <c r="E22" s="25" t="s">
        <v>269</v>
      </c>
      <c r="F22" s="25" t="s">
        <v>52</v>
      </c>
      <c r="G22" s="26" t="s">
        <v>270</v>
      </c>
      <c r="H22" s="26" t="s">
        <v>271</v>
      </c>
      <c r="I22" s="26" t="s">
        <v>55</v>
      </c>
    </row>
    <row r="23" spans="1:9" x14ac:dyDescent="0.25">
      <c r="A23" s="15">
        <v>1</v>
      </c>
      <c r="B23" s="11"/>
      <c r="C23" s="11"/>
      <c r="D23" s="18"/>
      <c r="E23" s="18"/>
      <c r="F23" s="18"/>
      <c r="G23" s="18"/>
      <c r="H23" s="18"/>
      <c r="I23" s="18"/>
    </row>
    <row r="24" spans="1:9" x14ac:dyDescent="0.25">
      <c r="A24" s="19">
        <v>2</v>
      </c>
      <c r="B24" s="11"/>
      <c r="C24" s="11"/>
      <c r="D24" s="18"/>
      <c r="E24" s="18"/>
      <c r="F24" s="18"/>
      <c r="G24" s="18"/>
      <c r="H24" s="18"/>
      <c r="I24" s="18"/>
    </row>
    <row r="25" spans="1:9" x14ac:dyDescent="0.25">
      <c r="A25" s="15">
        <v>3</v>
      </c>
      <c r="B25" s="11"/>
      <c r="C25" s="11"/>
      <c r="D25" s="18"/>
      <c r="E25" s="18"/>
      <c r="F25" s="18"/>
      <c r="G25" s="18"/>
      <c r="H25" s="18"/>
      <c r="I25" s="18"/>
    </row>
    <row r="26" spans="1:9" x14ac:dyDescent="0.25">
      <c r="A26" s="19">
        <v>4</v>
      </c>
      <c r="B26" s="11"/>
      <c r="C26" s="11"/>
      <c r="D26" s="18"/>
      <c r="E26" s="18"/>
      <c r="F26" s="18"/>
      <c r="G26" s="18"/>
      <c r="H26" s="18"/>
      <c r="I26" s="18"/>
    </row>
    <row r="27" spans="1:9" x14ac:dyDescent="0.25">
      <c r="A27" s="15">
        <v>5</v>
      </c>
      <c r="B27" s="11"/>
      <c r="C27" s="11"/>
      <c r="D27" s="18"/>
      <c r="E27" s="18"/>
      <c r="F27" s="18"/>
      <c r="G27" s="18"/>
      <c r="H27" s="18"/>
      <c r="I27" s="18"/>
    </row>
    <row r="28" spans="1:9" x14ac:dyDescent="0.25">
      <c r="A28" s="19">
        <v>6</v>
      </c>
      <c r="B28" s="11"/>
      <c r="C28" s="11"/>
      <c r="D28" s="18"/>
      <c r="E28" s="18"/>
      <c r="F28" s="18"/>
      <c r="G28" s="18"/>
      <c r="H28" s="18"/>
      <c r="I28" s="18"/>
    </row>
    <row r="29" spans="1:9" x14ac:dyDescent="0.25">
      <c r="A29" s="15">
        <v>7</v>
      </c>
      <c r="B29" s="11"/>
      <c r="C29" s="11"/>
      <c r="D29" s="18"/>
      <c r="E29" s="18"/>
      <c r="F29" s="18"/>
      <c r="G29" s="18"/>
      <c r="H29" s="18"/>
      <c r="I29" s="18"/>
    </row>
    <row r="30" spans="1:9" x14ac:dyDescent="0.25">
      <c r="A30" s="19">
        <v>8</v>
      </c>
      <c r="B30" s="11"/>
      <c r="C30" s="11"/>
      <c r="D30" s="18"/>
      <c r="E30" s="18"/>
      <c r="F30" s="18"/>
      <c r="G30" s="18"/>
      <c r="H30" s="18"/>
      <c r="I30" s="18"/>
    </row>
    <row r="31" spans="1:9" x14ac:dyDescent="0.25">
      <c r="A31" s="15">
        <v>9</v>
      </c>
      <c r="B31" s="11"/>
      <c r="C31" s="11"/>
      <c r="D31" s="18"/>
      <c r="E31" s="18"/>
      <c r="F31" s="18"/>
      <c r="G31" s="18"/>
      <c r="H31" s="18"/>
      <c r="I31" s="18"/>
    </row>
    <row r="36" spans="1:15" ht="26.25" x14ac:dyDescent="0.25">
      <c r="A36" s="1"/>
      <c r="B36" s="165" t="s">
        <v>13</v>
      </c>
      <c r="C36" s="165"/>
      <c r="D36" s="1"/>
      <c r="E36" s="1"/>
      <c r="F36" s="1"/>
      <c r="G36" s="1"/>
      <c r="H36" s="1"/>
      <c r="I36" s="1"/>
      <c r="J36" s="165" t="s">
        <v>31</v>
      </c>
      <c r="K36" s="165"/>
      <c r="L36" s="1"/>
      <c r="M36" s="1"/>
    </row>
    <row r="37" spans="1:15" x14ac:dyDescent="0.25">
      <c r="A37" s="1"/>
      <c r="B37" s="1"/>
      <c r="C37" s="1"/>
      <c r="D37" s="1"/>
      <c r="E37" s="1"/>
      <c r="F37" s="1"/>
      <c r="G37" s="1"/>
      <c r="H37" s="1"/>
      <c r="I37" s="1"/>
      <c r="J37" s="1"/>
      <c r="K37" s="1"/>
      <c r="L37" s="1"/>
      <c r="M37" s="1"/>
      <c r="N37" s="1"/>
      <c r="O37" s="1"/>
    </row>
    <row r="38" spans="1:15" x14ac:dyDescent="0.25">
      <c r="A38" s="160" t="s">
        <v>10</v>
      </c>
      <c r="B38" s="209"/>
      <c r="C38" s="209"/>
      <c r="D38" s="209"/>
      <c r="E38" s="209"/>
      <c r="F38" s="161"/>
      <c r="G38" s="1"/>
      <c r="H38" s="1"/>
      <c r="I38" s="164" t="s">
        <v>27</v>
      </c>
      <c r="J38" s="164"/>
      <c r="K38" s="164"/>
      <c r="L38" s="164"/>
      <c r="M38" s="164"/>
    </row>
    <row r="39" spans="1:15" ht="30" x14ac:dyDescent="0.25">
      <c r="A39" s="164"/>
      <c r="B39" s="164"/>
      <c r="C39" s="3" t="s">
        <v>16</v>
      </c>
      <c r="D39" s="20" t="s">
        <v>18</v>
      </c>
      <c r="E39" s="20" t="s">
        <v>25</v>
      </c>
      <c r="F39" s="20" t="s">
        <v>26</v>
      </c>
      <c r="G39" s="1"/>
      <c r="H39" s="1"/>
      <c r="I39" s="168"/>
      <c r="J39" s="168"/>
      <c r="K39" s="3" t="s">
        <v>33</v>
      </c>
      <c r="L39" s="3" t="s">
        <v>35</v>
      </c>
      <c r="M39" s="3" t="s">
        <v>36</v>
      </c>
    </row>
    <row r="40" spans="1:15" x14ac:dyDescent="0.25">
      <c r="A40" s="160" t="str">
        <f>CONCATENATE("Sonde ", B23)</f>
        <v xml:space="preserve">Sonde </v>
      </c>
      <c r="B40" s="161"/>
      <c r="C40" s="10"/>
      <c r="D40" s="10"/>
      <c r="E40" s="10"/>
      <c r="F40" s="10"/>
      <c r="G40" s="1"/>
      <c r="H40" s="1"/>
      <c r="I40" s="169" t="s">
        <v>28</v>
      </c>
      <c r="J40" s="170"/>
      <c r="K40" s="10"/>
      <c r="L40" s="10"/>
      <c r="M40" s="10"/>
    </row>
    <row r="41" spans="1:15" x14ac:dyDescent="0.25">
      <c r="A41" s="160" t="str">
        <f>CONCATENATE("Sonde ", B24)</f>
        <v xml:space="preserve">Sonde </v>
      </c>
      <c r="B41" s="161"/>
      <c r="C41" s="10"/>
      <c r="D41" s="10"/>
      <c r="E41" s="10"/>
      <c r="F41" s="10"/>
      <c r="G41" s="1"/>
      <c r="H41" s="1"/>
      <c r="I41" s="1"/>
      <c r="J41" s="1"/>
      <c r="K41" s="1"/>
      <c r="L41" s="1"/>
      <c r="M41" s="1"/>
    </row>
    <row r="42" spans="1:15" x14ac:dyDescent="0.25">
      <c r="A42" s="160" t="str">
        <f>CONCATENATE("Sonde ", B25)</f>
        <v xml:space="preserve">Sonde </v>
      </c>
      <c r="B42" s="161"/>
      <c r="C42" s="10"/>
      <c r="D42" s="10"/>
      <c r="E42" s="10"/>
      <c r="F42" s="10"/>
      <c r="G42" s="1"/>
      <c r="H42" s="1"/>
      <c r="I42" s="1"/>
      <c r="J42" s="1"/>
      <c r="K42" s="1"/>
      <c r="L42" s="1"/>
      <c r="M42" s="1"/>
    </row>
    <row r="43" spans="1:15" x14ac:dyDescent="0.25">
      <c r="A43" s="160" t="str">
        <f>CONCATENATE("Sonde ", B26)</f>
        <v xml:space="preserve">Sonde </v>
      </c>
      <c r="B43" s="161"/>
      <c r="C43" s="10"/>
      <c r="D43" s="10"/>
      <c r="E43" s="10"/>
      <c r="F43" s="10"/>
      <c r="G43" s="1"/>
      <c r="H43" s="1"/>
      <c r="I43" s="1"/>
      <c r="J43" s="1"/>
      <c r="K43" s="1"/>
      <c r="L43" s="1"/>
      <c r="M43" s="1"/>
    </row>
    <row r="44" spans="1:15" x14ac:dyDescent="0.25">
      <c r="A44" s="160" t="str">
        <f>CONCATENATE("Sonde ", B27)</f>
        <v xml:space="preserve">Sonde </v>
      </c>
      <c r="B44" s="161"/>
      <c r="C44" s="10"/>
      <c r="D44" s="10"/>
      <c r="E44" s="10"/>
      <c r="F44" s="10"/>
      <c r="G44" s="1"/>
      <c r="H44" s="1"/>
      <c r="I44" s="1"/>
      <c r="J44" s="1"/>
    </row>
    <row r="45" spans="1:15" x14ac:dyDescent="0.25">
      <c r="A45" s="160" t="str">
        <f>CONCATENATE("Sonde ", B28)</f>
        <v xml:space="preserve">Sonde </v>
      </c>
      <c r="B45" s="161"/>
      <c r="C45" s="10"/>
      <c r="D45" s="10"/>
      <c r="E45" s="10"/>
      <c r="F45" s="10"/>
      <c r="G45" s="1"/>
      <c r="H45" s="1"/>
      <c r="I45" s="1"/>
      <c r="J45" s="1"/>
    </row>
    <row r="46" spans="1:15" x14ac:dyDescent="0.25">
      <c r="A46" s="160" t="str">
        <f>CONCATENATE("Sonde ", B29)</f>
        <v xml:space="preserve">Sonde </v>
      </c>
      <c r="B46" s="161"/>
      <c r="C46" s="10"/>
      <c r="D46" s="10"/>
      <c r="E46" s="10"/>
      <c r="F46" s="10"/>
      <c r="G46" s="1"/>
      <c r="H46" s="1"/>
      <c r="I46" s="1"/>
      <c r="J46" s="1"/>
    </row>
    <row r="47" spans="1:15" x14ac:dyDescent="0.25">
      <c r="A47" s="160" t="str">
        <f>CONCATENATE("Sonde ", B30)</f>
        <v xml:space="preserve">Sonde </v>
      </c>
      <c r="B47" s="161"/>
      <c r="C47" s="10"/>
      <c r="D47" s="10"/>
      <c r="E47" s="10"/>
      <c r="F47" s="10"/>
      <c r="G47" s="1"/>
      <c r="H47" s="1"/>
      <c r="I47" s="1"/>
      <c r="J47" s="1"/>
    </row>
    <row r="48" spans="1:15" x14ac:dyDescent="0.25">
      <c r="A48" s="160" t="str">
        <f>CONCATENATE("Sonde ", B31)</f>
        <v xml:space="preserve">Sonde </v>
      </c>
      <c r="B48" s="161"/>
      <c r="C48" s="10"/>
      <c r="D48" s="10"/>
      <c r="E48" s="10"/>
      <c r="F48" s="10"/>
      <c r="G48" s="1"/>
      <c r="H48" s="1"/>
      <c r="I48" s="1"/>
      <c r="J48" s="1"/>
    </row>
  </sheetData>
  <sheetProtection autoFilter="0"/>
  <protectedRanges>
    <protectedRange sqref="C10" name="Donnees controleur"/>
  </protectedRanges>
  <mergeCells count="29">
    <mergeCell ref="A45:B45"/>
    <mergeCell ref="A46:B46"/>
    <mergeCell ref="A47:B47"/>
    <mergeCell ref="A48:B48"/>
    <mergeCell ref="A40:B40"/>
    <mergeCell ref="I40:J40"/>
    <mergeCell ref="A41:B41"/>
    <mergeCell ref="A42:B42"/>
    <mergeCell ref="A43:B43"/>
    <mergeCell ref="A44:B44"/>
    <mergeCell ref="A15:B15"/>
    <mergeCell ref="B36:C36"/>
    <mergeCell ref="J36:K36"/>
    <mergeCell ref="A38:F38"/>
    <mergeCell ref="I38:M38"/>
    <mergeCell ref="A39:B39"/>
    <mergeCell ref="I39:J39"/>
    <mergeCell ref="A10:B10"/>
    <mergeCell ref="E10:F10"/>
    <mergeCell ref="A11:B11"/>
    <mergeCell ref="E11:F11"/>
    <mergeCell ref="E12:F12"/>
    <mergeCell ref="A14:B14"/>
    <mergeCell ref="B2:K3"/>
    <mergeCell ref="A5:C5"/>
    <mergeCell ref="A7:B7"/>
    <mergeCell ref="E7:F7"/>
    <mergeCell ref="A8:B8"/>
    <mergeCell ref="E8:F8"/>
  </mergeCells>
  <conditionalFormatting sqref="A1:N4 A6:N49 A5:M5">
    <cfRule type="expression" dxfId="16" priority="1">
      <formula>AND(NOT(CELL("protege", A1)), A1="")</formula>
    </cfRule>
  </conditionalFormatting>
  <dataValidations disablePrompts="1" count="2">
    <dataValidation type="list" allowBlank="1" showInputMessage="1" showErrorMessage="1" sqref="C10" xr:uid="{8E4C1123-B088-4ED5-9031-95064819C800}">
      <formula1>"BCH , LV"</formula1>
    </dataValidation>
    <dataValidation type="list" allowBlank="1" showInputMessage="1" showErrorMessage="1" sqref="C15" xr:uid="{28D26A77-82EE-45D9-B198-1283C7796FFA}">
      <formula1>$D$16:$D$18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4" r:id="rId3" name="Button 6">
              <controlPr defaultSize="0" print="0" autoFill="0" autoPict="0" macro="[0]!Realisation_TUS_DOVER">
                <anchor moveWithCells="1" sizeWithCells="1">
                  <from>
                    <xdr:col>9</xdr:col>
                    <xdr:colOff>295275</xdr:colOff>
                    <xdr:row>6</xdr:row>
                    <xdr:rowOff>47625</xdr:rowOff>
                  </from>
                  <to>
                    <xdr:col>13</xdr:col>
                    <xdr:colOff>400050</xdr:colOff>
                    <xdr:row>12</xdr:row>
                    <xdr:rowOff>28575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C01BC-F3BB-40C9-8580-5011C0EA6C93}">
  <sheetPr codeName="Feuil22">
    <tabColor theme="9" tint="0.39997558519241921"/>
  </sheetPr>
  <dimension ref="A1:J1"/>
  <sheetViews>
    <sheetView workbookViewId="0">
      <selection activeCell="M16" sqref="M16"/>
    </sheetView>
  </sheetViews>
  <sheetFormatPr baseColWidth="10" defaultRowHeight="15" x14ac:dyDescent="0.25"/>
  <cols>
    <col min="1" max="1" width="13.7109375" bestFit="1" customWidth="1"/>
    <col min="2" max="10" width="15" bestFit="1" customWidth="1"/>
  </cols>
  <sheetData>
    <row r="1" spans="1:10" x14ac:dyDescent="0.25">
      <c r="A1" t="s">
        <v>37</v>
      </c>
      <c r="B1" t="s">
        <v>38</v>
      </c>
      <c r="C1" t="s">
        <v>39</v>
      </c>
      <c r="D1" t="s">
        <v>40</v>
      </c>
      <c r="E1" t="s">
        <v>41</v>
      </c>
      <c r="F1" t="s">
        <v>42</v>
      </c>
      <c r="G1" t="s">
        <v>43</v>
      </c>
      <c r="H1" t="s">
        <v>44</v>
      </c>
      <c r="I1" t="s">
        <v>45</v>
      </c>
      <c r="J1" t="s">
        <v>46</v>
      </c>
    </row>
  </sheetData>
  <sheetProtection algorithmName="SHA-512" hashValue="rahDlmm9hzRnQ3HxlxeDajCFkQkoptizQIYfXhZTGPt9h+kg/SEa61pHevuoA0/pmz5yb4iyTVyfTiFHqN1+iw==" saltValue="1WwrGFqc919X3tkTXGp0Vg==" spinCount="100000" sheet="1" objects="1" scenarios="1" autoFilter="0"/>
  <dataConsolidate/>
  <phoneticPr fontId="40" type="noConversion"/>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CC4D2-EEDA-45E3-9D0D-44B762601D88}">
  <sheetPr codeName="Feuil23">
    <tabColor theme="9" tint="0.39997558519241921"/>
  </sheetPr>
  <dimension ref="A1:J1"/>
  <sheetViews>
    <sheetView workbookViewId="0">
      <selection activeCell="G17" sqref="G17"/>
    </sheetView>
  </sheetViews>
  <sheetFormatPr baseColWidth="10" defaultRowHeight="15" x14ac:dyDescent="0.25"/>
  <cols>
    <col min="1" max="1" width="13.7109375" bestFit="1" customWidth="1"/>
    <col min="2" max="10" width="15" bestFit="1" customWidth="1"/>
  </cols>
  <sheetData>
    <row r="1" spans="1:10" x14ac:dyDescent="0.25">
      <c r="A1" t="s">
        <v>37</v>
      </c>
      <c r="B1" t="s">
        <v>38</v>
      </c>
      <c r="C1" t="s">
        <v>39</v>
      </c>
      <c r="D1" t="s">
        <v>40</v>
      </c>
      <c r="E1" t="s">
        <v>41</v>
      </c>
      <c r="F1" t="s">
        <v>42</v>
      </c>
      <c r="G1" t="s">
        <v>43</v>
      </c>
      <c r="H1" t="s">
        <v>44</v>
      </c>
      <c r="I1" t="s">
        <v>45</v>
      </c>
      <c r="J1" t="s">
        <v>46</v>
      </c>
    </row>
  </sheetData>
  <sheetProtection algorithmName="SHA-512" hashValue="YfsALmZoRNZq2ejfmnddkYzZ6Lb9X5WvO620KmX6YG0BEJq6oObejVK0nxHzLB8xfn9h6/PYGTruocUzsN2KLw==" saltValue="oNehzAjPx+PkvfP2IfWtuQ==" spinCount="100000" sheet="1" objects="1" scenarios="1" autoFilter="0"/>
  <phoneticPr fontId="4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05F0B-A948-45EB-BCB3-2C8A70A2E323}">
  <sheetPr codeName="Feuil24">
    <tabColor theme="9" tint="0.39997558519241921"/>
  </sheetPr>
  <dimension ref="A1:J1"/>
  <sheetViews>
    <sheetView workbookViewId="0">
      <selection activeCell="E24" sqref="E24"/>
    </sheetView>
  </sheetViews>
  <sheetFormatPr baseColWidth="10" defaultRowHeight="15" x14ac:dyDescent="0.25"/>
  <cols>
    <col min="1" max="1" width="13.7109375" bestFit="1" customWidth="1"/>
    <col min="2" max="10" width="15" bestFit="1" customWidth="1"/>
  </cols>
  <sheetData>
    <row r="1" spans="1:10" x14ac:dyDescent="0.25">
      <c r="A1" t="s">
        <v>37</v>
      </c>
      <c r="B1" t="s">
        <v>38</v>
      </c>
      <c r="C1" t="s">
        <v>39</v>
      </c>
      <c r="D1" t="s">
        <v>40</v>
      </c>
      <c r="E1" t="s">
        <v>41</v>
      </c>
      <c r="F1" t="s">
        <v>42</v>
      </c>
      <c r="G1" t="s">
        <v>43</v>
      </c>
      <c r="H1" t="s">
        <v>44</v>
      </c>
      <c r="I1" t="s">
        <v>45</v>
      </c>
      <c r="J1" t="s">
        <v>46</v>
      </c>
    </row>
  </sheetData>
  <sheetProtection algorithmName="SHA-512" hashValue="T0ySKJQlKbKRYtiN+QFpD2MxZjAWJDso3M0AawsFk3XVeLWNnBP1I0hWVaEhJ3JUKWqHAAkj1jcU+1TAd9Y3eg==" saltValue="LC9czNSrWtfvpc4ppAgLow==" spinCount="100000" sheet="1" objects="1" scenarios="1" autoFilter="0"/>
  <phoneticPr fontId="4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41800-62CB-435C-80C0-74B06F5E7672}">
  <sheetPr codeName="Feuil10">
    <tabColor theme="9" tint="0.39997558519241921"/>
  </sheetPr>
  <dimension ref="A1:O55"/>
  <sheetViews>
    <sheetView topLeftCell="A37" workbookViewId="0">
      <selection activeCell="P48" sqref="P48"/>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172" t="str">
        <f>"50°C"</f>
        <v>50°C</v>
      </c>
      <c r="B1" s="172"/>
      <c r="C1" s="172"/>
      <c r="D1" s="172"/>
      <c r="E1" s="172"/>
      <c r="F1" s="172"/>
      <c r="G1" s="172"/>
      <c r="H1" s="172"/>
      <c r="I1" s="172"/>
      <c r="J1" s="172"/>
      <c r="K1" s="172"/>
      <c r="L1" s="172"/>
      <c r="M1" s="172"/>
      <c r="N1" s="172"/>
      <c r="O1" s="172"/>
    </row>
    <row r="2" spans="1:15" s="27" customFormat="1" x14ac:dyDescent="0.25">
      <c r="A2" s="172"/>
      <c r="B2" s="172"/>
      <c r="C2" s="172"/>
      <c r="D2" s="172"/>
      <c r="E2" s="172"/>
      <c r="F2" s="172"/>
      <c r="G2" s="172"/>
      <c r="H2" s="172"/>
      <c r="I2" s="172"/>
      <c r="J2" s="172"/>
      <c r="K2" s="172"/>
      <c r="L2" s="172"/>
      <c r="M2" s="172"/>
      <c r="N2" s="172"/>
      <c r="O2" s="172"/>
    </row>
    <row r="3" spans="1:15" s="27" customFormat="1" x14ac:dyDescent="0.25">
      <c r="A3" s="172"/>
      <c r="B3" s="172"/>
      <c r="C3" s="172"/>
      <c r="D3" s="172"/>
      <c r="E3" s="172"/>
      <c r="F3" s="172"/>
      <c r="G3" s="172"/>
      <c r="H3" s="172"/>
      <c r="I3" s="172"/>
      <c r="J3" s="172"/>
      <c r="K3" s="172"/>
      <c r="L3" s="172"/>
      <c r="M3" s="172"/>
      <c r="N3" s="172"/>
      <c r="O3" s="172"/>
    </row>
    <row r="4" spans="1:15" s="27" customFormat="1" x14ac:dyDescent="0.25">
      <c r="L4" s="33"/>
    </row>
    <row r="5" spans="1:15" s="27" customFormat="1" x14ac:dyDescent="0.25">
      <c r="B5" s="34" t="s">
        <v>24</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94</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10" t="s">
        <v>95</v>
      </c>
      <c r="B9" s="210"/>
      <c r="C9" s="210"/>
      <c r="D9" s="210"/>
      <c r="E9" s="210"/>
      <c r="F9" s="210"/>
      <c r="G9" s="210"/>
      <c r="H9" s="210"/>
      <c r="I9" s="210"/>
      <c r="J9" s="210"/>
      <c r="K9" s="210"/>
      <c r="L9" s="33"/>
    </row>
    <row r="10" spans="1:15" s="27" customFormat="1" x14ac:dyDescent="0.25">
      <c r="A10" s="33"/>
      <c r="B10" s="34" t="str" cm="1">
        <f t="array" ref="B10:K10">Valeurs_Brutes_50[#Headers]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11" t="s">
        <v>96</v>
      </c>
      <c r="B11" s="145" cm="1">
        <f t="array" ref="B11">Valeurs_Brutes_50[Date/Heure]</f>
        <v>0</v>
      </c>
      <c r="C11" s="130" t="e" cm="1">
        <f t="array" ref="C11:K11">Valeurs_Brutes_50[[Connecteur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11"/>
      <c r="B12" s="145"/>
      <c r="C12" s="130"/>
      <c r="D12" s="130"/>
      <c r="E12" s="130"/>
      <c r="F12" s="130"/>
      <c r="G12" s="130"/>
      <c r="H12" s="130"/>
      <c r="I12" s="130"/>
      <c r="J12" s="130"/>
      <c r="K12" s="130"/>
      <c r="L12" s="33"/>
    </row>
    <row r="13" spans="1:15" x14ac:dyDescent="0.25">
      <c r="A13" s="211"/>
      <c r="B13" s="145"/>
      <c r="C13" s="130"/>
      <c r="D13" s="130"/>
      <c r="E13" s="130"/>
      <c r="F13" s="130"/>
      <c r="G13" s="130"/>
      <c r="H13" s="130"/>
      <c r="I13" s="130"/>
      <c r="J13" s="130"/>
      <c r="K13" s="130"/>
    </row>
    <row r="14" spans="1:15" x14ac:dyDescent="0.25">
      <c r="A14" s="211"/>
      <c r="B14" s="145"/>
      <c r="C14" s="130"/>
      <c r="D14" s="130"/>
      <c r="E14" s="130"/>
      <c r="F14" s="130"/>
      <c r="G14" s="130"/>
      <c r="H14" s="130"/>
      <c r="I14" s="130"/>
      <c r="J14" s="130"/>
      <c r="K14" s="130"/>
    </row>
    <row r="15" spans="1:15" x14ac:dyDescent="0.25">
      <c r="A15" s="211"/>
      <c r="B15" s="145"/>
      <c r="C15" s="130"/>
      <c r="D15" s="130"/>
      <c r="E15" s="130"/>
      <c r="F15" s="130"/>
      <c r="G15" s="130"/>
      <c r="H15" s="130"/>
      <c r="I15" s="130"/>
      <c r="J15" s="130"/>
      <c r="K15" s="130"/>
    </row>
    <row r="16" spans="1:15" x14ac:dyDescent="0.25">
      <c r="A16" s="211"/>
      <c r="B16" s="145"/>
      <c r="C16" s="130"/>
      <c r="D16" s="130"/>
      <c r="E16" s="130"/>
      <c r="F16" s="130"/>
      <c r="G16" s="130"/>
      <c r="H16" s="130"/>
      <c r="I16" s="130"/>
      <c r="J16" s="130"/>
      <c r="K16" s="130"/>
    </row>
    <row r="17" spans="1:12" x14ac:dyDescent="0.25">
      <c r="A17" s="211"/>
      <c r="B17" s="145"/>
      <c r="C17" s="130"/>
      <c r="D17" s="130"/>
      <c r="E17" s="130"/>
      <c r="F17" s="130"/>
      <c r="G17" s="130"/>
      <c r="H17" s="130"/>
      <c r="I17" s="130"/>
      <c r="J17" s="130"/>
      <c r="K17" s="130"/>
    </row>
    <row r="18" spans="1:12" x14ac:dyDescent="0.25">
      <c r="A18" s="211"/>
      <c r="B18" s="145"/>
      <c r="C18" s="130"/>
      <c r="D18" s="130"/>
      <c r="E18" s="130"/>
      <c r="F18" s="130"/>
      <c r="G18" s="130"/>
      <c r="H18" s="130"/>
      <c r="I18" s="130"/>
      <c r="J18" s="130"/>
      <c r="K18" s="130"/>
    </row>
    <row r="19" spans="1:12" x14ac:dyDescent="0.25">
      <c r="A19" s="211"/>
      <c r="B19" s="145"/>
      <c r="C19" s="130"/>
      <c r="D19" s="130"/>
      <c r="E19" s="130"/>
      <c r="F19" s="130"/>
      <c r="G19" s="130"/>
      <c r="H19" s="130"/>
      <c r="I19" s="130"/>
      <c r="J19" s="130"/>
      <c r="K19" s="130"/>
    </row>
    <row r="20" spans="1:12" x14ac:dyDescent="0.25">
      <c r="A20" s="211"/>
      <c r="B20" s="145"/>
      <c r="C20" s="130"/>
      <c r="D20" s="130"/>
      <c r="E20" s="130"/>
      <c r="F20" s="130"/>
      <c r="G20" s="130"/>
      <c r="H20" s="130"/>
      <c r="I20" s="130"/>
      <c r="J20" s="130"/>
      <c r="K20" s="130"/>
    </row>
    <row r="21" spans="1:12" x14ac:dyDescent="0.25">
      <c r="A21" s="211"/>
      <c r="B21" s="145"/>
      <c r="C21" s="130"/>
      <c r="D21" s="130"/>
      <c r="E21" s="130"/>
      <c r="F21" s="130"/>
      <c r="G21" s="130"/>
      <c r="H21" s="130"/>
      <c r="I21" s="130"/>
      <c r="J21" s="130"/>
      <c r="K21" s="130"/>
    </row>
    <row r="22" spans="1:12" x14ac:dyDescent="0.25">
      <c r="A22" s="211"/>
      <c r="B22" s="145"/>
      <c r="C22" s="130"/>
      <c r="D22" s="130"/>
      <c r="E22" s="130"/>
      <c r="F22" s="130"/>
      <c r="G22" s="130"/>
      <c r="H22" s="130"/>
      <c r="I22" s="130"/>
      <c r="J22" s="130"/>
      <c r="K22" s="130"/>
    </row>
    <row r="23" spans="1:12" s="27" customFormat="1" x14ac:dyDescent="0.25">
      <c r="A23" s="211"/>
      <c r="B23" s="145"/>
      <c r="C23" s="130"/>
      <c r="D23" s="130"/>
      <c r="E23" s="130"/>
      <c r="F23" s="130"/>
      <c r="G23" s="130"/>
      <c r="H23" s="130"/>
      <c r="I23" s="130"/>
      <c r="J23" s="130"/>
      <c r="K23" s="130"/>
      <c r="L23" s="33"/>
    </row>
    <row r="24" spans="1:12" x14ac:dyDescent="0.25">
      <c r="A24" s="211"/>
      <c r="B24" s="145"/>
      <c r="C24" s="130"/>
      <c r="D24" s="130"/>
      <c r="E24" s="130"/>
      <c r="F24" s="130"/>
      <c r="G24" s="130"/>
      <c r="H24" s="130"/>
      <c r="I24" s="130"/>
      <c r="J24" s="130"/>
      <c r="K24" s="130"/>
    </row>
    <row r="25" spans="1:12" x14ac:dyDescent="0.25">
      <c r="A25" s="211"/>
      <c r="B25" s="145"/>
      <c r="C25" s="130"/>
      <c r="D25" s="130"/>
      <c r="E25" s="130"/>
      <c r="F25" s="130"/>
      <c r="G25" s="130"/>
      <c r="H25" s="130"/>
      <c r="I25" s="130"/>
      <c r="J25" s="130"/>
      <c r="K25" s="130"/>
    </row>
    <row r="26" spans="1:12" x14ac:dyDescent="0.25">
      <c r="A26" s="211"/>
      <c r="B26" s="145"/>
      <c r="C26" s="130"/>
      <c r="D26" s="130"/>
      <c r="E26" s="130"/>
      <c r="F26" s="130"/>
      <c r="G26" s="130"/>
      <c r="H26" s="130"/>
      <c r="I26" s="130"/>
      <c r="J26" s="130"/>
      <c r="K26" s="130"/>
    </row>
    <row r="27" spans="1:12" x14ac:dyDescent="0.25">
      <c r="A27" s="211"/>
      <c r="B27" s="145"/>
      <c r="C27" s="130"/>
      <c r="D27" s="130"/>
      <c r="E27" s="130"/>
      <c r="F27" s="130"/>
      <c r="G27" s="130"/>
      <c r="H27" s="130"/>
      <c r="I27" s="130"/>
      <c r="J27" s="130"/>
      <c r="K27" s="130"/>
    </row>
    <row r="28" spans="1:12" x14ac:dyDescent="0.25">
      <c r="A28" s="211"/>
      <c r="B28" s="145"/>
      <c r="C28" s="130"/>
      <c r="D28" s="130"/>
      <c r="E28" s="130"/>
      <c r="F28" s="130"/>
      <c r="G28" s="130"/>
      <c r="H28" s="130"/>
      <c r="I28" s="130"/>
      <c r="J28" s="130"/>
      <c r="K28" s="130"/>
    </row>
    <row r="29" spans="1:12" x14ac:dyDescent="0.25">
      <c r="A29" s="211"/>
      <c r="B29" s="145"/>
      <c r="C29" s="130"/>
      <c r="D29" s="130"/>
      <c r="E29" s="130"/>
      <c r="F29" s="130"/>
      <c r="G29" s="130"/>
      <c r="H29" s="130"/>
      <c r="I29" s="130"/>
      <c r="J29" s="130"/>
      <c r="K29" s="130"/>
    </row>
    <row r="30" spans="1:12" x14ac:dyDescent="0.25">
      <c r="A30" s="211"/>
      <c r="B30" s="145"/>
      <c r="C30" s="130"/>
      <c r="D30" s="130"/>
      <c r="E30" s="130"/>
      <c r="F30" s="130"/>
      <c r="G30" s="130"/>
      <c r="H30" s="130"/>
      <c r="I30" s="130"/>
      <c r="J30" s="130"/>
      <c r="K30" s="130"/>
    </row>
    <row r="31" spans="1:12" x14ac:dyDescent="0.25">
      <c r="A31" s="211"/>
      <c r="B31" s="145"/>
      <c r="C31" s="130"/>
      <c r="D31" s="130"/>
      <c r="E31" s="130"/>
      <c r="F31" s="130"/>
      <c r="G31" s="130"/>
      <c r="H31" s="130"/>
      <c r="I31" s="130"/>
      <c r="J31" s="130"/>
      <c r="K31" s="130"/>
    </row>
    <row r="32" spans="1:12" x14ac:dyDescent="0.25">
      <c r="A32" s="211"/>
      <c r="B32" s="145"/>
      <c r="C32" s="130"/>
      <c r="D32" s="130"/>
      <c r="E32" s="130"/>
      <c r="F32" s="130"/>
      <c r="G32" s="130"/>
      <c r="H32" s="130"/>
      <c r="I32" s="130"/>
      <c r="J32" s="130"/>
      <c r="K32" s="130"/>
    </row>
    <row r="33" spans="1:15" x14ac:dyDescent="0.25">
      <c r="A33" s="211"/>
      <c r="B33" s="145"/>
      <c r="C33" s="130"/>
      <c r="D33" s="130"/>
      <c r="E33" s="130"/>
      <c r="F33" s="130"/>
      <c r="G33" s="130"/>
      <c r="H33" s="130"/>
      <c r="I33" s="130"/>
      <c r="J33" s="130"/>
      <c r="K33" s="130"/>
    </row>
    <row r="34" spans="1:15" x14ac:dyDescent="0.25">
      <c r="A34" s="211"/>
      <c r="B34" s="145"/>
      <c r="C34" s="130"/>
      <c r="D34" s="130"/>
      <c r="E34" s="130"/>
      <c r="F34" s="130"/>
      <c r="G34" s="130"/>
      <c r="H34" s="130"/>
      <c r="I34" s="130"/>
      <c r="J34" s="130"/>
      <c r="K34" s="130"/>
    </row>
    <row r="35" spans="1:15" x14ac:dyDescent="0.25">
      <c r="A35" s="211"/>
      <c r="B35" s="145"/>
      <c r="C35" s="130"/>
      <c r="D35" s="130"/>
      <c r="E35" s="130"/>
      <c r="F35" s="130"/>
      <c r="G35" s="130"/>
      <c r="H35" s="130"/>
      <c r="I35" s="130"/>
      <c r="J35" s="130"/>
      <c r="K35" s="130"/>
    </row>
    <row r="36" spans="1:15" x14ac:dyDescent="0.25">
      <c r="A36" s="211"/>
      <c r="B36" s="145"/>
      <c r="C36" s="130"/>
      <c r="D36" s="130"/>
      <c r="E36" s="130"/>
      <c r="F36" s="130"/>
      <c r="G36" s="130"/>
      <c r="H36" s="130"/>
      <c r="I36" s="130"/>
      <c r="J36" s="130"/>
      <c r="K36" s="130"/>
    </row>
    <row r="37" spans="1:15" x14ac:dyDescent="0.25">
      <c r="A37" s="211"/>
      <c r="B37" s="145"/>
      <c r="C37" s="130"/>
      <c r="D37" s="130"/>
      <c r="E37" s="130"/>
      <c r="F37" s="130"/>
      <c r="G37" s="130"/>
      <c r="H37" s="130"/>
      <c r="I37" s="130"/>
      <c r="J37" s="130"/>
      <c r="K37" s="130"/>
    </row>
    <row r="38" spans="1:15" x14ac:dyDescent="0.25">
      <c r="A38" s="211"/>
      <c r="B38" s="145"/>
      <c r="C38" s="130"/>
      <c r="D38" s="130"/>
      <c r="E38" s="130"/>
      <c r="F38" s="130"/>
      <c r="G38" s="130"/>
      <c r="H38" s="130"/>
      <c r="I38" s="130"/>
      <c r="J38" s="130"/>
      <c r="K38" s="130"/>
    </row>
    <row r="39" spans="1:15" x14ac:dyDescent="0.25">
      <c r="A39" s="211"/>
      <c r="B39" s="145"/>
      <c r="C39" s="130"/>
      <c r="D39" s="130"/>
      <c r="E39" s="130"/>
      <c r="F39" s="130"/>
      <c r="G39" s="130"/>
      <c r="H39" s="130"/>
      <c r="I39" s="130"/>
      <c r="J39" s="130"/>
      <c r="K39" s="130"/>
    </row>
    <row r="40" spans="1:15" x14ac:dyDescent="0.25">
      <c r="A40" s="211"/>
      <c r="B40" s="145"/>
      <c r="C40" s="130"/>
      <c r="D40" s="130"/>
      <c r="E40" s="130"/>
      <c r="F40" s="130"/>
      <c r="G40" s="130"/>
      <c r="H40" s="130"/>
      <c r="I40" s="130"/>
      <c r="J40" s="130"/>
      <c r="K40" s="130"/>
    </row>
    <row r="41" spans="1:15" x14ac:dyDescent="0.25">
      <c r="A41" s="211"/>
      <c r="B41" s="145"/>
      <c r="C41" s="130"/>
      <c r="D41" s="130"/>
      <c r="E41" s="130"/>
      <c r="F41" s="130"/>
      <c r="G41" s="130"/>
      <c r="H41" s="130"/>
      <c r="I41" s="130"/>
      <c r="J41" s="130"/>
      <c r="K41" s="130"/>
    </row>
    <row r="46" spans="1:15" s="174" customFormat="1" x14ac:dyDescent="0.25"/>
    <row r="47" spans="1:15" s="27" customFormat="1" x14ac:dyDescent="0.25">
      <c r="C47" s="41" t="str" cm="1">
        <f t="array" ref="C47:K47">Valeurs_Brutes_50[[#Headers],[Connecteur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98</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50+Mesures_Dover!B20</f>
        <v>50</v>
      </c>
      <c r="N48" s="36" t="s">
        <v>7</v>
      </c>
      <c r="O48" s="48" t="str">
        <f>"50°C"</f>
        <v>50°C</v>
      </c>
    </row>
    <row r="49" spans="2:15" s="27" customFormat="1" x14ac:dyDescent="0.25">
      <c r="B49" s="42" t="s">
        <v>100</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50-Mesures_Dover!B20</f>
        <v>50</v>
      </c>
      <c r="N49" s="36" t="s">
        <v>99</v>
      </c>
      <c r="O49" s="35" t="str">
        <f>"+" &amp; Mesures_Dover!B20 &amp; "°C"</f>
        <v>+°C</v>
      </c>
    </row>
    <row r="50" spans="2:15" s="27" customFormat="1" x14ac:dyDescent="0.25">
      <c r="B50" s="42" t="s">
        <v>102</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101</v>
      </c>
      <c r="O50" s="35" t="str">
        <f>"-" &amp; Mesures_Dover!B20 &amp; "°C"</f>
        <v>-°C</v>
      </c>
    </row>
    <row r="51" spans="2:15" s="27" customFormat="1" x14ac:dyDescent="0.25">
      <c r="B51" s="42" t="s">
        <v>103</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104</v>
      </c>
      <c r="C52" s="175" t="e">
        <f>ABS(MAX(C48:K48)-MIN(C49:K49))</f>
        <v>#N/A</v>
      </c>
      <c r="D52" s="175"/>
      <c r="E52" s="175"/>
      <c r="F52" s="175"/>
      <c r="G52" s="175"/>
      <c r="H52" s="175"/>
      <c r="I52" s="175"/>
      <c r="J52" s="175"/>
      <c r="K52" s="175"/>
      <c r="L52" s="33"/>
    </row>
    <row r="53" spans="2:15" s="27" customFormat="1" x14ac:dyDescent="0.25">
      <c r="B53" s="42" t="s">
        <v>105</v>
      </c>
      <c r="C53" s="175" t="e">
        <f>AVERAGE(C50:K50)</f>
        <v>#N/A</v>
      </c>
      <c r="D53" s="175"/>
      <c r="E53" s="175"/>
      <c r="F53" s="175"/>
      <c r="G53" s="175"/>
      <c r="H53" s="175"/>
      <c r="I53" s="175"/>
      <c r="J53" s="175"/>
      <c r="K53" s="175"/>
      <c r="L53" s="33"/>
    </row>
    <row r="54" spans="2:15" s="27" customFormat="1" x14ac:dyDescent="0.25">
      <c r="B54" s="36" t="s">
        <v>106</v>
      </c>
      <c r="C54" s="46" t="e">
        <f ca="1">STDEV(OFFSET(INDEX(Valeurs_Brutes_50[Connecteur 1],1),COUNT(Valeurs_Brutes_50[Connecteur 1])-30,0,30))+C5+C6</f>
        <v>#REF!</v>
      </c>
      <c r="D54" s="46" t="e">
        <f ca="1">STDEV(OFFSET(INDEX(Valeurs_Brutes_50[Connecteur 2],1),COUNT(Valeurs_Brutes_50[Connecteur 2])-30,0,30))+D5+D6</f>
        <v>#REF!</v>
      </c>
      <c r="E54" s="46" t="e">
        <f ca="1">STDEV(OFFSET(INDEX(Valeurs_Brutes_50[Connecteur 3],1),COUNT(Valeurs_Brutes_50[Connecteur 3])-30,0,30))+E5+E6</f>
        <v>#REF!</v>
      </c>
      <c r="F54" s="46" t="e">
        <f ca="1">STDEV(OFFSET(INDEX(Valeurs_Brutes_50[Connecteur 4],1),COUNT(Valeurs_Brutes_50[Connecteur 4])-30,0,30))+F5+F6</f>
        <v>#REF!</v>
      </c>
      <c r="G54" s="46" t="e">
        <f ca="1">STDEV(OFFSET(INDEX(Valeurs_Brutes_50[Connecteur 5],1),COUNT(Valeurs_Brutes_50[Connecteur 5])-30,0,30))+G5+G6</f>
        <v>#REF!</v>
      </c>
      <c r="H54" s="46" t="e">
        <f ca="1">STDEV(OFFSET(INDEX(Valeurs_Brutes_50[Connecteur 6],1),COUNT(Valeurs_Brutes_50[Connecteur 6])-30,0,30))+H5+H6</f>
        <v>#REF!</v>
      </c>
      <c r="I54" s="46" t="e">
        <f ca="1">STDEV(OFFSET(INDEX(Valeurs_Brutes_50[Connecteur 7],1),COUNT(Valeurs_Brutes_50[Connecteur 7])-30,0,30))+I5+I6</f>
        <v>#REF!</v>
      </c>
      <c r="J54" s="46" t="e">
        <f ca="1">STDEV(OFFSET(INDEX(Valeurs_Brutes_50[Connecteur 8],1),COUNT(Valeurs_Brutes_50[Connecteur 8])-30,0,30))+J5+J6</f>
        <v>#REF!</v>
      </c>
      <c r="K54" s="46" t="e">
        <f ca="1">STDEV(OFFSET(INDEX(Valeurs_Brutes_50[Connecteur 9],1),COUNT(Valeurs_Brutes_50[Connecteur 9])-30,0,30))+K5+K6</f>
        <v>#REF!</v>
      </c>
      <c r="L54" s="33"/>
    </row>
    <row r="55" spans="2:15" s="27" customFormat="1" x14ac:dyDescent="0.25">
      <c r="B55"/>
      <c r="C55"/>
      <c r="D55"/>
      <c r="E55"/>
      <c r="F55"/>
      <c r="G55"/>
      <c r="H55"/>
      <c r="I55"/>
      <c r="J55"/>
      <c r="K55"/>
      <c r="L55"/>
    </row>
  </sheetData>
  <sheetProtection algorithmName="SHA-512" hashValue="vsyGtxuj+eHnYlNXjXlPvOLXOFwz6NRDMs07gMkBHAvwPh6iF7tMGphfF/v12lFYaDZh4SDPdR752VajeD87zQ==" saltValue="y27MTCUljC+EOhfOc1YFEA==" spinCount="100000" sheet="1" objects="1" scenarios="1" autoFilter="0"/>
  <mergeCells count="6">
    <mergeCell ref="A1:O3"/>
    <mergeCell ref="A9:K9"/>
    <mergeCell ref="A11:A41"/>
    <mergeCell ref="A46:XFD46"/>
    <mergeCell ref="C52:K52"/>
    <mergeCell ref="C53:K53"/>
  </mergeCells>
  <conditionalFormatting sqref="C48:K48">
    <cfRule type="cellIs" dxfId="15" priority="9" operator="greaterThan">
      <formula>$L$48</formula>
    </cfRule>
  </conditionalFormatting>
  <conditionalFormatting sqref="C49:K49">
    <cfRule type="cellIs" dxfId="14" priority="10" operator="lessThan">
      <formula>$L$49</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0E06-A8B8-4B21-9639-B0A5EB702140}">
  <sheetPr codeName="Feuil11">
    <tabColor theme="9" tint="0.39997558519241921"/>
  </sheetPr>
  <dimension ref="A1:O55"/>
  <sheetViews>
    <sheetView topLeftCell="A43" workbookViewId="0">
      <selection activeCell="B75" sqref="B75"/>
    </sheetView>
  </sheetViews>
  <sheetFormatPr baseColWidth="10" defaultRowHeight="15" x14ac:dyDescent="0.25"/>
  <cols>
    <col min="1" max="1" width="9.85546875" customWidth="1"/>
    <col min="2" max="2" width="15" bestFit="1" customWidth="1"/>
    <col min="3" max="11" width="12.7109375" bestFit="1" customWidth="1"/>
    <col min="14" max="14" width="15.28515625" bestFit="1" customWidth="1"/>
  </cols>
  <sheetData>
    <row r="1" spans="1:15" s="27" customFormat="1" x14ac:dyDescent="0.25">
      <c r="A1" s="172" t="str">
        <f>"100°C"</f>
        <v>100°C</v>
      </c>
      <c r="B1" s="172"/>
      <c r="C1" s="172"/>
      <c r="D1" s="172"/>
      <c r="E1" s="172"/>
      <c r="F1" s="172"/>
      <c r="G1" s="172"/>
      <c r="H1" s="172"/>
      <c r="I1" s="172"/>
      <c r="J1" s="172"/>
      <c r="K1" s="172"/>
      <c r="L1" s="172"/>
      <c r="M1" s="172"/>
      <c r="N1" s="172"/>
      <c r="O1" s="172"/>
    </row>
    <row r="2" spans="1:15" s="27" customFormat="1" x14ac:dyDescent="0.25">
      <c r="A2" s="172"/>
      <c r="B2" s="172"/>
      <c r="C2" s="172"/>
      <c r="D2" s="172"/>
      <c r="E2" s="172"/>
      <c r="F2" s="172"/>
      <c r="G2" s="172"/>
      <c r="H2" s="172"/>
      <c r="I2" s="172"/>
      <c r="J2" s="172"/>
      <c r="K2" s="172"/>
      <c r="L2" s="172"/>
      <c r="M2" s="172"/>
      <c r="N2" s="172"/>
      <c r="O2" s="172"/>
    </row>
    <row r="3" spans="1:15" s="27" customFormat="1" x14ac:dyDescent="0.25">
      <c r="A3" s="172"/>
      <c r="B3" s="172"/>
      <c r="C3" s="172"/>
      <c r="D3" s="172"/>
      <c r="E3" s="172"/>
      <c r="F3" s="172"/>
      <c r="G3" s="172"/>
      <c r="H3" s="172"/>
      <c r="I3" s="172"/>
      <c r="J3" s="172"/>
      <c r="K3" s="172"/>
      <c r="L3" s="172"/>
      <c r="M3" s="172"/>
      <c r="N3" s="172"/>
      <c r="O3" s="172"/>
    </row>
    <row r="4" spans="1:15" s="27" customFormat="1" x14ac:dyDescent="0.25">
      <c r="L4" s="33"/>
    </row>
    <row r="5" spans="1:15" s="27" customFormat="1" x14ac:dyDescent="0.25">
      <c r="B5" s="34" t="s">
        <v>24</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94</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10" t="s">
        <v>95</v>
      </c>
      <c r="B9" s="210"/>
      <c r="C9" s="210"/>
      <c r="D9" s="210"/>
      <c r="E9" s="210"/>
      <c r="F9" s="210"/>
      <c r="G9" s="210"/>
      <c r="H9" s="210"/>
      <c r="I9" s="210"/>
      <c r="J9" s="210"/>
      <c r="K9" s="210"/>
      <c r="L9" s="33"/>
    </row>
    <row r="10" spans="1:15" s="27" customFormat="1" x14ac:dyDescent="0.25">
      <c r="A10" s="33"/>
      <c r="B10" s="34" t="str" cm="1">
        <f t="array" ref="B10:K10">Valeurs_Brutes_100[#Headers]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11" t="s">
        <v>96</v>
      </c>
      <c r="B11" s="145" cm="1">
        <f t="array" ref="B11">Valeurs_Brutes_100[Date/Heure]</f>
        <v>0</v>
      </c>
      <c r="C11" s="130" t="e" cm="1">
        <f t="array" ref="C11:K11">Valeurs_Brutes_100[[Connecteur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11"/>
      <c r="B12" s="145"/>
      <c r="C12" s="130"/>
      <c r="D12" s="130"/>
      <c r="E12" s="130"/>
      <c r="F12" s="130"/>
      <c r="G12" s="130"/>
      <c r="H12" s="130"/>
      <c r="I12" s="130"/>
      <c r="J12" s="130"/>
      <c r="K12" s="130"/>
      <c r="L12" s="33"/>
    </row>
    <row r="13" spans="1:15" x14ac:dyDescent="0.25">
      <c r="A13" s="211"/>
      <c r="B13" s="145"/>
      <c r="C13" s="130"/>
      <c r="D13" s="130"/>
      <c r="E13" s="130"/>
      <c r="F13" s="130"/>
      <c r="G13" s="130"/>
      <c r="H13" s="130"/>
      <c r="I13" s="130"/>
      <c r="J13" s="130"/>
      <c r="K13" s="130"/>
    </row>
    <row r="14" spans="1:15" x14ac:dyDescent="0.25">
      <c r="A14" s="211"/>
      <c r="B14" s="145"/>
      <c r="C14" s="130"/>
      <c r="D14" s="130"/>
      <c r="E14" s="130"/>
      <c r="F14" s="130"/>
      <c r="G14" s="130"/>
      <c r="H14" s="130"/>
      <c r="I14" s="130"/>
      <c r="J14" s="130"/>
      <c r="K14" s="130"/>
    </row>
    <row r="15" spans="1:15" x14ac:dyDescent="0.25">
      <c r="A15" s="211"/>
      <c r="B15" s="145"/>
      <c r="C15" s="130"/>
      <c r="D15" s="130"/>
      <c r="E15" s="130"/>
      <c r="F15" s="130"/>
      <c r="G15" s="130"/>
      <c r="H15" s="130"/>
      <c r="I15" s="130"/>
      <c r="J15" s="130"/>
      <c r="K15" s="130"/>
    </row>
    <row r="16" spans="1:15" x14ac:dyDescent="0.25">
      <c r="A16" s="211"/>
      <c r="B16" s="145"/>
      <c r="C16" s="130"/>
      <c r="D16" s="130"/>
      <c r="E16" s="130"/>
      <c r="F16" s="130"/>
      <c r="G16" s="130"/>
      <c r="H16" s="130"/>
      <c r="I16" s="130"/>
      <c r="J16" s="130"/>
      <c r="K16" s="130"/>
    </row>
    <row r="17" spans="1:12" x14ac:dyDescent="0.25">
      <c r="A17" s="211"/>
      <c r="B17" s="145"/>
      <c r="C17" s="130"/>
      <c r="D17" s="130"/>
      <c r="E17" s="130"/>
      <c r="F17" s="130"/>
      <c r="G17" s="130"/>
      <c r="H17" s="130"/>
      <c r="I17" s="130"/>
      <c r="J17" s="130"/>
      <c r="K17" s="130"/>
    </row>
    <row r="18" spans="1:12" x14ac:dyDescent="0.25">
      <c r="A18" s="211"/>
      <c r="B18" s="145"/>
      <c r="C18" s="130"/>
      <c r="D18" s="130"/>
      <c r="E18" s="130"/>
      <c r="F18" s="130"/>
      <c r="G18" s="130"/>
      <c r="H18" s="130"/>
      <c r="I18" s="130"/>
      <c r="J18" s="130"/>
      <c r="K18" s="130"/>
    </row>
    <row r="19" spans="1:12" x14ac:dyDescent="0.25">
      <c r="A19" s="211"/>
      <c r="B19" s="145"/>
      <c r="C19" s="130"/>
      <c r="D19" s="130"/>
      <c r="E19" s="130"/>
      <c r="F19" s="130"/>
      <c r="G19" s="130"/>
      <c r="H19" s="130"/>
      <c r="I19" s="130"/>
      <c r="J19" s="130"/>
      <c r="K19" s="130"/>
    </row>
    <row r="20" spans="1:12" x14ac:dyDescent="0.25">
      <c r="A20" s="211"/>
      <c r="B20" s="145"/>
      <c r="C20" s="130"/>
      <c r="D20" s="130"/>
      <c r="E20" s="130"/>
      <c r="F20" s="130"/>
      <c r="G20" s="130"/>
      <c r="H20" s="130"/>
      <c r="I20" s="130"/>
      <c r="J20" s="130"/>
      <c r="K20" s="130"/>
    </row>
    <row r="21" spans="1:12" x14ac:dyDescent="0.25">
      <c r="A21" s="211"/>
      <c r="B21" s="145"/>
      <c r="C21" s="130"/>
      <c r="D21" s="130"/>
      <c r="E21" s="130"/>
      <c r="F21" s="130"/>
      <c r="G21" s="130"/>
      <c r="H21" s="130"/>
      <c r="I21" s="130"/>
      <c r="J21" s="130"/>
      <c r="K21" s="130"/>
    </row>
    <row r="22" spans="1:12" x14ac:dyDescent="0.25">
      <c r="A22" s="211"/>
      <c r="B22" s="145"/>
      <c r="C22" s="130"/>
      <c r="D22" s="130"/>
      <c r="E22" s="130"/>
      <c r="F22" s="130"/>
      <c r="G22" s="130"/>
      <c r="H22" s="130"/>
      <c r="I22" s="130"/>
      <c r="J22" s="130"/>
      <c r="K22" s="130"/>
    </row>
    <row r="23" spans="1:12" s="27" customFormat="1" x14ac:dyDescent="0.25">
      <c r="A23" s="211"/>
      <c r="B23" s="145"/>
      <c r="C23" s="130"/>
      <c r="D23" s="130"/>
      <c r="E23" s="130"/>
      <c r="F23" s="130"/>
      <c r="G23" s="130"/>
      <c r="H23" s="130"/>
      <c r="I23" s="130"/>
      <c r="J23" s="130"/>
      <c r="K23" s="130"/>
      <c r="L23" s="33"/>
    </row>
    <row r="24" spans="1:12" x14ac:dyDescent="0.25">
      <c r="A24" s="211"/>
      <c r="B24" s="145"/>
      <c r="C24" s="130"/>
      <c r="D24" s="130"/>
      <c r="E24" s="130"/>
      <c r="F24" s="130"/>
      <c r="G24" s="130"/>
      <c r="H24" s="130"/>
      <c r="I24" s="130"/>
      <c r="J24" s="130"/>
      <c r="K24" s="130"/>
    </row>
    <row r="25" spans="1:12" x14ac:dyDescent="0.25">
      <c r="A25" s="211"/>
      <c r="B25" s="145"/>
      <c r="C25" s="130"/>
      <c r="D25" s="130"/>
      <c r="E25" s="130"/>
      <c r="F25" s="130"/>
      <c r="G25" s="130"/>
      <c r="H25" s="130"/>
      <c r="I25" s="130"/>
      <c r="J25" s="130"/>
      <c r="K25" s="130"/>
    </row>
    <row r="26" spans="1:12" x14ac:dyDescent="0.25">
      <c r="A26" s="211"/>
      <c r="B26" s="145"/>
      <c r="C26" s="130"/>
      <c r="D26" s="130"/>
      <c r="E26" s="130"/>
      <c r="F26" s="130"/>
      <c r="G26" s="130"/>
      <c r="H26" s="130"/>
      <c r="I26" s="130"/>
      <c r="J26" s="130"/>
      <c r="K26" s="130"/>
    </row>
    <row r="27" spans="1:12" x14ac:dyDescent="0.25">
      <c r="A27" s="211"/>
      <c r="B27" s="145"/>
      <c r="C27" s="130"/>
      <c r="D27" s="130"/>
      <c r="E27" s="130"/>
      <c r="F27" s="130"/>
      <c r="G27" s="130"/>
      <c r="H27" s="130"/>
      <c r="I27" s="130"/>
      <c r="J27" s="130"/>
      <c r="K27" s="130"/>
    </row>
    <row r="28" spans="1:12" x14ac:dyDescent="0.25">
      <c r="A28" s="211"/>
      <c r="B28" s="145"/>
      <c r="C28" s="130"/>
      <c r="D28" s="130"/>
      <c r="E28" s="130"/>
      <c r="F28" s="130"/>
      <c r="G28" s="130"/>
      <c r="H28" s="130"/>
      <c r="I28" s="130"/>
      <c r="J28" s="130"/>
      <c r="K28" s="130"/>
    </row>
    <row r="29" spans="1:12" x14ac:dyDescent="0.25">
      <c r="A29" s="211"/>
      <c r="B29" s="145"/>
      <c r="C29" s="130"/>
      <c r="D29" s="130"/>
      <c r="E29" s="130"/>
      <c r="F29" s="130"/>
      <c r="G29" s="130"/>
      <c r="H29" s="130"/>
      <c r="I29" s="130"/>
      <c r="J29" s="130"/>
      <c r="K29" s="130"/>
    </row>
    <row r="30" spans="1:12" x14ac:dyDescent="0.25">
      <c r="A30" s="211"/>
      <c r="B30" s="145"/>
      <c r="C30" s="130"/>
      <c r="D30" s="130"/>
      <c r="E30" s="130"/>
      <c r="F30" s="130"/>
      <c r="G30" s="130"/>
      <c r="H30" s="130"/>
      <c r="I30" s="130"/>
      <c r="J30" s="130"/>
      <c r="K30" s="130"/>
    </row>
    <row r="31" spans="1:12" x14ac:dyDescent="0.25">
      <c r="A31" s="211"/>
      <c r="B31" s="145"/>
      <c r="C31" s="130"/>
      <c r="D31" s="130"/>
      <c r="E31" s="130"/>
      <c r="F31" s="130"/>
      <c r="G31" s="130"/>
      <c r="H31" s="130"/>
      <c r="I31" s="130"/>
      <c r="J31" s="130"/>
      <c r="K31" s="130"/>
    </row>
    <row r="32" spans="1:12" x14ac:dyDescent="0.25">
      <c r="A32" s="211"/>
      <c r="B32" s="145"/>
      <c r="C32" s="130"/>
      <c r="D32" s="130"/>
      <c r="E32" s="130"/>
      <c r="F32" s="130"/>
      <c r="G32" s="130"/>
      <c r="H32" s="130"/>
      <c r="I32" s="130"/>
      <c r="J32" s="130"/>
      <c r="K32" s="130"/>
    </row>
    <row r="33" spans="1:15" x14ac:dyDescent="0.25">
      <c r="A33" s="211"/>
      <c r="B33" s="145"/>
      <c r="C33" s="130"/>
      <c r="D33" s="130"/>
      <c r="E33" s="130"/>
      <c r="F33" s="130"/>
      <c r="G33" s="130"/>
      <c r="H33" s="130"/>
      <c r="I33" s="130"/>
      <c r="J33" s="130"/>
      <c r="K33" s="130"/>
    </row>
    <row r="34" spans="1:15" x14ac:dyDescent="0.25">
      <c r="A34" s="211"/>
      <c r="B34" s="145"/>
      <c r="C34" s="130"/>
      <c r="D34" s="130"/>
      <c r="E34" s="130"/>
      <c r="F34" s="130"/>
      <c r="G34" s="130"/>
      <c r="H34" s="130"/>
      <c r="I34" s="130"/>
      <c r="J34" s="130"/>
      <c r="K34" s="130"/>
    </row>
    <row r="35" spans="1:15" x14ac:dyDescent="0.25">
      <c r="A35" s="211"/>
      <c r="B35" s="145"/>
      <c r="C35" s="130"/>
      <c r="D35" s="130"/>
      <c r="E35" s="130"/>
      <c r="F35" s="130"/>
      <c r="G35" s="130"/>
      <c r="H35" s="130"/>
      <c r="I35" s="130"/>
      <c r="J35" s="130"/>
      <c r="K35" s="130"/>
    </row>
    <row r="36" spans="1:15" x14ac:dyDescent="0.25">
      <c r="A36" s="211"/>
      <c r="B36" s="145"/>
      <c r="C36" s="130"/>
      <c r="D36" s="130"/>
      <c r="E36" s="130"/>
      <c r="F36" s="130"/>
      <c r="G36" s="130"/>
      <c r="H36" s="130"/>
      <c r="I36" s="130"/>
      <c r="J36" s="130"/>
      <c r="K36" s="130"/>
    </row>
    <row r="37" spans="1:15" x14ac:dyDescent="0.25">
      <c r="A37" s="211"/>
      <c r="B37" s="145"/>
      <c r="C37" s="130"/>
      <c r="D37" s="130"/>
      <c r="E37" s="130"/>
      <c r="F37" s="130"/>
      <c r="G37" s="130"/>
      <c r="H37" s="130"/>
      <c r="I37" s="130"/>
      <c r="J37" s="130"/>
      <c r="K37" s="130"/>
    </row>
    <row r="38" spans="1:15" x14ac:dyDescent="0.25">
      <c r="A38" s="211"/>
      <c r="B38" s="145"/>
      <c r="C38" s="130"/>
      <c r="D38" s="130"/>
      <c r="E38" s="130"/>
      <c r="F38" s="130"/>
      <c r="G38" s="130"/>
      <c r="H38" s="130"/>
      <c r="I38" s="130"/>
      <c r="J38" s="130"/>
      <c r="K38" s="130"/>
    </row>
    <row r="39" spans="1:15" x14ac:dyDescent="0.25">
      <c r="A39" s="211"/>
      <c r="B39" s="145"/>
      <c r="C39" s="130"/>
      <c r="D39" s="130"/>
      <c r="E39" s="130"/>
      <c r="F39" s="130"/>
      <c r="G39" s="130"/>
      <c r="H39" s="130"/>
      <c r="I39" s="130"/>
      <c r="J39" s="130"/>
      <c r="K39" s="130"/>
    </row>
    <row r="40" spans="1:15" x14ac:dyDescent="0.25">
      <c r="A40" s="211"/>
      <c r="B40" s="145"/>
      <c r="C40" s="130"/>
      <c r="D40" s="130"/>
      <c r="E40" s="130"/>
      <c r="F40" s="130"/>
      <c r="G40" s="130"/>
      <c r="H40" s="130"/>
      <c r="I40" s="130"/>
      <c r="J40" s="130"/>
      <c r="K40" s="130"/>
    </row>
    <row r="41" spans="1:15" x14ac:dyDescent="0.25">
      <c r="A41" s="211"/>
      <c r="B41" s="145"/>
      <c r="C41" s="130"/>
      <c r="D41" s="130"/>
      <c r="E41" s="130"/>
      <c r="F41" s="130"/>
      <c r="G41" s="130"/>
      <c r="H41" s="130"/>
      <c r="I41" s="130"/>
      <c r="J41" s="130"/>
      <c r="K41" s="130"/>
    </row>
    <row r="46" spans="1:15" s="174" customFormat="1" x14ac:dyDescent="0.25"/>
    <row r="47" spans="1:15" s="27" customFormat="1" x14ac:dyDescent="0.25">
      <c r="C47" s="41" t="str" cm="1">
        <f t="array" ref="C47:K47">Valeurs_Brutes_100[[#Headers],[Connecteur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98</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100+Mesures_Dover!B20</f>
        <v>100</v>
      </c>
      <c r="N48" s="36" t="s">
        <v>7</v>
      </c>
      <c r="O48" s="48" t="str">
        <f>"100°C"</f>
        <v>100°C</v>
      </c>
    </row>
    <row r="49" spans="2:15" s="27" customFormat="1" x14ac:dyDescent="0.25">
      <c r="B49" s="42" t="s">
        <v>100</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100-Mesures_Dover!B20</f>
        <v>100</v>
      </c>
      <c r="N49" s="36" t="s">
        <v>99</v>
      </c>
      <c r="O49" s="35" t="str">
        <f>"+" &amp; Mesures_Dover!B20 &amp; "°C"</f>
        <v>+°C</v>
      </c>
    </row>
    <row r="50" spans="2:15" s="27" customFormat="1" x14ac:dyDescent="0.25">
      <c r="B50" s="42" t="s">
        <v>102</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101</v>
      </c>
      <c r="O50" s="35" t="str">
        <f>"-" &amp; Mesures_Dover!B20 &amp; "°C"</f>
        <v>-°C</v>
      </c>
    </row>
    <row r="51" spans="2:15" s="27" customFormat="1" x14ac:dyDescent="0.25">
      <c r="B51" s="42" t="s">
        <v>103</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104</v>
      </c>
      <c r="C52" s="175" t="e">
        <f>ABS(MAX(C48:K48)-MIN(C49:K49))</f>
        <v>#N/A</v>
      </c>
      <c r="D52" s="175"/>
      <c r="E52" s="175"/>
      <c r="F52" s="175"/>
      <c r="G52" s="175"/>
      <c r="H52" s="175"/>
      <c r="I52" s="175"/>
      <c r="J52" s="175"/>
      <c r="K52" s="175"/>
      <c r="L52" s="33"/>
    </row>
    <row r="53" spans="2:15" s="27" customFormat="1" x14ac:dyDescent="0.25">
      <c r="B53" s="42" t="s">
        <v>105</v>
      </c>
      <c r="C53" s="175" t="e">
        <f>AVERAGE(C50:K50)</f>
        <v>#N/A</v>
      </c>
      <c r="D53" s="175"/>
      <c r="E53" s="175"/>
      <c r="F53" s="175"/>
      <c r="G53" s="175"/>
      <c r="H53" s="175"/>
      <c r="I53" s="175"/>
      <c r="J53" s="175"/>
      <c r="K53" s="175"/>
      <c r="L53" s="33"/>
    </row>
    <row r="54" spans="2:15" s="27" customFormat="1" x14ac:dyDescent="0.25">
      <c r="B54" s="36" t="s">
        <v>106</v>
      </c>
      <c r="C54" s="46" t="e">
        <f ca="1">STDEV(OFFSET(INDEX(Valeurs_Brutes_100[Connecteur 1],1),COUNT(Valeurs_Brutes_100[Connecteur 1])-30,0,30))+C5+C6</f>
        <v>#REF!</v>
      </c>
      <c r="D54" s="46" t="e">
        <f ca="1">STDEV(OFFSET(INDEX(Valeurs_Brutes_100[Connecteur 2],1),COUNT(Valeurs_Brutes_100[Connecteur 2])-30,0,30))+D5+D6</f>
        <v>#REF!</v>
      </c>
      <c r="E54" s="46" t="e">
        <f ca="1">STDEV(OFFSET(INDEX(Valeurs_Brutes_100[Connecteur 3],1),COUNT(Valeurs_Brutes_100[Connecteur 3])-30,0,30))+E5+E6</f>
        <v>#REF!</v>
      </c>
      <c r="F54" s="46" t="e">
        <f ca="1">STDEV(OFFSET(INDEX(Valeurs_Brutes_100[Connecteur 4],1),COUNT(Valeurs_Brutes_100[Connecteur 4])-30,0,30))+F5+F6</f>
        <v>#REF!</v>
      </c>
      <c r="G54" s="46" t="e">
        <f ca="1">STDEV(OFFSET(INDEX(Valeurs_Brutes_100[Connecteur 5],1),COUNT(Valeurs_Brutes_100[Connecteur 5])-30,0,30))+G5+G6</f>
        <v>#REF!</v>
      </c>
      <c r="H54" s="46" t="e">
        <f ca="1">STDEV(OFFSET(INDEX(Valeurs_Brutes_100[Connecteur 6],1),COUNT(Valeurs_Brutes_100[Connecteur 6])-30,0,30))+H5+H6</f>
        <v>#REF!</v>
      </c>
      <c r="I54" s="46" t="e">
        <f ca="1">STDEV(OFFSET(INDEX(Valeurs_Brutes_100[Connecteur 7],1),COUNT(Valeurs_Brutes_100[Connecteur 7])-30,0,30))+I5+I6</f>
        <v>#REF!</v>
      </c>
      <c r="J54" s="46" t="e">
        <f ca="1">STDEV(OFFSET(INDEX(Valeurs_Brutes_100[Connecteur 8],1),COUNT(Valeurs_Brutes_100[Connecteur 8])-30,0,30))+J5+J6</f>
        <v>#REF!</v>
      </c>
      <c r="K54" s="46" t="e">
        <f ca="1">STDEV(OFFSET(INDEX(Valeurs_Brutes_100[Connecteur 9],1),COUNT(Valeurs_Brutes_100[Connecteur 9])-30,0,30))+K5+K6</f>
        <v>#REF!</v>
      </c>
      <c r="L54" s="33"/>
    </row>
    <row r="55" spans="2:15" s="27" customFormat="1" x14ac:dyDescent="0.25">
      <c r="B55"/>
      <c r="C55"/>
      <c r="D55"/>
      <c r="E55"/>
      <c r="F55"/>
      <c r="G55"/>
      <c r="H55"/>
      <c r="I55"/>
      <c r="J55"/>
      <c r="K55"/>
      <c r="L55"/>
    </row>
  </sheetData>
  <sheetProtection algorithmName="SHA-512" hashValue="XtTObtR6prEi5w5yY19eMfQyRRbG+fC+03VIicGVoZCcUFm/+QmCGmKN6tB2bivpNdbb9Hnwu/iMVy5tqnJ1pg==" saltValue="9AWORvBIeDaKa+wmqxt09A==" spinCount="100000" sheet="1" objects="1" scenarios="1" autoFilter="0"/>
  <mergeCells count="6">
    <mergeCell ref="A1:O3"/>
    <mergeCell ref="A9:K9"/>
    <mergeCell ref="A11:A41"/>
    <mergeCell ref="A46:XFD46"/>
    <mergeCell ref="C52:K52"/>
    <mergeCell ref="C53:K53"/>
  </mergeCells>
  <conditionalFormatting sqref="C48:K48">
    <cfRule type="cellIs" dxfId="13" priority="1" operator="greaterThan">
      <formula>$L$48</formula>
    </cfRule>
  </conditionalFormatting>
  <conditionalFormatting sqref="C49:K49">
    <cfRule type="cellIs" dxfId="12" priority="2" operator="lessThan">
      <formula>$L$49</formula>
    </cfRule>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C7FAA-EFB3-471F-85E8-910A7901F807}">
  <sheetPr codeName="Feuil12">
    <tabColor theme="9" tint="0.39997558519241921"/>
  </sheetPr>
  <dimension ref="A1:O55"/>
  <sheetViews>
    <sheetView topLeftCell="A43" workbookViewId="0">
      <selection activeCell="H79" sqref="H79"/>
    </sheetView>
  </sheetViews>
  <sheetFormatPr baseColWidth="10" defaultRowHeight="15" x14ac:dyDescent="0.25"/>
  <cols>
    <col min="2" max="2" width="15" bestFit="1" customWidth="1"/>
    <col min="3" max="11" width="12.7109375" bestFit="1" customWidth="1"/>
    <col min="14" max="14" width="15.28515625" bestFit="1" customWidth="1"/>
  </cols>
  <sheetData>
    <row r="1" spans="1:15" s="27" customFormat="1" x14ac:dyDescent="0.25">
      <c r="A1" s="172" t="str">
        <f>"100°C"</f>
        <v>100°C</v>
      </c>
      <c r="B1" s="172"/>
      <c r="C1" s="172"/>
      <c r="D1" s="172"/>
      <c r="E1" s="172"/>
      <c r="F1" s="172"/>
      <c r="G1" s="172"/>
      <c r="H1" s="172"/>
      <c r="I1" s="172"/>
      <c r="J1" s="172"/>
      <c r="K1" s="172"/>
      <c r="L1" s="172"/>
      <c r="M1" s="172"/>
      <c r="N1" s="172"/>
      <c r="O1" s="172"/>
    </row>
    <row r="2" spans="1:15" s="27" customFormat="1" x14ac:dyDescent="0.25">
      <c r="A2" s="172"/>
      <c r="B2" s="172"/>
      <c r="C2" s="172"/>
      <c r="D2" s="172"/>
      <c r="E2" s="172"/>
      <c r="F2" s="172"/>
      <c r="G2" s="172"/>
      <c r="H2" s="172"/>
      <c r="I2" s="172"/>
      <c r="J2" s="172"/>
      <c r="K2" s="172"/>
      <c r="L2" s="172"/>
      <c r="M2" s="172"/>
      <c r="N2" s="172"/>
      <c r="O2" s="172"/>
    </row>
    <row r="3" spans="1:15" s="27" customFormat="1" x14ac:dyDescent="0.25">
      <c r="A3" s="172"/>
      <c r="B3" s="172"/>
      <c r="C3" s="172"/>
      <c r="D3" s="172"/>
      <c r="E3" s="172"/>
      <c r="F3" s="172"/>
      <c r="G3" s="172"/>
      <c r="H3" s="172"/>
      <c r="I3" s="172"/>
      <c r="J3" s="172"/>
      <c r="K3" s="172"/>
      <c r="L3" s="172"/>
      <c r="M3" s="172"/>
      <c r="N3" s="172"/>
      <c r="O3" s="172"/>
    </row>
    <row r="4" spans="1:15" s="27" customFormat="1" x14ac:dyDescent="0.25">
      <c r="L4" s="33"/>
    </row>
    <row r="5" spans="1:15" s="27" customFormat="1" x14ac:dyDescent="0.25">
      <c r="B5" s="34" t="s">
        <v>24</v>
      </c>
      <c r="C5" s="35" t="e">
        <f>_xlfn.XLOOKUP(INT(SUBSTITUTE(C47,"Connecteur ","")),Mesures_Dover!C23:C31,Mesures_Dover!G23:G31)</f>
        <v>#N/A</v>
      </c>
      <c r="D5" s="35" t="e">
        <f>_xlfn.XLOOKUP(INT(SUBSTITUTE(D47,"Connecteur ","")),Mesures_Dover!C23:C31,Mesures_Dover!G23:G31)</f>
        <v>#N/A</v>
      </c>
      <c r="E5" s="35" t="e">
        <f>_xlfn.XLOOKUP(INT(SUBSTITUTE(E47,"Connecteur ","")),Mesures_Dover!C23:C31,Mesures_Dover!G23:G31)</f>
        <v>#N/A</v>
      </c>
      <c r="F5" s="35" t="e">
        <f>_xlfn.XLOOKUP(INT(SUBSTITUTE(F47,"Connecteur ","")),Mesures_Dover!C23:C31,Mesures_Dover!G23:G31)</f>
        <v>#N/A</v>
      </c>
      <c r="G5" s="35" t="e">
        <f>_xlfn.XLOOKUP(INT(SUBSTITUTE(G47,"Connecteur ","")),Mesures_Dover!C23:C31,Mesures_Dover!G23:G31)</f>
        <v>#N/A</v>
      </c>
      <c r="H5" s="35" t="e">
        <f>_xlfn.XLOOKUP(INT(SUBSTITUTE(H47,"Connecteur ","")),Mesures_Dover!C23:C31,Mesures_Dover!G23:G31)</f>
        <v>#N/A</v>
      </c>
      <c r="I5" s="35" t="e">
        <f>_xlfn.XLOOKUP(INT(SUBSTITUTE(I47,"Connecteur ","")),Mesures_Dover!C23:C31,Mesures_Dover!G23:G31)</f>
        <v>#N/A</v>
      </c>
      <c r="J5" s="35" t="e">
        <f>_xlfn.XLOOKUP(INT(SUBSTITUTE(J47,"Connecteur ","")),Mesures_Dover!C23:C31,Mesures_Dover!G23:G31)</f>
        <v>#N/A</v>
      </c>
      <c r="K5" s="35" t="e">
        <f>_xlfn.XLOOKUP(INT(SUBSTITUTE(K47,"Connecteur ","")),Mesures_Dover!C23:C31,Mesures_Dover!G23:G31)</f>
        <v>#N/A</v>
      </c>
      <c r="L5" s="33"/>
    </row>
    <row r="6" spans="1:15" s="27" customFormat="1" x14ac:dyDescent="0.25">
      <c r="B6" s="34" t="s">
        <v>94</v>
      </c>
      <c r="C6" s="35" t="e">
        <f>_xlfn.XLOOKUP(INT(SUBSTITUTE(C47,"Connecteur ","")),Mesures_Dover!C23:C31,Mesures_Dover!D23:D31)</f>
        <v>#N/A</v>
      </c>
      <c r="D6" s="35" t="e">
        <f>_xlfn.XLOOKUP(INT(SUBSTITUTE(D47,"Connecteur ","")),Mesures_Dover!C23:C31,Mesures_Dover!D23:D31)</f>
        <v>#N/A</v>
      </c>
      <c r="E6" s="35" t="e">
        <f>_xlfn.XLOOKUP(INT(SUBSTITUTE(E47,"Connecteur ","")),Mesures_Dover!C23:C31,Mesures_Dover!D23:D31)</f>
        <v>#N/A</v>
      </c>
      <c r="F6" s="35" t="e">
        <f>_xlfn.XLOOKUP(INT(SUBSTITUTE(F47,"Connecteur ","")),Mesures_Dover!C23:C31,Mesures_Dover!D23:D31)</f>
        <v>#N/A</v>
      </c>
      <c r="G6" s="35" t="e">
        <f>_xlfn.XLOOKUP(INT(SUBSTITUTE(G47,"Connecteur ","")),Mesures_Dover!C23:C31,Mesures_Dover!D23:D31)</f>
        <v>#N/A</v>
      </c>
      <c r="H6" s="35" t="e">
        <f>_xlfn.XLOOKUP(INT(SUBSTITUTE(H47,"Connecteur ","")),Mesures_Dover!C23:C31,Mesures_Dover!D23:D31)</f>
        <v>#N/A</v>
      </c>
      <c r="I6" s="35" t="e">
        <f>_xlfn.XLOOKUP(INT(SUBSTITUTE(I47,"Connecteur ","")),Mesures_Dover!C23:C31,Mesures_Dover!D23:D31)</f>
        <v>#N/A</v>
      </c>
      <c r="J6" s="35" t="e">
        <f>_xlfn.XLOOKUP(INT(SUBSTITUTE(J47,"Connecteur ","")),Mesures_Dover!C23:C31,Mesures_Dover!D23:D31)</f>
        <v>#N/A</v>
      </c>
      <c r="K6" s="35" t="e">
        <f>_xlfn.XLOOKUP(INT(SUBSTITUTE(K47,"Connecteur ","")),Mesures_Dover!C23:C31,Mesures_Dover!D23:D31)</f>
        <v>#N/A</v>
      </c>
      <c r="L6" s="33"/>
    </row>
    <row r="7" spans="1:15" s="27" customFormat="1" x14ac:dyDescent="0.25">
      <c r="L7" s="33"/>
    </row>
    <row r="8" spans="1:15" s="27" customFormat="1" x14ac:dyDescent="0.25">
      <c r="L8" s="33"/>
    </row>
    <row r="9" spans="1:15" s="27" customFormat="1" x14ac:dyDescent="0.25">
      <c r="A9" s="210" t="s">
        <v>95</v>
      </c>
      <c r="B9" s="210"/>
      <c r="C9" s="210"/>
      <c r="D9" s="210"/>
      <c r="E9" s="210"/>
      <c r="F9" s="210"/>
      <c r="G9" s="210"/>
      <c r="H9" s="210"/>
      <c r="I9" s="210"/>
      <c r="J9" s="210"/>
      <c r="K9" s="210"/>
      <c r="L9" s="33"/>
    </row>
    <row r="10" spans="1:15" s="27" customFormat="1" x14ac:dyDescent="0.25">
      <c r="A10" s="33"/>
      <c r="B10" s="34" t="str" cm="1">
        <f t="array" ref="B10:K10">Valeurs_Brutes_150[#Headers]</f>
        <v>Date/Heure</v>
      </c>
      <c r="C10" s="36" t="str">
        <v>Connecteur 1</v>
      </c>
      <c r="D10" s="36" t="str">
        <v>Connecteur 2</v>
      </c>
      <c r="E10" s="36" t="str">
        <v>Connecteur 3</v>
      </c>
      <c r="F10" s="36" t="str">
        <v>Connecteur 4</v>
      </c>
      <c r="G10" s="36" t="str">
        <v>Connecteur 5</v>
      </c>
      <c r="H10" s="36" t="str">
        <v>Connecteur 6</v>
      </c>
      <c r="I10" s="36" t="str">
        <v>Connecteur 7</v>
      </c>
      <c r="J10" s="36" t="str">
        <v>Connecteur 8</v>
      </c>
      <c r="K10" s="36" t="str">
        <v>Connecteur 9</v>
      </c>
      <c r="L10" s="33"/>
    </row>
    <row r="11" spans="1:15" s="27" customFormat="1" ht="13.5" customHeight="1" x14ac:dyDescent="0.25">
      <c r="A11" s="211" t="s">
        <v>96</v>
      </c>
      <c r="B11" s="145" cm="1">
        <f t="array" ref="B11">Valeurs_Brutes_150[Date/Heure]</f>
        <v>0</v>
      </c>
      <c r="C11" s="130" t="e" cm="1">
        <f t="array" ref="C11:K11">Valeurs_Brutes_150[[Connecteur 1]:[Connecteur 9]] + C5:K5 +C6:K6</f>
        <v>#N/A</v>
      </c>
      <c r="D11" s="130" t="e">
        <v>#N/A</v>
      </c>
      <c r="E11" s="130" t="e">
        <v>#N/A</v>
      </c>
      <c r="F11" s="130" t="e">
        <v>#N/A</v>
      </c>
      <c r="G11" s="130" t="e">
        <v>#N/A</v>
      </c>
      <c r="H11" s="130" t="e">
        <v>#N/A</v>
      </c>
      <c r="I11" s="130" t="e">
        <v>#N/A</v>
      </c>
      <c r="J11" s="130" t="e">
        <v>#N/A</v>
      </c>
      <c r="K11" s="130" t="e">
        <v>#N/A</v>
      </c>
      <c r="L11" s="33"/>
    </row>
    <row r="12" spans="1:15" s="27" customFormat="1" x14ac:dyDescent="0.25">
      <c r="A12" s="211"/>
      <c r="B12" s="145"/>
      <c r="C12" s="130"/>
      <c r="D12" s="130"/>
      <c r="E12" s="130"/>
      <c r="F12" s="130"/>
      <c r="G12" s="130"/>
      <c r="H12" s="130"/>
      <c r="I12" s="130"/>
      <c r="J12" s="130"/>
      <c r="K12" s="130"/>
      <c r="L12" s="33"/>
    </row>
    <row r="13" spans="1:15" x14ac:dyDescent="0.25">
      <c r="A13" s="211"/>
      <c r="B13" s="145"/>
      <c r="C13" s="130"/>
      <c r="D13" s="130"/>
      <c r="E13" s="130"/>
      <c r="F13" s="130"/>
      <c r="G13" s="130"/>
      <c r="H13" s="130"/>
      <c r="I13" s="130"/>
      <c r="J13" s="130"/>
      <c r="K13" s="130"/>
    </row>
    <row r="14" spans="1:15" x14ac:dyDescent="0.25">
      <c r="A14" s="211"/>
      <c r="B14" s="145"/>
      <c r="C14" s="130"/>
      <c r="D14" s="130"/>
      <c r="E14" s="130"/>
      <c r="F14" s="130"/>
      <c r="G14" s="130"/>
      <c r="H14" s="130"/>
      <c r="I14" s="130"/>
      <c r="J14" s="130"/>
      <c r="K14" s="130"/>
    </row>
    <row r="15" spans="1:15" x14ac:dyDescent="0.25">
      <c r="A15" s="211"/>
      <c r="B15" s="145"/>
      <c r="C15" s="130"/>
      <c r="D15" s="130"/>
      <c r="E15" s="130"/>
      <c r="F15" s="130"/>
      <c r="G15" s="130"/>
      <c r="H15" s="130"/>
      <c r="I15" s="130"/>
      <c r="J15" s="130"/>
      <c r="K15" s="130"/>
    </row>
    <row r="16" spans="1:15" x14ac:dyDescent="0.25">
      <c r="A16" s="211"/>
      <c r="B16" s="145"/>
      <c r="C16" s="130"/>
      <c r="D16" s="130"/>
      <c r="E16" s="130"/>
      <c r="F16" s="130"/>
      <c r="G16" s="130"/>
      <c r="H16" s="130"/>
      <c r="I16" s="130"/>
      <c r="J16" s="130"/>
      <c r="K16" s="130"/>
    </row>
    <row r="17" spans="1:12" x14ac:dyDescent="0.25">
      <c r="A17" s="211"/>
      <c r="B17" s="145"/>
      <c r="C17" s="130"/>
      <c r="D17" s="130"/>
      <c r="E17" s="130"/>
      <c r="F17" s="130"/>
      <c r="G17" s="130"/>
      <c r="H17" s="130"/>
      <c r="I17" s="130"/>
      <c r="J17" s="130"/>
      <c r="K17" s="130"/>
    </row>
    <row r="18" spans="1:12" x14ac:dyDescent="0.25">
      <c r="A18" s="211"/>
      <c r="B18" s="145"/>
      <c r="C18" s="130"/>
      <c r="D18" s="130"/>
      <c r="E18" s="130"/>
      <c r="F18" s="130"/>
      <c r="G18" s="130"/>
      <c r="H18" s="130"/>
      <c r="I18" s="130"/>
      <c r="J18" s="130"/>
      <c r="K18" s="130"/>
    </row>
    <row r="19" spans="1:12" x14ac:dyDescent="0.25">
      <c r="A19" s="211"/>
      <c r="B19" s="145"/>
      <c r="C19" s="130"/>
      <c r="D19" s="130"/>
      <c r="E19" s="130"/>
      <c r="F19" s="130"/>
      <c r="G19" s="130"/>
      <c r="H19" s="130"/>
      <c r="I19" s="130"/>
      <c r="J19" s="130"/>
      <c r="K19" s="130"/>
    </row>
    <row r="20" spans="1:12" x14ac:dyDescent="0.25">
      <c r="A20" s="211"/>
      <c r="B20" s="145"/>
      <c r="C20" s="130"/>
      <c r="D20" s="130"/>
      <c r="E20" s="130"/>
      <c r="F20" s="130"/>
      <c r="G20" s="130"/>
      <c r="H20" s="130"/>
      <c r="I20" s="130"/>
      <c r="J20" s="130"/>
      <c r="K20" s="130"/>
    </row>
    <row r="21" spans="1:12" x14ac:dyDescent="0.25">
      <c r="A21" s="211"/>
      <c r="B21" s="145"/>
      <c r="C21" s="130"/>
      <c r="D21" s="130"/>
      <c r="E21" s="130"/>
      <c r="F21" s="130"/>
      <c r="G21" s="130"/>
      <c r="H21" s="130"/>
      <c r="I21" s="130"/>
      <c r="J21" s="130"/>
      <c r="K21" s="130"/>
    </row>
    <row r="22" spans="1:12" x14ac:dyDescent="0.25">
      <c r="A22" s="211"/>
      <c r="B22" s="145"/>
      <c r="C22" s="130"/>
      <c r="D22" s="130"/>
      <c r="E22" s="130"/>
      <c r="F22" s="130"/>
      <c r="G22" s="130"/>
      <c r="H22" s="130"/>
      <c r="I22" s="130"/>
      <c r="J22" s="130"/>
      <c r="K22" s="130"/>
    </row>
    <row r="23" spans="1:12" s="27" customFormat="1" x14ac:dyDescent="0.25">
      <c r="A23" s="211"/>
      <c r="B23" s="145"/>
      <c r="C23" s="130"/>
      <c r="D23" s="130"/>
      <c r="E23" s="130"/>
      <c r="F23" s="130"/>
      <c r="G23" s="130"/>
      <c r="H23" s="130"/>
      <c r="I23" s="130"/>
      <c r="J23" s="130"/>
      <c r="K23" s="130"/>
      <c r="L23" s="33"/>
    </row>
    <row r="24" spans="1:12" x14ac:dyDescent="0.25">
      <c r="A24" s="211"/>
      <c r="B24" s="145"/>
      <c r="C24" s="130"/>
      <c r="D24" s="130"/>
      <c r="E24" s="130"/>
      <c r="F24" s="130"/>
      <c r="G24" s="130"/>
      <c r="H24" s="130"/>
      <c r="I24" s="130"/>
      <c r="J24" s="130"/>
      <c r="K24" s="130"/>
    </row>
    <row r="25" spans="1:12" x14ac:dyDescent="0.25">
      <c r="A25" s="211"/>
      <c r="B25" s="145"/>
      <c r="C25" s="130"/>
      <c r="D25" s="130"/>
      <c r="E25" s="130"/>
      <c r="F25" s="130"/>
      <c r="G25" s="130"/>
      <c r="H25" s="130"/>
      <c r="I25" s="130"/>
      <c r="J25" s="130"/>
      <c r="K25" s="130"/>
    </row>
    <row r="26" spans="1:12" x14ac:dyDescent="0.25">
      <c r="A26" s="211"/>
      <c r="B26" s="145"/>
      <c r="C26" s="130"/>
      <c r="D26" s="130"/>
      <c r="E26" s="130"/>
      <c r="F26" s="130"/>
      <c r="G26" s="130"/>
      <c r="H26" s="130"/>
      <c r="I26" s="130"/>
      <c r="J26" s="130"/>
      <c r="K26" s="130"/>
    </row>
    <row r="27" spans="1:12" x14ac:dyDescent="0.25">
      <c r="A27" s="211"/>
      <c r="B27" s="145"/>
      <c r="C27" s="130"/>
      <c r="D27" s="130"/>
      <c r="E27" s="130"/>
      <c r="F27" s="130"/>
      <c r="G27" s="130"/>
      <c r="H27" s="130"/>
      <c r="I27" s="130"/>
      <c r="J27" s="130"/>
      <c r="K27" s="130"/>
    </row>
    <row r="28" spans="1:12" x14ac:dyDescent="0.25">
      <c r="A28" s="211"/>
      <c r="B28" s="145"/>
      <c r="C28" s="130"/>
      <c r="D28" s="130"/>
      <c r="E28" s="130"/>
      <c r="F28" s="130"/>
      <c r="G28" s="130"/>
      <c r="H28" s="130"/>
      <c r="I28" s="130"/>
      <c r="J28" s="130"/>
      <c r="K28" s="130"/>
    </row>
    <row r="29" spans="1:12" x14ac:dyDescent="0.25">
      <c r="A29" s="211"/>
      <c r="B29" s="145"/>
      <c r="C29" s="130"/>
      <c r="D29" s="130"/>
      <c r="E29" s="130"/>
      <c r="F29" s="130"/>
      <c r="G29" s="130"/>
      <c r="H29" s="130"/>
      <c r="I29" s="130"/>
      <c r="J29" s="130"/>
      <c r="K29" s="130"/>
    </row>
    <row r="30" spans="1:12" x14ac:dyDescent="0.25">
      <c r="A30" s="211"/>
      <c r="B30" s="145"/>
      <c r="C30" s="130"/>
      <c r="D30" s="130"/>
      <c r="E30" s="130"/>
      <c r="F30" s="130"/>
      <c r="G30" s="130"/>
      <c r="H30" s="130"/>
      <c r="I30" s="130"/>
      <c r="J30" s="130"/>
      <c r="K30" s="130"/>
    </row>
    <row r="31" spans="1:12" x14ac:dyDescent="0.25">
      <c r="A31" s="211"/>
      <c r="B31" s="145"/>
      <c r="C31" s="130"/>
      <c r="D31" s="130"/>
      <c r="E31" s="130"/>
      <c r="F31" s="130"/>
      <c r="G31" s="130"/>
      <c r="H31" s="130"/>
      <c r="I31" s="130"/>
      <c r="J31" s="130"/>
      <c r="K31" s="130"/>
    </row>
    <row r="32" spans="1:12" x14ac:dyDescent="0.25">
      <c r="A32" s="211"/>
      <c r="B32" s="145"/>
      <c r="C32" s="130"/>
      <c r="D32" s="130"/>
      <c r="E32" s="130"/>
      <c r="F32" s="130"/>
      <c r="G32" s="130"/>
      <c r="H32" s="130"/>
      <c r="I32" s="130"/>
      <c r="J32" s="130"/>
      <c r="K32" s="130"/>
    </row>
    <row r="33" spans="1:15" x14ac:dyDescent="0.25">
      <c r="A33" s="211"/>
      <c r="B33" s="145"/>
      <c r="C33" s="130"/>
      <c r="D33" s="130"/>
      <c r="E33" s="130"/>
      <c r="F33" s="130"/>
      <c r="G33" s="130"/>
      <c r="H33" s="130"/>
      <c r="I33" s="130"/>
      <c r="J33" s="130"/>
      <c r="K33" s="130"/>
    </row>
    <row r="34" spans="1:15" x14ac:dyDescent="0.25">
      <c r="A34" s="211"/>
      <c r="B34" s="145"/>
      <c r="C34" s="130"/>
      <c r="D34" s="130"/>
      <c r="E34" s="130"/>
      <c r="F34" s="130"/>
      <c r="G34" s="130"/>
      <c r="H34" s="130"/>
      <c r="I34" s="130"/>
      <c r="J34" s="130"/>
      <c r="K34" s="130"/>
    </row>
    <row r="35" spans="1:15" x14ac:dyDescent="0.25">
      <c r="A35" s="211"/>
      <c r="B35" s="145"/>
      <c r="C35" s="130"/>
      <c r="D35" s="130"/>
      <c r="E35" s="130"/>
      <c r="F35" s="130"/>
      <c r="G35" s="130"/>
      <c r="H35" s="130"/>
      <c r="I35" s="130"/>
      <c r="J35" s="130"/>
      <c r="K35" s="130"/>
    </row>
    <row r="36" spans="1:15" x14ac:dyDescent="0.25">
      <c r="A36" s="211"/>
      <c r="B36" s="145"/>
      <c r="C36" s="130"/>
      <c r="D36" s="130"/>
      <c r="E36" s="130"/>
      <c r="F36" s="130"/>
      <c r="G36" s="130"/>
      <c r="H36" s="130"/>
      <c r="I36" s="130"/>
      <c r="J36" s="130"/>
      <c r="K36" s="130"/>
    </row>
    <row r="37" spans="1:15" x14ac:dyDescent="0.25">
      <c r="A37" s="211"/>
      <c r="B37" s="145"/>
      <c r="C37" s="130"/>
      <c r="D37" s="130"/>
      <c r="E37" s="130"/>
      <c r="F37" s="130"/>
      <c r="G37" s="130"/>
      <c r="H37" s="130"/>
      <c r="I37" s="130"/>
      <c r="J37" s="130"/>
      <c r="K37" s="130"/>
    </row>
    <row r="38" spans="1:15" x14ac:dyDescent="0.25">
      <c r="A38" s="211"/>
      <c r="B38" s="145"/>
      <c r="C38" s="130"/>
      <c r="D38" s="130"/>
      <c r="E38" s="130"/>
      <c r="F38" s="130"/>
      <c r="G38" s="130"/>
      <c r="H38" s="130"/>
      <c r="I38" s="130"/>
      <c r="J38" s="130"/>
      <c r="K38" s="130"/>
    </row>
    <row r="39" spans="1:15" x14ac:dyDescent="0.25">
      <c r="A39" s="211"/>
      <c r="B39" s="145"/>
      <c r="C39" s="130"/>
      <c r="D39" s="130"/>
      <c r="E39" s="130"/>
      <c r="F39" s="130"/>
      <c r="G39" s="130"/>
      <c r="H39" s="130"/>
      <c r="I39" s="130"/>
      <c r="J39" s="130"/>
      <c r="K39" s="130"/>
    </row>
    <row r="40" spans="1:15" x14ac:dyDescent="0.25">
      <c r="A40" s="211"/>
      <c r="B40" s="145"/>
      <c r="C40" s="130"/>
      <c r="D40" s="130"/>
      <c r="E40" s="130"/>
      <c r="F40" s="130"/>
      <c r="G40" s="130"/>
      <c r="H40" s="130"/>
      <c r="I40" s="130"/>
      <c r="J40" s="130"/>
      <c r="K40" s="130"/>
    </row>
    <row r="41" spans="1:15" x14ac:dyDescent="0.25">
      <c r="A41" s="211"/>
      <c r="B41" s="145"/>
      <c r="C41" s="130"/>
      <c r="D41" s="130"/>
      <c r="E41" s="130"/>
      <c r="F41" s="130"/>
      <c r="G41" s="130"/>
      <c r="H41" s="130"/>
      <c r="I41" s="130"/>
      <c r="J41" s="130"/>
      <c r="K41" s="130"/>
    </row>
    <row r="46" spans="1:15" s="174" customFormat="1" x14ac:dyDescent="0.25"/>
    <row r="47" spans="1:15" s="27" customFormat="1" x14ac:dyDescent="0.25">
      <c r="C47" s="41" t="str" cm="1">
        <f t="array" ref="C47:K47">Valeurs_Brutes_150[[#Headers],[Connecteur 1]:[Connecteur 9]]</f>
        <v>Connecteur 1</v>
      </c>
      <c r="D47" s="41" t="str">
        <v>Connecteur 2</v>
      </c>
      <c r="E47" s="41" t="str">
        <v>Connecteur 3</v>
      </c>
      <c r="F47" s="41" t="str">
        <v>Connecteur 4</v>
      </c>
      <c r="G47" s="41" t="str">
        <v>Connecteur 5</v>
      </c>
      <c r="H47" s="41" t="str">
        <v>Connecteur 6</v>
      </c>
      <c r="I47" s="41" t="str">
        <v>Connecteur 7</v>
      </c>
      <c r="J47" s="41" t="str">
        <v>Connecteur 8</v>
      </c>
      <c r="K47" s="41" t="str">
        <v>Connecteur 9</v>
      </c>
      <c r="M47" s="33"/>
    </row>
    <row r="48" spans="1:15" s="27" customFormat="1" x14ac:dyDescent="0.25">
      <c r="B48" s="42" t="s">
        <v>98</v>
      </c>
      <c r="C48" s="43" t="e">
        <f>MAX(C11:C41)</f>
        <v>#N/A</v>
      </c>
      <c r="D48" s="43" t="e">
        <f>MAX(D11:D41)</f>
        <v>#N/A</v>
      </c>
      <c r="E48" s="43" t="e">
        <f t="shared" ref="E48:K48" si="0">MAX(E11:E41)</f>
        <v>#N/A</v>
      </c>
      <c r="F48" s="43" t="e">
        <f t="shared" si="0"/>
        <v>#N/A</v>
      </c>
      <c r="G48" s="43" t="e">
        <f t="shared" si="0"/>
        <v>#N/A</v>
      </c>
      <c r="H48" s="43" t="e">
        <f t="shared" si="0"/>
        <v>#N/A</v>
      </c>
      <c r="I48" s="43" t="e">
        <f t="shared" si="0"/>
        <v>#N/A</v>
      </c>
      <c r="J48" s="43" t="e">
        <f t="shared" si="0"/>
        <v>#N/A</v>
      </c>
      <c r="K48" s="43" t="e">
        <f t="shared" si="0"/>
        <v>#N/A</v>
      </c>
      <c r="L48" s="48">
        <f>150+Mesures_Dover!B20</f>
        <v>150</v>
      </c>
      <c r="N48" s="36" t="s">
        <v>7</v>
      </c>
      <c r="O48" s="48" t="str">
        <f>"150°C"</f>
        <v>150°C</v>
      </c>
    </row>
    <row r="49" spans="2:15" s="27" customFormat="1" x14ac:dyDescent="0.25">
      <c r="B49" s="42" t="s">
        <v>100</v>
      </c>
      <c r="C49" s="43" t="e">
        <f>MIN(C11:C41)</f>
        <v>#N/A</v>
      </c>
      <c r="D49" s="43" t="e">
        <f t="shared" ref="D49:K49" si="1">MIN(D11:D41)</f>
        <v>#N/A</v>
      </c>
      <c r="E49" s="43" t="e">
        <f t="shared" si="1"/>
        <v>#N/A</v>
      </c>
      <c r="F49" s="43" t="e">
        <f t="shared" si="1"/>
        <v>#N/A</v>
      </c>
      <c r="G49" s="43" t="e">
        <f t="shared" si="1"/>
        <v>#N/A</v>
      </c>
      <c r="H49" s="43" t="e">
        <f t="shared" si="1"/>
        <v>#N/A</v>
      </c>
      <c r="I49" s="43" t="e">
        <f t="shared" si="1"/>
        <v>#N/A</v>
      </c>
      <c r="J49" s="43" t="e">
        <f t="shared" si="1"/>
        <v>#N/A</v>
      </c>
      <c r="K49" s="43" t="e">
        <f t="shared" si="1"/>
        <v>#N/A</v>
      </c>
      <c r="L49" s="48">
        <f>150-Mesures_Dover!B20</f>
        <v>150</v>
      </c>
      <c r="N49" s="36" t="s">
        <v>99</v>
      </c>
      <c r="O49" s="35" t="str">
        <f>"+" &amp; Mesures_Dover!B20 &amp; "°C"</f>
        <v>+°C</v>
      </c>
    </row>
    <row r="50" spans="2:15" s="27" customFormat="1" x14ac:dyDescent="0.25">
      <c r="B50" s="42" t="s">
        <v>102</v>
      </c>
      <c r="C50" s="43" t="e">
        <f>AVERAGE(C11:C41)</f>
        <v>#N/A</v>
      </c>
      <c r="D50" s="43" t="e">
        <f t="shared" ref="D50:K50" si="2">AVERAGE(D11:D41)</f>
        <v>#N/A</v>
      </c>
      <c r="E50" s="43" t="e">
        <f t="shared" si="2"/>
        <v>#N/A</v>
      </c>
      <c r="F50" s="43" t="e">
        <f t="shared" si="2"/>
        <v>#N/A</v>
      </c>
      <c r="G50" s="43" t="e">
        <f t="shared" si="2"/>
        <v>#N/A</v>
      </c>
      <c r="H50" s="43" t="e">
        <f t="shared" si="2"/>
        <v>#N/A</v>
      </c>
      <c r="I50" s="43" t="e">
        <f t="shared" si="2"/>
        <v>#N/A</v>
      </c>
      <c r="J50" s="43" t="e">
        <f t="shared" si="2"/>
        <v>#N/A</v>
      </c>
      <c r="K50" s="43" t="e">
        <f t="shared" si="2"/>
        <v>#N/A</v>
      </c>
      <c r="L50" s="33"/>
      <c r="M50" s="33"/>
      <c r="N50" s="36" t="s">
        <v>101</v>
      </c>
      <c r="O50" s="35" t="str">
        <f>"-" &amp; Mesures_Dover!B20 &amp; "°C"</f>
        <v>-°C</v>
      </c>
    </row>
    <row r="51" spans="2:15" s="27" customFormat="1" x14ac:dyDescent="0.25">
      <c r="B51" s="42" t="s">
        <v>103</v>
      </c>
      <c r="C51" s="45" t="e">
        <f>C48-C49</f>
        <v>#N/A</v>
      </c>
      <c r="D51" s="45" t="e">
        <f t="shared" ref="D51:K51" si="3">D48-D49</f>
        <v>#N/A</v>
      </c>
      <c r="E51" s="45" t="e">
        <f t="shared" si="3"/>
        <v>#N/A</v>
      </c>
      <c r="F51" s="45" t="e">
        <f t="shared" si="3"/>
        <v>#N/A</v>
      </c>
      <c r="G51" s="45" t="e">
        <f t="shared" si="3"/>
        <v>#N/A</v>
      </c>
      <c r="H51" s="45" t="e">
        <f t="shared" si="3"/>
        <v>#N/A</v>
      </c>
      <c r="I51" s="45" t="e">
        <f t="shared" si="3"/>
        <v>#N/A</v>
      </c>
      <c r="J51" s="45" t="e">
        <f t="shared" si="3"/>
        <v>#N/A</v>
      </c>
      <c r="K51" s="45" t="e">
        <f t="shared" si="3"/>
        <v>#N/A</v>
      </c>
      <c r="L51" s="33"/>
    </row>
    <row r="52" spans="2:15" s="27" customFormat="1" x14ac:dyDescent="0.25">
      <c r="B52" s="42" t="s">
        <v>104</v>
      </c>
      <c r="C52" s="175" t="e">
        <f>ABS(MAX(C48:K48)-MIN(C49:K49))</f>
        <v>#N/A</v>
      </c>
      <c r="D52" s="175"/>
      <c r="E52" s="175"/>
      <c r="F52" s="175"/>
      <c r="G52" s="175"/>
      <c r="H52" s="175"/>
      <c r="I52" s="175"/>
      <c r="J52" s="175"/>
      <c r="K52" s="175"/>
      <c r="L52" s="33"/>
    </row>
    <row r="53" spans="2:15" s="27" customFormat="1" x14ac:dyDescent="0.25">
      <c r="B53" s="42" t="s">
        <v>105</v>
      </c>
      <c r="C53" s="175" t="e">
        <f>AVERAGE(C50:K50)</f>
        <v>#N/A</v>
      </c>
      <c r="D53" s="175"/>
      <c r="E53" s="175"/>
      <c r="F53" s="175"/>
      <c r="G53" s="175"/>
      <c r="H53" s="175"/>
      <c r="I53" s="175"/>
      <c r="J53" s="175"/>
      <c r="K53" s="175"/>
      <c r="L53" s="33"/>
    </row>
    <row r="54" spans="2:15" s="27" customFormat="1" x14ac:dyDescent="0.25">
      <c r="B54" s="36" t="s">
        <v>106</v>
      </c>
      <c r="C54" s="46" t="e">
        <f ca="1">STDEV(OFFSET(INDEX(Valeurs_Brutes_150[Connecteur 1],1),COUNT(Valeurs_Brutes_150[Connecteur 1])-30,0,30))+C5+C6</f>
        <v>#REF!</v>
      </c>
      <c r="D54" s="46" t="e">
        <f ca="1">STDEV(OFFSET(INDEX(Valeurs_Brutes_150[Connecteur 2],1),COUNT(Valeurs_Brutes_150[Connecteur 2])-30,0,30))+D5+D6</f>
        <v>#REF!</v>
      </c>
      <c r="E54" s="46" t="e">
        <f ca="1">STDEV(OFFSET(INDEX(Valeurs_Brutes_150[Connecteur 3],1),COUNT(Valeurs_Brutes_150[Connecteur 3])-30,0,30))+E5+E6</f>
        <v>#REF!</v>
      </c>
      <c r="F54" s="46" t="e">
        <f ca="1">STDEV(OFFSET(INDEX(Valeurs_Brutes_150[Connecteur 4],1),COUNT(Valeurs_Brutes_150[Connecteur 4])-30,0,30))+F5+F6</f>
        <v>#REF!</v>
      </c>
      <c r="G54" s="46" t="e">
        <f ca="1">STDEV(OFFSET(INDEX(Valeurs_Brutes_150[Connecteur 5],1),COUNT(Valeurs_Brutes_150[Connecteur 5])-30,0,30))+G5+G6</f>
        <v>#REF!</v>
      </c>
      <c r="H54" s="46" t="e">
        <f ca="1">STDEV(OFFSET(INDEX(Valeurs_Brutes_150[Connecteur 6],1),COUNT(Valeurs_Brutes_150[Connecteur 6])-30,0,30))+H5+H6</f>
        <v>#REF!</v>
      </c>
      <c r="I54" s="46" t="e">
        <f ca="1">STDEV(OFFSET(INDEX(Valeurs_Brutes_150[Connecteur 7],1),COUNT(Valeurs_Brutes_150[Connecteur 7])-30,0,30))+I5+I6</f>
        <v>#REF!</v>
      </c>
      <c r="J54" s="46" t="e">
        <f ca="1">STDEV(OFFSET(INDEX(Valeurs_Brutes_150[Connecteur 8],1),COUNT(Valeurs_Brutes_150[Connecteur 8])-30,0,30))+J5+J6</f>
        <v>#REF!</v>
      </c>
      <c r="K54" s="46" t="e">
        <f ca="1">STDEV(OFFSET(INDEX(Valeurs_Brutes_150[Connecteur 9],1),COUNT(Valeurs_Brutes_150[Connecteur 9])-30,0,30))+K5+K6</f>
        <v>#REF!</v>
      </c>
      <c r="L54" s="33"/>
    </row>
    <row r="55" spans="2:15" s="27" customFormat="1" x14ac:dyDescent="0.25">
      <c r="B55"/>
      <c r="C55"/>
      <c r="D55"/>
      <c r="E55"/>
      <c r="F55"/>
      <c r="G55"/>
      <c r="H55"/>
      <c r="I55"/>
      <c r="J55"/>
      <c r="K55"/>
      <c r="L55"/>
    </row>
  </sheetData>
  <sheetProtection algorithmName="SHA-512" hashValue="n2U8eyeDOOYFdw/6q1Ej2G1eyeT9b32Buh/Ln2LH24hd1cigGUqJpfDt9KxoIQ1HytH9kZ8KXaZj/9ZLjnhIlQ==" saltValue="pFBf3qgo3NrKileTUBwX8Q==" spinCount="100000" sheet="1" objects="1" scenarios="1" autoFilter="0"/>
  <mergeCells count="6">
    <mergeCell ref="A1:O3"/>
    <mergeCell ref="A9:K9"/>
    <mergeCell ref="A11:A41"/>
    <mergeCell ref="A46:XFD46"/>
    <mergeCell ref="C52:K52"/>
    <mergeCell ref="C53:K53"/>
  </mergeCells>
  <conditionalFormatting sqref="C48:K48">
    <cfRule type="cellIs" dxfId="11" priority="1" operator="greaterThan">
      <formula>$L$48</formula>
    </cfRule>
  </conditionalFormatting>
  <conditionalFormatting sqref="C49:K49">
    <cfRule type="cellIs" dxfId="10" priority="2" operator="lessThan">
      <formula>$L$49</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DD90F-936F-4837-94E6-B249D9E716C5}">
  <sheetPr codeName="Feuil25">
    <tabColor theme="9" tint="0.39997558519241921"/>
  </sheetPr>
  <dimension ref="A4:J504"/>
  <sheetViews>
    <sheetView view="pageBreakPreview" topLeftCell="A161" zoomScale="40" zoomScaleNormal="100" zoomScaleSheetLayoutView="40" zoomScalePageLayoutView="60" workbookViewId="0">
      <selection activeCell="R189" sqref="R189"/>
    </sheetView>
  </sheetViews>
  <sheetFormatPr baseColWidth="10" defaultRowHeight="15" x14ac:dyDescent="0.25"/>
  <cols>
    <col min="1" max="1" width="49.85546875" bestFit="1" customWidth="1"/>
    <col min="2" max="2" width="57.7109375" customWidth="1"/>
    <col min="3" max="3" width="44.7109375" customWidth="1"/>
    <col min="4" max="4" width="18.28515625" customWidth="1"/>
    <col min="5" max="5" width="23.28515625" customWidth="1"/>
    <col min="6" max="6" width="29.42578125" bestFit="1" customWidth="1"/>
    <col min="7" max="7" width="20" customWidth="1"/>
    <col min="8" max="8" width="25.42578125" customWidth="1"/>
    <col min="9" max="10" width="14.85546875" bestFit="1" customWidth="1"/>
    <col min="11" max="11" width="15.5703125" bestFit="1" customWidth="1"/>
    <col min="12" max="12" width="15.140625" bestFit="1" customWidth="1"/>
    <col min="13" max="14" width="15.5703125" bestFit="1" customWidth="1"/>
  </cols>
  <sheetData>
    <row r="4" spans="2:9" x14ac:dyDescent="0.25">
      <c r="B4" s="221" t="s">
        <v>274</v>
      </c>
      <c r="C4" s="222"/>
      <c r="D4" s="222"/>
      <c r="E4" s="222"/>
      <c r="F4" s="222"/>
    </row>
    <row r="5" spans="2:9" ht="26.25" x14ac:dyDescent="0.25">
      <c r="B5" s="222"/>
      <c r="C5" s="222"/>
      <c r="D5" s="222"/>
      <c r="E5" s="222"/>
      <c r="F5" s="222"/>
      <c r="G5" s="88"/>
      <c r="H5" s="88"/>
      <c r="I5" s="89"/>
    </row>
    <row r="6" spans="2:9" ht="58.5" customHeight="1" x14ac:dyDescent="0.25">
      <c r="B6" s="222"/>
      <c r="C6" s="222"/>
      <c r="D6" s="222"/>
      <c r="E6" s="222"/>
      <c r="F6" s="222"/>
    </row>
    <row r="10" spans="2:9" ht="21" x14ac:dyDescent="0.25">
      <c r="C10" s="192" t="s">
        <v>145</v>
      </c>
      <c r="D10" s="192"/>
      <c r="E10" s="193">
        <f>Mesures_Dover!D5</f>
        <v>0</v>
      </c>
      <c r="F10" s="193"/>
    </row>
    <row r="11" spans="2:9" ht="21" x14ac:dyDescent="0.25">
      <c r="C11" s="90"/>
      <c r="D11" s="90"/>
      <c r="E11" s="91"/>
      <c r="F11" s="91"/>
    </row>
    <row r="12" spans="2:9" x14ac:dyDescent="0.25">
      <c r="C12" s="92" t="s">
        <v>1</v>
      </c>
      <c r="D12" s="147">
        <f>Mesures_Dover!C7</f>
        <v>0</v>
      </c>
      <c r="F12" s="92" t="s">
        <v>19</v>
      </c>
      <c r="G12" s="147">
        <f>Mesures_Dover!G7</f>
        <v>0</v>
      </c>
    </row>
    <row r="13" spans="2:9" ht="15.75" x14ac:dyDescent="0.25">
      <c r="C13" s="94" t="s">
        <v>2</v>
      </c>
      <c r="D13" s="148">
        <f>Mesures_Dover!C8</f>
        <v>0</v>
      </c>
      <c r="F13" s="96" t="s">
        <v>20</v>
      </c>
      <c r="G13" s="148">
        <f>Mesures_Dover!G8</f>
        <v>0</v>
      </c>
    </row>
    <row r="14" spans="2:9" ht="15.75" x14ac:dyDescent="0.25">
      <c r="C14" s="97"/>
      <c r="D14" s="98"/>
      <c r="G14" s="99"/>
    </row>
    <row r="15" spans="2:9" ht="15.75" x14ac:dyDescent="0.25">
      <c r="C15" s="100" t="s">
        <v>146</v>
      </c>
      <c r="D15" s="101">
        <f>Mesures_Dover!C14</f>
        <v>0</v>
      </c>
      <c r="F15" s="92" t="s">
        <v>147</v>
      </c>
      <c r="G15" s="9">
        <f>Mesures_Dover!C15</f>
        <v>0</v>
      </c>
    </row>
    <row r="16" spans="2:9" ht="15.75" x14ac:dyDescent="0.25">
      <c r="C16" s="100" t="s">
        <v>148</v>
      </c>
      <c r="D16" s="103">
        <f>Mesures_Dover!G11</f>
        <v>15</v>
      </c>
      <c r="F16" s="92" t="s">
        <v>149</v>
      </c>
      <c r="G16" s="9">
        <f>Mesures_Dover!G12</f>
        <v>0</v>
      </c>
    </row>
    <row r="17" spans="1:9" ht="15.75" x14ac:dyDescent="0.25">
      <c r="C17" s="97"/>
      <c r="D17" s="98"/>
      <c r="F17" s="97"/>
      <c r="G17" s="1"/>
    </row>
    <row r="18" spans="1:9" ht="15.75" x14ac:dyDescent="0.25">
      <c r="C18" s="100" t="s">
        <v>150</v>
      </c>
      <c r="D18" s="149">
        <f>Mesures_Dover!C11</f>
        <v>0</v>
      </c>
      <c r="F18" s="92" t="s">
        <v>151</v>
      </c>
      <c r="G18" s="156">
        <f>Mesures_Dover!G10</f>
        <v>0</v>
      </c>
    </row>
    <row r="19" spans="1:9" ht="15.75" x14ac:dyDescent="0.25">
      <c r="C19" s="94" t="s">
        <v>152</v>
      </c>
      <c r="D19" s="149">
        <f>Mesures_Dover!C11</f>
        <v>0</v>
      </c>
    </row>
    <row r="20" spans="1:9" ht="15.75" x14ac:dyDescent="0.25">
      <c r="C20" s="97"/>
      <c r="D20" s="98"/>
    </row>
    <row r="21" spans="1:9" ht="15.75" x14ac:dyDescent="0.25">
      <c r="C21" s="97"/>
      <c r="D21" s="98"/>
    </row>
    <row r="28" spans="1:9" ht="36" x14ac:dyDescent="0.55000000000000004">
      <c r="A28" s="180" t="s">
        <v>153</v>
      </c>
      <c r="B28" s="180"/>
    </row>
    <row r="30" spans="1:9" x14ac:dyDescent="0.25">
      <c r="A30" s="194" t="s">
        <v>275</v>
      </c>
      <c r="B30" s="194"/>
      <c r="C30" s="194"/>
      <c r="D30" s="194"/>
      <c r="E30" s="194"/>
      <c r="F30" s="194"/>
      <c r="G30" s="194"/>
      <c r="H30" s="194"/>
      <c r="I30" s="194"/>
    </row>
    <row r="31" spans="1:9" x14ac:dyDescent="0.25">
      <c r="A31" s="194"/>
      <c r="B31" s="194"/>
      <c r="C31" s="194"/>
      <c r="D31" s="194"/>
      <c r="E31" s="194"/>
      <c r="F31" s="194"/>
      <c r="G31" s="194"/>
      <c r="H31" s="194"/>
      <c r="I31" s="194"/>
    </row>
    <row r="32" spans="1:9" x14ac:dyDescent="0.25">
      <c r="A32" s="194"/>
      <c r="B32" s="194"/>
      <c r="C32" s="194"/>
      <c r="D32" s="194"/>
      <c r="E32" s="194"/>
      <c r="F32" s="194"/>
      <c r="G32" s="194"/>
      <c r="H32" s="194"/>
      <c r="I32" s="194"/>
    </row>
    <row r="33" spans="1:9" x14ac:dyDescent="0.25">
      <c r="A33" s="194"/>
      <c r="B33" s="194"/>
      <c r="C33" s="194"/>
      <c r="D33" s="194"/>
      <c r="E33" s="194"/>
      <c r="F33" s="194"/>
      <c r="G33" s="194"/>
      <c r="H33" s="194"/>
      <c r="I33" s="194"/>
    </row>
    <row r="34" spans="1:9" x14ac:dyDescent="0.25">
      <c r="A34" s="194"/>
      <c r="B34" s="194"/>
      <c r="C34" s="194"/>
      <c r="D34" s="194"/>
      <c r="E34" s="194"/>
      <c r="F34" s="194"/>
      <c r="G34" s="194"/>
      <c r="H34" s="194"/>
      <c r="I34" s="194"/>
    </row>
    <row r="35" spans="1:9" x14ac:dyDescent="0.25">
      <c r="A35" s="194"/>
      <c r="B35" s="194"/>
      <c r="C35" s="194"/>
      <c r="D35" s="194"/>
      <c r="E35" s="194"/>
      <c r="F35" s="194"/>
      <c r="G35" s="194"/>
      <c r="H35" s="194"/>
      <c r="I35" s="194"/>
    </row>
    <row r="36" spans="1:9" x14ac:dyDescent="0.25">
      <c r="A36" s="194"/>
      <c r="B36" s="194"/>
      <c r="C36" s="194"/>
      <c r="D36" s="194"/>
      <c r="E36" s="194"/>
      <c r="F36" s="194"/>
      <c r="G36" s="194"/>
      <c r="H36" s="194"/>
      <c r="I36" s="194"/>
    </row>
    <row r="37" spans="1:9" x14ac:dyDescent="0.25">
      <c r="A37" s="194"/>
      <c r="B37" s="194"/>
      <c r="C37" s="194"/>
      <c r="D37" s="194"/>
      <c r="E37" s="194"/>
      <c r="F37" s="194"/>
      <c r="G37" s="194"/>
      <c r="H37" s="194"/>
      <c r="I37" s="194"/>
    </row>
    <row r="38" spans="1:9" x14ac:dyDescent="0.25">
      <c r="A38" s="194"/>
      <c r="B38" s="194"/>
      <c r="C38" s="194"/>
      <c r="D38" s="194"/>
      <c r="E38" s="194"/>
      <c r="F38" s="194"/>
      <c r="G38" s="194"/>
      <c r="H38" s="194"/>
      <c r="I38" s="194"/>
    </row>
    <row r="39" spans="1:9" x14ac:dyDescent="0.25">
      <c r="A39" s="194"/>
      <c r="B39" s="194"/>
      <c r="C39" s="194"/>
      <c r="D39" s="194"/>
      <c r="E39" s="194"/>
      <c r="F39" s="194"/>
      <c r="G39" s="194"/>
      <c r="H39" s="194"/>
      <c r="I39" s="194"/>
    </row>
    <row r="40" spans="1:9" x14ac:dyDescent="0.25">
      <c r="A40" s="194"/>
      <c r="B40" s="194"/>
      <c r="C40" s="194"/>
      <c r="D40" s="194"/>
      <c r="E40" s="194"/>
      <c r="F40" s="194"/>
      <c r="G40" s="194"/>
      <c r="H40" s="194"/>
      <c r="I40" s="194"/>
    </row>
    <row r="41" spans="1:9" x14ac:dyDescent="0.25">
      <c r="A41" s="194"/>
      <c r="B41" s="194"/>
      <c r="C41" s="194"/>
      <c r="D41" s="194"/>
      <c r="E41" s="194"/>
      <c r="F41" s="194"/>
      <c r="G41" s="194"/>
      <c r="H41" s="194"/>
      <c r="I41" s="194"/>
    </row>
    <row r="42" spans="1:9" x14ac:dyDescent="0.25">
      <c r="A42" s="194"/>
      <c r="B42" s="194"/>
      <c r="C42" s="194"/>
      <c r="D42" s="194"/>
      <c r="E42" s="194"/>
      <c r="F42" s="194"/>
      <c r="G42" s="194"/>
      <c r="H42" s="194"/>
      <c r="I42" s="194"/>
    </row>
    <row r="43" spans="1:9" x14ac:dyDescent="0.25">
      <c r="A43" s="194"/>
      <c r="B43" s="194"/>
      <c r="C43" s="194"/>
      <c r="D43" s="194"/>
      <c r="E43" s="194"/>
      <c r="F43" s="194"/>
      <c r="G43" s="194"/>
      <c r="H43" s="194"/>
      <c r="I43" s="194"/>
    </row>
    <row r="44" spans="1:9" x14ac:dyDescent="0.25">
      <c r="A44" s="194"/>
      <c r="B44" s="194"/>
      <c r="C44" s="194"/>
      <c r="D44" s="194"/>
      <c r="E44" s="194"/>
      <c r="F44" s="194"/>
      <c r="G44" s="194"/>
      <c r="H44" s="194"/>
      <c r="I44" s="194"/>
    </row>
    <row r="45" spans="1:9" x14ac:dyDescent="0.25">
      <c r="A45" s="194"/>
      <c r="B45" s="194"/>
      <c r="C45" s="194"/>
      <c r="D45" s="194"/>
      <c r="E45" s="194"/>
      <c r="F45" s="194"/>
      <c r="G45" s="194"/>
      <c r="H45" s="194"/>
      <c r="I45" s="194"/>
    </row>
    <row r="46" spans="1:9" x14ac:dyDescent="0.25">
      <c r="A46" s="194"/>
      <c r="B46" s="194"/>
      <c r="C46" s="194"/>
      <c r="D46" s="194"/>
      <c r="E46" s="194"/>
      <c r="F46" s="194"/>
      <c r="G46" s="194"/>
      <c r="H46" s="194"/>
      <c r="I46" s="194"/>
    </row>
    <row r="47" spans="1:9" x14ac:dyDescent="0.25">
      <c r="A47" s="194"/>
      <c r="B47" s="194"/>
      <c r="C47" s="194"/>
      <c r="D47" s="194"/>
      <c r="E47" s="194"/>
      <c r="F47" s="194"/>
      <c r="G47" s="194"/>
      <c r="H47" s="194"/>
      <c r="I47" s="194"/>
    </row>
    <row r="51" spans="2:6" ht="36" x14ac:dyDescent="0.25">
      <c r="C51" s="182" t="s">
        <v>155</v>
      </c>
      <c r="D51" s="182"/>
      <c r="E51" s="182"/>
      <c r="F51" s="182"/>
    </row>
    <row r="52" spans="2:6" ht="17.25" x14ac:dyDescent="0.25">
      <c r="B52" s="105"/>
    </row>
    <row r="53" spans="2:6" ht="18.75" x14ac:dyDescent="0.25">
      <c r="B53" s="233" t="s">
        <v>276</v>
      </c>
      <c r="C53" s="234"/>
      <c r="E53" s="235"/>
      <c r="F53" s="235"/>
    </row>
    <row r="54" spans="2:6" ht="15.75" x14ac:dyDescent="0.25">
      <c r="C54" s="235"/>
      <c r="D54" s="235"/>
      <c r="E54" s="235"/>
      <c r="F54" s="235"/>
    </row>
    <row r="55" spans="2:6" ht="18.75" x14ac:dyDescent="0.25">
      <c r="B55" s="236" t="s">
        <v>277</v>
      </c>
      <c r="C55" s="236"/>
      <c r="D55" s="235"/>
      <c r="E55" s="235"/>
      <c r="F55" s="237" t="s">
        <v>278</v>
      </c>
    </row>
    <row r="56" spans="2:6" ht="15.75" x14ac:dyDescent="0.25">
      <c r="B56" s="158" t="s">
        <v>279</v>
      </c>
      <c r="C56" s="158" t="s">
        <v>280</v>
      </c>
      <c r="E56" s="235"/>
      <c r="F56" s="235" t="s">
        <v>281</v>
      </c>
    </row>
    <row r="57" spans="2:6" ht="15.75" x14ac:dyDescent="0.25">
      <c r="B57" s="158" t="s">
        <v>282</v>
      </c>
      <c r="C57" s="158" t="s">
        <v>283</v>
      </c>
      <c r="E57" s="235"/>
      <c r="F57" s="235" t="s">
        <v>284</v>
      </c>
    </row>
    <row r="58" spans="2:6" ht="15.75" x14ac:dyDescent="0.25">
      <c r="B58" s="158" t="s">
        <v>285</v>
      </c>
      <c r="C58" t="s">
        <v>286</v>
      </c>
      <c r="E58" s="235"/>
      <c r="F58" s="235" t="s">
        <v>287</v>
      </c>
    </row>
    <row r="59" spans="2:6" ht="15.75" x14ac:dyDescent="0.25">
      <c r="B59" s="158" t="s">
        <v>288</v>
      </c>
      <c r="C59" s="158">
        <v>250</v>
      </c>
      <c r="E59" s="235"/>
      <c r="F59" s="235"/>
    </row>
    <row r="60" spans="2:6" ht="15.75" x14ac:dyDescent="0.25">
      <c r="B60" s="158" t="s">
        <v>289</v>
      </c>
      <c r="C60" s="238">
        <v>44158</v>
      </c>
      <c r="E60" s="235"/>
      <c r="F60" s="235"/>
    </row>
    <row r="61" spans="2:6" ht="15.75" x14ac:dyDescent="0.25">
      <c r="B61" s="158" t="s">
        <v>290</v>
      </c>
      <c r="C61" s="158" t="s">
        <v>291</v>
      </c>
      <c r="E61" s="235"/>
      <c r="F61" s="235"/>
    </row>
    <row r="62" spans="2:6" ht="15.75" x14ac:dyDescent="0.25">
      <c r="B62" s="158" t="s">
        <v>292</v>
      </c>
      <c r="C62" s="158" t="s">
        <v>293</v>
      </c>
      <c r="E62" s="235"/>
      <c r="F62" s="235"/>
    </row>
    <row r="63" spans="2:6" ht="15.75" x14ac:dyDescent="0.25">
      <c r="B63" s="158" t="s">
        <v>294</v>
      </c>
      <c r="C63" s="158"/>
    </row>
    <row r="65" spans="2:9" ht="15.75" x14ac:dyDescent="0.25">
      <c r="B65" s="158" t="s">
        <v>295</v>
      </c>
    </row>
    <row r="67" spans="2:9" x14ac:dyDescent="0.25">
      <c r="B67" s="239" t="s">
        <v>296</v>
      </c>
      <c r="C67" s="240" t="s">
        <v>297</v>
      </c>
      <c r="D67" s="241" t="s">
        <v>297</v>
      </c>
    </row>
    <row r="69" spans="2:9" ht="21" x14ac:dyDescent="0.25">
      <c r="B69" s="242" t="s">
        <v>298</v>
      </c>
      <c r="D69" s="107"/>
      <c r="E69" s="107"/>
      <c r="F69" s="107"/>
      <c r="G69" s="107"/>
      <c r="H69" s="107"/>
      <c r="I69" s="108"/>
    </row>
    <row r="70" spans="2:9" x14ac:dyDescent="0.25">
      <c r="B70" s="243" t="s">
        <v>299</v>
      </c>
      <c r="C70" s="243">
        <v>117</v>
      </c>
    </row>
    <row r="71" spans="2:9" x14ac:dyDescent="0.25">
      <c r="B71" s="243" t="s">
        <v>300</v>
      </c>
      <c r="C71" s="244">
        <v>64</v>
      </c>
    </row>
    <row r="72" spans="2:9" x14ac:dyDescent="0.25">
      <c r="B72" s="243" t="s">
        <v>301</v>
      </c>
      <c r="C72" s="243">
        <v>93</v>
      </c>
    </row>
    <row r="73" spans="2:9" x14ac:dyDescent="0.25">
      <c r="B73" s="244" t="s">
        <v>302</v>
      </c>
      <c r="C73" s="243">
        <f>+C70*C71*C72*10^-6</f>
        <v>0.696384</v>
      </c>
    </row>
    <row r="74" spans="2:9" x14ac:dyDescent="0.25">
      <c r="B74" s="89"/>
    </row>
    <row r="75" spans="2:9" x14ac:dyDescent="0.25">
      <c r="B75" s="242" t="s">
        <v>303</v>
      </c>
    </row>
    <row r="76" spans="2:9" x14ac:dyDescent="0.25">
      <c r="B76" s="243" t="s">
        <v>299</v>
      </c>
      <c r="C76" s="243">
        <v>100</v>
      </c>
    </row>
    <row r="77" spans="2:9" x14ac:dyDescent="0.25">
      <c r="B77" s="243" t="s">
        <v>300</v>
      </c>
      <c r="C77" s="244">
        <v>45</v>
      </c>
    </row>
    <row r="78" spans="2:9" x14ac:dyDescent="0.25">
      <c r="B78" s="243" t="s">
        <v>301</v>
      </c>
      <c r="C78" s="243">
        <v>60</v>
      </c>
    </row>
    <row r="79" spans="2:9" x14ac:dyDescent="0.25">
      <c r="B79" s="244" t="s">
        <v>302</v>
      </c>
      <c r="C79" s="243">
        <f>+C76*C77*C78*10^-6</f>
        <v>0.26999999999999996</v>
      </c>
    </row>
    <row r="85" spans="1:9" ht="36" x14ac:dyDescent="0.25">
      <c r="C85" s="182" t="s">
        <v>177</v>
      </c>
      <c r="D85" s="182"/>
      <c r="E85" s="182"/>
      <c r="F85" s="182"/>
      <c r="G85" s="182"/>
    </row>
    <row r="87" spans="1:9" ht="26.25" x14ac:dyDescent="0.25">
      <c r="B87" s="109" t="s">
        <v>178</v>
      </c>
    </row>
    <row r="89" spans="1:9" ht="21" x14ac:dyDescent="0.25">
      <c r="B89" s="107" t="s">
        <v>246</v>
      </c>
      <c r="C89" s="107"/>
      <c r="E89" s="107"/>
      <c r="F89" s="107"/>
      <c r="G89" s="107"/>
      <c r="H89" s="108"/>
    </row>
    <row r="90" spans="1:9" ht="21" x14ac:dyDescent="0.25">
      <c r="B90" s="107" t="s">
        <v>180</v>
      </c>
      <c r="C90" s="107"/>
      <c r="E90" s="107"/>
      <c r="F90" s="107"/>
      <c r="G90" s="107"/>
      <c r="H90" s="108"/>
    </row>
    <row r="91" spans="1:9" ht="21" x14ac:dyDescent="0.25">
      <c r="B91" s="107" t="s">
        <v>247</v>
      </c>
      <c r="C91" s="107"/>
      <c r="E91" s="107"/>
      <c r="F91" s="107"/>
      <c r="G91" s="107"/>
      <c r="H91" s="108"/>
    </row>
    <row r="92" spans="1:9" ht="21" x14ac:dyDescent="0.25">
      <c r="B92" s="107" t="s">
        <v>248</v>
      </c>
      <c r="C92" s="107"/>
      <c r="E92" s="107"/>
      <c r="F92" s="107"/>
      <c r="G92" s="107"/>
      <c r="H92" s="108"/>
    </row>
    <row r="93" spans="1:9" ht="21" x14ac:dyDescent="0.25">
      <c r="B93" s="110"/>
      <c r="C93" s="110"/>
      <c r="E93" s="107"/>
      <c r="F93" s="107"/>
      <c r="G93" s="107"/>
      <c r="H93" s="108"/>
    </row>
    <row r="94" spans="1:9" ht="17.25" x14ac:dyDescent="0.25">
      <c r="A94" s="111"/>
      <c r="C94" s="160" t="s">
        <v>10</v>
      </c>
      <c r="D94" s="209"/>
      <c r="E94" s="209"/>
      <c r="F94" s="209"/>
      <c r="G94" s="209"/>
      <c r="H94" s="161"/>
      <c r="I94" s="111"/>
    </row>
    <row r="95" spans="1:9" ht="30" x14ac:dyDescent="0.25">
      <c r="A95" s="111"/>
      <c r="B95" s="111"/>
      <c r="C95" s="164"/>
      <c r="D95" s="164"/>
      <c r="E95" s="3" t="s">
        <v>16</v>
      </c>
      <c r="F95" s="20" t="s">
        <v>18</v>
      </c>
      <c r="G95" s="20" t="s">
        <v>25</v>
      </c>
      <c r="H95" s="20" t="s">
        <v>26</v>
      </c>
      <c r="I95" s="114"/>
    </row>
    <row r="96" spans="1:9" ht="17.25" x14ac:dyDescent="0.25">
      <c r="A96" s="111"/>
      <c r="B96" s="111"/>
      <c r="C96" s="160" t="str">
        <f>Mesures_Dover!A40</f>
        <v xml:space="preserve">Sonde </v>
      </c>
      <c r="D96" s="161"/>
      <c r="E96" s="10" cm="1">
        <f t="array" ref="E96:H104">Mesures_Dover!C40:F48</f>
        <v>0</v>
      </c>
      <c r="F96" s="10">
        <v>0</v>
      </c>
      <c r="G96" s="10">
        <v>0</v>
      </c>
      <c r="H96" s="10">
        <v>0</v>
      </c>
      <c r="I96" s="111"/>
    </row>
    <row r="97" spans="1:9" ht="17.25" x14ac:dyDescent="0.25">
      <c r="A97" s="111"/>
      <c r="B97" s="111"/>
      <c r="C97" s="160" t="str">
        <f>Mesures_Dover!A41</f>
        <v xml:space="preserve">Sonde </v>
      </c>
      <c r="D97" s="161"/>
      <c r="E97" s="10">
        <v>0</v>
      </c>
      <c r="F97" s="10">
        <v>0</v>
      </c>
      <c r="G97" s="10">
        <v>0</v>
      </c>
      <c r="H97" s="10">
        <v>0</v>
      </c>
      <c r="I97" s="111"/>
    </row>
    <row r="98" spans="1:9" ht="17.25" x14ac:dyDescent="0.25">
      <c r="A98" s="111"/>
      <c r="B98" s="111"/>
      <c r="C98" s="160" t="str">
        <f>Mesures_Dover!A42</f>
        <v xml:space="preserve">Sonde </v>
      </c>
      <c r="D98" s="161"/>
      <c r="E98" s="10">
        <v>0</v>
      </c>
      <c r="F98" s="10">
        <v>0</v>
      </c>
      <c r="G98" s="10">
        <v>0</v>
      </c>
      <c r="H98" s="10">
        <v>0</v>
      </c>
      <c r="I98" s="111"/>
    </row>
    <row r="99" spans="1:9" ht="17.25" x14ac:dyDescent="0.25">
      <c r="A99" s="111"/>
      <c r="B99" s="111"/>
      <c r="C99" s="160" t="str">
        <f>Mesures_Dover!A43</f>
        <v xml:space="preserve">Sonde </v>
      </c>
      <c r="D99" s="161"/>
      <c r="E99" s="10">
        <v>0</v>
      </c>
      <c r="F99" s="10">
        <v>0</v>
      </c>
      <c r="G99" s="10">
        <v>0</v>
      </c>
      <c r="H99" s="10">
        <v>0</v>
      </c>
      <c r="I99" s="111"/>
    </row>
    <row r="100" spans="1:9" ht="17.25" x14ac:dyDescent="0.25">
      <c r="A100" s="111"/>
      <c r="B100" s="111"/>
      <c r="C100" s="160" t="str">
        <f>Mesures_Dover!A44</f>
        <v xml:space="preserve">Sonde </v>
      </c>
      <c r="D100" s="161"/>
      <c r="E100" s="10">
        <v>0</v>
      </c>
      <c r="F100" s="10">
        <v>0</v>
      </c>
      <c r="G100" s="10">
        <v>0</v>
      </c>
      <c r="H100" s="10">
        <v>0</v>
      </c>
      <c r="I100" s="111"/>
    </row>
    <row r="101" spans="1:9" ht="17.25" x14ac:dyDescent="0.25">
      <c r="A101" s="111"/>
      <c r="B101" s="111"/>
      <c r="C101" s="160" t="str">
        <f>Mesures_Dover!A45</f>
        <v xml:space="preserve">Sonde </v>
      </c>
      <c r="D101" s="161"/>
      <c r="E101" s="10">
        <v>0</v>
      </c>
      <c r="F101" s="10">
        <v>0</v>
      </c>
      <c r="G101" s="10">
        <v>0</v>
      </c>
      <c r="H101" s="10">
        <v>0</v>
      </c>
      <c r="I101" s="111"/>
    </row>
    <row r="102" spans="1:9" ht="17.25" x14ac:dyDescent="0.25">
      <c r="A102" s="111"/>
      <c r="B102" s="111"/>
      <c r="C102" s="160" t="str">
        <f>Mesures_Dover!A46</f>
        <v xml:space="preserve">Sonde </v>
      </c>
      <c r="D102" s="161"/>
      <c r="E102" s="10">
        <v>0</v>
      </c>
      <c r="F102" s="10">
        <v>0</v>
      </c>
      <c r="G102" s="10">
        <v>0</v>
      </c>
      <c r="H102" s="10">
        <v>0</v>
      </c>
      <c r="I102" s="111"/>
    </row>
    <row r="103" spans="1:9" ht="17.25" x14ac:dyDescent="0.25">
      <c r="A103" s="111"/>
      <c r="B103" s="111"/>
      <c r="C103" s="160" t="str">
        <f>Mesures_Dover!A47</f>
        <v xml:space="preserve">Sonde </v>
      </c>
      <c r="D103" s="161"/>
      <c r="E103" s="10">
        <v>0</v>
      </c>
      <c r="F103" s="10">
        <v>0</v>
      </c>
      <c r="G103" s="10">
        <v>0</v>
      </c>
      <c r="H103" s="10">
        <v>0</v>
      </c>
      <c r="I103" s="111"/>
    </row>
    <row r="104" spans="1:9" ht="17.25" x14ac:dyDescent="0.25">
      <c r="A104" s="111"/>
      <c r="B104" s="111"/>
      <c r="C104" s="160" t="str">
        <f>Mesures_Dover!A48</f>
        <v xml:space="preserve">Sonde </v>
      </c>
      <c r="D104" s="161"/>
      <c r="E104" s="10">
        <v>0</v>
      </c>
      <c r="F104" s="10">
        <v>0</v>
      </c>
      <c r="G104" s="10">
        <v>0</v>
      </c>
      <c r="H104" s="10">
        <v>0</v>
      </c>
      <c r="I104" s="111"/>
    </row>
    <row r="105" spans="1:9" ht="17.25" x14ac:dyDescent="0.25">
      <c r="A105" s="111"/>
      <c r="B105" s="111"/>
      <c r="C105" s="111"/>
      <c r="D105" s="111"/>
      <c r="E105" s="111"/>
      <c r="F105" s="111"/>
      <c r="G105" s="111"/>
      <c r="H105" s="111"/>
      <c r="I105" s="111"/>
    </row>
    <row r="106" spans="1:9" ht="17.25" x14ac:dyDescent="0.25">
      <c r="A106" s="111"/>
      <c r="B106" s="111"/>
      <c r="C106" s="111"/>
      <c r="D106" s="111"/>
      <c r="E106" s="111"/>
      <c r="F106" s="111"/>
      <c r="G106" s="111"/>
      <c r="H106" s="111"/>
      <c r="I106" s="111"/>
    </row>
    <row r="107" spans="1:9" ht="17.25" x14ac:dyDescent="0.25">
      <c r="A107" s="111"/>
      <c r="B107" s="111"/>
      <c r="C107" s="111"/>
      <c r="D107" s="111"/>
      <c r="E107" s="111"/>
      <c r="F107" s="111"/>
      <c r="G107" s="111"/>
      <c r="H107" s="111"/>
      <c r="I107" s="111"/>
    </row>
    <row r="108" spans="1:9" ht="17.25" x14ac:dyDescent="0.25">
      <c r="A108" s="111"/>
      <c r="B108" s="111"/>
      <c r="C108" s="111"/>
      <c r="D108" s="111"/>
      <c r="E108" s="111"/>
      <c r="F108" s="111"/>
      <c r="G108" s="111"/>
      <c r="H108" s="111"/>
      <c r="I108" s="111"/>
    </row>
    <row r="109" spans="1:9" ht="17.25" x14ac:dyDescent="0.25">
      <c r="A109" s="111"/>
      <c r="B109" s="111"/>
      <c r="C109" s="111"/>
      <c r="D109" s="111"/>
      <c r="E109" s="111"/>
      <c r="F109" s="111"/>
      <c r="G109" s="111"/>
      <c r="H109" s="111"/>
      <c r="I109" s="111"/>
    </row>
    <row r="110" spans="1:9" ht="17.25" x14ac:dyDescent="0.25">
      <c r="A110" s="111"/>
      <c r="B110" s="111"/>
      <c r="C110" s="111"/>
      <c r="D110" s="111"/>
      <c r="E110" s="111"/>
      <c r="F110" s="111"/>
      <c r="G110" s="111"/>
      <c r="H110" s="111"/>
      <c r="I110" s="111"/>
    </row>
    <row r="111" spans="1:9" ht="17.25" x14ac:dyDescent="0.25">
      <c r="A111" s="111"/>
      <c r="B111" s="111"/>
      <c r="C111" s="111"/>
      <c r="D111" s="111"/>
      <c r="E111" s="111"/>
      <c r="F111" s="111"/>
      <c r="G111" s="111"/>
      <c r="H111" s="111"/>
      <c r="I111" s="111"/>
    </row>
    <row r="112" spans="1:9" ht="21" x14ac:dyDescent="0.25">
      <c r="B112" s="185" t="s">
        <v>183</v>
      </c>
      <c r="C112" s="185"/>
      <c r="D112" s="185"/>
      <c r="E112" s="185"/>
      <c r="F112" s="185"/>
    </row>
    <row r="114" spans="2:9" ht="26.25" x14ac:dyDescent="0.25">
      <c r="B114" s="109" t="s">
        <v>184</v>
      </c>
    </row>
    <row r="115" spans="2:9" ht="21" x14ac:dyDescent="0.3">
      <c r="E115" s="107" t="s">
        <v>185</v>
      </c>
      <c r="F115" s="107"/>
      <c r="G115" s="116">
        <f>Mesures_Dover!K44</f>
        <v>0</v>
      </c>
    </row>
    <row r="116" spans="2:9" ht="21" x14ac:dyDescent="0.3">
      <c r="B116" s="117" t="s">
        <v>186</v>
      </c>
      <c r="C116" s="107" t="s">
        <v>187</v>
      </c>
      <c r="E116" s="107" t="s">
        <v>188</v>
      </c>
      <c r="F116" s="107"/>
      <c r="G116" s="116">
        <f>Mesures_Dover!L44</f>
        <v>0</v>
      </c>
    </row>
    <row r="117" spans="2:9" ht="21" x14ac:dyDescent="0.25">
      <c r="B117" s="117" t="s">
        <v>189</v>
      </c>
      <c r="C117" s="110" t="s">
        <v>190</v>
      </c>
      <c r="E117" s="107" t="s">
        <v>191</v>
      </c>
      <c r="F117" s="107"/>
      <c r="G117" s="118">
        <f>Mesures_Dover!M44</f>
        <v>0</v>
      </c>
    </row>
    <row r="118" spans="2:9" ht="21" x14ac:dyDescent="0.35">
      <c r="B118" s="119" t="s">
        <v>192</v>
      </c>
      <c r="C118" s="120" t="s">
        <v>193</v>
      </c>
      <c r="E118" s="107" t="s">
        <v>194</v>
      </c>
      <c r="F118" s="107"/>
      <c r="G118" s="121" t="e">
        <f>"±" &amp;  SUBSTITUTE(ROUND(AVERAGE(Mesures_Dover!D23:F31),2),"-"," ") &amp; "°C"</f>
        <v>#DIV/0!</v>
      </c>
    </row>
    <row r="123" spans="2:9" ht="36" x14ac:dyDescent="0.25">
      <c r="C123" s="182" t="s">
        <v>195</v>
      </c>
      <c r="D123" s="182"/>
      <c r="E123" s="182"/>
      <c r="F123" s="182"/>
    </row>
    <row r="124" spans="2:9" ht="36" x14ac:dyDescent="0.25">
      <c r="B124" s="104"/>
      <c r="C124" s="104"/>
      <c r="D124" s="104"/>
    </row>
    <row r="125" spans="2:9" x14ac:dyDescent="0.25">
      <c r="B125" s="173"/>
      <c r="C125" s="173"/>
      <c r="D125" s="173"/>
      <c r="E125" s="173"/>
      <c r="F125" s="173"/>
      <c r="G125" s="173"/>
      <c r="H125" s="173"/>
      <c r="I125" s="173"/>
    </row>
    <row r="126" spans="2:9" x14ac:dyDescent="0.25">
      <c r="B126" s="173"/>
      <c r="C126" s="173"/>
      <c r="D126" s="173"/>
      <c r="E126" s="173"/>
      <c r="F126" s="173"/>
      <c r="G126" s="173"/>
      <c r="H126" s="173"/>
      <c r="I126" s="173"/>
    </row>
    <row r="127" spans="2:9" x14ac:dyDescent="0.25">
      <c r="B127" s="173"/>
      <c r="C127" s="173"/>
      <c r="D127" s="173"/>
      <c r="E127" s="173"/>
      <c r="F127" s="173"/>
      <c r="G127" s="173"/>
      <c r="H127" s="173"/>
      <c r="I127" s="173"/>
    </row>
    <row r="128" spans="2:9" x14ac:dyDescent="0.25">
      <c r="B128" s="173"/>
      <c r="C128" s="173"/>
      <c r="D128" s="173"/>
      <c r="E128" s="173"/>
      <c r="F128" s="173"/>
      <c r="G128" s="173"/>
      <c r="H128" s="173"/>
      <c r="I128" s="173"/>
    </row>
    <row r="129" spans="2:9" x14ac:dyDescent="0.25">
      <c r="B129" s="173"/>
      <c r="C129" s="173"/>
      <c r="D129" s="173"/>
      <c r="E129" s="173"/>
      <c r="F129" s="173"/>
      <c r="G129" s="173"/>
      <c r="H129" s="173"/>
      <c r="I129" s="173"/>
    </row>
    <row r="130" spans="2:9" x14ac:dyDescent="0.25">
      <c r="B130" s="173"/>
      <c r="C130" s="173"/>
      <c r="D130" s="173"/>
      <c r="E130" s="173"/>
      <c r="F130" s="173"/>
      <c r="G130" s="173"/>
      <c r="H130" s="173"/>
      <c r="I130" s="173"/>
    </row>
    <row r="131" spans="2:9" x14ac:dyDescent="0.25">
      <c r="B131" s="173"/>
      <c r="C131" s="173"/>
      <c r="D131" s="173"/>
      <c r="E131" s="173"/>
      <c r="F131" s="173"/>
      <c r="G131" s="173"/>
      <c r="H131" s="173"/>
      <c r="I131" s="173"/>
    </row>
    <row r="132" spans="2:9" x14ac:dyDescent="0.25">
      <c r="B132" s="173"/>
      <c r="C132" s="173"/>
      <c r="D132" s="173"/>
      <c r="E132" s="173"/>
      <c r="F132" s="173"/>
      <c r="G132" s="173"/>
      <c r="H132" s="173"/>
      <c r="I132" s="173"/>
    </row>
    <row r="133" spans="2:9" x14ac:dyDescent="0.25">
      <c r="B133" s="173"/>
      <c r="C133" s="173"/>
      <c r="D133" s="173"/>
      <c r="E133" s="173"/>
      <c r="F133" s="173"/>
      <c r="G133" s="173"/>
      <c r="H133" s="173"/>
      <c r="I133" s="173"/>
    </row>
    <row r="134" spans="2:9" x14ac:dyDescent="0.25">
      <c r="B134" s="173"/>
      <c r="C134" s="173"/>
      <c r="D134" s="173"/>
      <c r="E134" s="173"/>
      <c r="F134" s="173"/>
      <c r="G134" s="173"/>
      <c r="H134" s="173"/>
      <c r="I134" s="173"/>
    </row>
    <row r="135" spans="2:9" x14ac:dyDescent="0.25">
      <c r="B135" s="173"/>
      <c r="C135" s="173"/>
      <c r="D135" s="173"/>
      <c r="E135" s="173"/>
      <c r="F135" s="173"/>
      <c r="G135" s="173"/>
      <c r="H135" s="173"/>
      <c r="I135" s="173"/>
    </row>
    <row r="136" spans="2:9" x14ac:dyDescent="0.25">
      <c r="B136" s="173"/>
      <c r="C136" s="173"/>
      <c r="D136" s="173"/>
      <c r="E136" s="173"/>
      <c r="F136" s="173"/>
      <c r="G136" s="173"/>
      <c r="H136" s="173"/>
      <c r="I136" s="173"/>
    </row>
    <row r="137" spans="2:9" x14ac:dyDescent="0.25">
      <c r="B137" s="173"/>
      <c r="C137" s="173"/>
      <c r="D137" s="173"/>
      <c r="E137" s="173"/>
      <c r="F137" s="173"/>
      <c r="G137" s="173"/>
      <c r="H137" s="173"/>
      <c r="I137" s="173"/>
    </row>
    <row r="138" spans="2:9" x14ac:dyDescent="0.25">
      <c r="B138" s="173"/>
      <c r="C138" s="173"/>
      <c r="D138" s="173"/>
      <c r="E138" s="173"/>
      <c r="F138" s="173"/>
      <c r="G138" s="173"/>
      <c r="H138" s="173"/>
      <c r="I138" s="173"/>
    </row>
    <row r="139" spans="2:9" x14ac:dyDescent="0.25">
      <c r="B139" s="173"/>
      <c r="C139" s="173"/>
      <c r="D139" s="173"/>
      <c r="E139" s="173"/>
      <c r="F139" s="173"/>
      <c r="G139" s="173"/>
      <c r="H139" s="173"/>
      <c r="I139" s="173"/>
    </row>
    <row r="140" spans="2:9" x14ac:dyDescent="0.25">
      <c r="B140" s="173"/>
      <c r="C140" s="173"/>
      <c r="D140" s="173"/>
      <c r="E140" s="173"/>
      <c r="F140" s="173"/>
      <c r="G140" s="173"/>
      <c r="H140" s="173"/>
      <c r="I140" s="173"/>
    </row>
    <row r="141" spans="2:9" x14ac:dyDescent="0.25">
      <c r="B141" s="173"/>
      <c r="C141" s="173"/>
      <c r="D141" s="173"/>
      <c r="E141" s="173"/>
      <c r="F141" s="173"/>
      <c r="G141" s="173"/>
      <c r="H141" s="173"/>
      <c r="I141" s="173"/>
    </row>
    <row r="142" spans="2:9" x14ac:dyDescent="0.25">
      <c r="B142" s="173"/>
      <c r="C142" s="173"/>
      <c r="D142" s="173"/>
      <c r="E142" s="173"/>
      <c r="F142" s="173"/>
      <c r="G142" s="173"/>
      <c r="H142" s="173"/>
      <c r="I142" s="173"/>
    </row>
    <row r="143" spans="2:9" x14ac:dyDescent="0.25">
      <c r="B143" s="173"/>
      <c r="C143" s="173"/>
      <c r="D143" s="173"/>
      <c r="E143" s="173"/>
      <c r="F143" s="173"/>
      <c r="G143" s="173"/>
      <c r="H143" s="173"/>
      <c r="I143" s="173"/>
    </row>
    <row r="144" spans="2:9" x14ac:dyDescent="0.25">
      <c r="B144" s="173"/>
      <c r="C144" s="173"/>
      <c r="D144" s="173"/>
      <c r="E144" s="173"/>
      <c r="F144" s="173"/>
      <c r="G144" s="173"/>
      <c r="H144" s="173"/>
      <c r="I144" s="173"/>
    </row>
    <row r="145" spans="2:9" x14ac:dyDescent="0.25">
      <c r="B145" s="173"/>
      <c r="C145" s="173"/>
      <c r="D145" s="173"/>
      <c r="E145" s="173"/>
      <c r="F145" s="173"/>
      <c r="G145" s="173"/>
      <c r="H145" s="173"/>
      <c r="I145" s="173"/>
    </row>
    <row r="146" spans="2:9" x14ac:dyDescent="0.25">
      <c r="B146" s="173"/>
      <c r="C146" s="173"/>
      <c r="D146" s="173"/>
      <c r="E146" s="173"/>
      <c r="F146" s="173"/>
      <c r="G146" s="173"/>
      <c r="H146" s="173"/>
      <c r="I146" s="173"/>
    </row>
    <row r="147" spans="2:9" x14ac:dyDescent="0.25">
      <c r="B147" s="173"/>
      <c r="C147" s="173"/>
      <c r="D147" s="173"/>
      <c r="E147" s="173"/>
      <c r="F147" s="173"/>
      <c r="G147" s="173"/>
      <c r="H147" s="173"/>
      <c r="I147" s="173"/>
    </row>
    <row r="148" spans="2:9" x14ac:dyDescent="0.25">
      <c r="B148" s="173"/>
      <c r="C148" s="173"/>
      <c r="D148" s="173"/>
      <c r="E148" s="173"/>
      <c r="F148" s="173"/>
      <c r="G148" s="173"/>
      <c r="H148" s="173"/>
      <c r="I148" s="173"/>
    </row>
    <row r="149" spans="2:9" x14ac:dyDescent="0.25">
      <c r="B149" s="173"/>
      <c r="C149" s="173"/>
      <c r="D149" s="173"/>
      <c r="E149" s="173"/>
      <c r="F149" s="173"/>
      <c r="G149" s="173"/>
      <c r="H149" s="173"/>
      <c r="I149" s="173"/>
    </row>
    <row r="150" spans="2:9" x14ac:dyDescent="0.25">
      <c r="B150" s="173"/>
      <c r="C150" s="173"/>
      <c r="D150" s="173"/>
      <c r="E150" s="173"/>
      <c r="F150" s="173"/>
      <c r="G150" s="173"/>
      <c r="H150" s="173"/>
      <c r="I150" s="173"/>
    </row>
    <row r="151" spans="2:9" x14ac:dyDescent="0.25">
      <c r="B151" s="173"/>
      <c r="C151" s="173"/>
      <c r="D151" s="173"/>
      <c r="E151" s="173"/>
      <c r="F151" s="173"/>
      <c r="G151" s="173"/>
      <c r="H151" s="173"/>
      <c r="I151" s="173"/>
    </row>
    <row r="152" spans="2:9" x14ac:dyDescent="0.25">
      <c r="B152" s="173"/>
      <c r="C152" s="173"/>
      <c r="D152" s="173"/>
      <c r="E152" s="173"/>
      <c r="F152" s="173"/>
      <c r="G152" s="173"/>
      <c r="H152" s="173"/>
      <c r="I152" s="173"/>
    </row>
    <row r="153" spans="2:9" x14ac:dyDescent="0.25">
      <c r="B153" s="173"/>
      <c r="C153" s="173"/>
      <c r="D153" s="173"/>
      <c r="E153" s="173"/>
      <c r="F153" s="173"/>
      <c r="G153" s="173"/>
      <c r="H153" s="173"/>
      <c r="I153" s="173"/>
    </row>
    <row r="154" spans="2:9" x14ac:dyDescent="0.25">
      <c r="B154" s="173"/>
      <c r="C154" s="173"/>
      <c r="D154" s="173"/>
      <c r="E154" s="173"/>
      <c r="F154" s="173"/>
      <c r="G154" s="173"/>
      <c r="H154" s="173"/>
      <c r="I154" s="173"/>
    </row>
    <row r="155" spans="2:9" x14ac:dyDescent="0.25">
      <c r="B155" s="173"/>
      <c r="C155" s="173"/>
      <c r="D155" s="173"/>
      <c r="E155" s="173"/>
      <c r="F155" s="173"/>
      <c r="G155" s="173"/>
      <c r="H155" s="173"/>
      <c r="I155" s="173"/>
    </row>
    <row r="156" spans="2:9" x14ac:dyDescent="0.25">
      <c r="B156" s="173"/>
      <c r="C156" s="173"/>
      <c r="D156" s="173"/>
      <c r="E156" s="173"/>
      <c r="F156" s="173"/>
      <c r="G156" s="173"/>
      <c r="H156" s="173"/>
      <c r="I156" s="173"/>
    </row>
    <row r="159" spans="2:9" ht="36" x14ac:dyDescent="0.25">
      <c r="C159" s="182" t="s">
        <v>249</v>
      </c>
      <c r="D159" s="182"/>
      <c r="E159" s="182"/>
      <c r="F159" s="182"/>
      <c r="G159" s="182"/>
      <c r="H159" s="182"/>
    </row>
    <row r="162" spans="1:3" ht="15.75" thickBot="1" x14ac:dyDescent="0.3"/>
    <row r="163" spans="1:3" ht="15.75" thickBot="1" x14ac:dyDescent="0.3">
      <c r="A163" s="12" t="s">
        <v>9</v>
      </c>
      <c r="B163" s="13" t="s">
        <v>12</v>
      </c>
      <c r="C163" s="13" t="s">
        <v>15</v>
      </c>
    </row>
    <row r="164" spans="1:3" x14ac:dyDescent="0.25">
      <c r="A164" s="15" cm="1">
        <f t="array" ref="A164:C172">Mesures_Dover!A23:C31</f>
        <v>1</v>
      </c>
      <c r="B164" s="16">
        <v>0</v>
      </c>
      <c r="C164" s="17">
        <v>0</v>
      </c>
    </row>
    <row r="165" spans="1:3" x14ac:dyDescent="0.25">
      <c r="A165" s="19">
        <v>2</v>
      </c>
      <c r="B165" s="16">
        <v>0</v>
      </c>
      <c r="C165" s="17">
        <v>0</v>
      </c>
    </row>
    <row r="166" spans="1:3" x14ac:dyDescent="0.25">
      <c r="A166" s="15">
        <v>3</v>
      </c>
      <c r="B166" s="16">
        <v>0</v>
      </c>
      <c r="C166" s="17">
        <v>0</v>
      </c>
    </row>
    <row r="167" spans="1:3" x14ac:dyDescent="0.25">
      <c r="A167" s="19">
        <v>4</v>
      </c>
      <c r="B167" s="16">
        <v>0</v>
      </c>
      <c r="C167" s="17">
        <v>0</v>
      </c>
    </row>
    <row r="168" spans="1:3" x14ac:dyDescent="0.25">
      <c r="A168" s="15">
        <v>5</v>
      </c>
      <c r="B168" s="16">
        <v>0</v>
      </c>
      <c r="C168" s="17">
        <v>0</v>
      </c>
    </row>
    <row r="169" spans="1:3" x14ac:dyDescent="0.25">
      <c r="A169" s="19">
        <v>6</v>
      </c>
      <c r="B169" s="16">
        <v>0</v>
      </c>
      <c r="C169" s="17">
        <v>0</v>
      </c>
    </row>
    <row r="170" spans="1:3" x14ac:dyDescent="0.25">
      <c r="A170" s="15">
        <v>7</v>
      </c>
      <c r="B170" s="16">
        <v>0</v>
      </c>
      <c r="C170" s="17">
        <v>0</v>
      </c>
    </row>
    <row r="171" spans="1:3" x14ac:dyDescent="0.25">
      <c r="A171" s="19">
        <v>8</v>
      </c>
      <c r="B171" s="16">
        <v>0</v>
      </c>
      <c r="C171" s="17">
        <v>0</v>
      </c>
    </row>
    <row r="172" spans="1:3" x14ac:dyDescent="0.25">
      <c r="A172" s="15">
        <v>9</v>
      </c>
      <c r="B172" s="16">
        <v>0</v>
      </c>
      <c r="C172" s="17">
        <v>0</v>
      </c>
    </row>
    <row r="188" spans="1:9" ht="36" x14ac:dyDescent="0.25">
      <c r="C188" s="182" t="s">
        <v>304</v>
      </c>
      <c r="D188" s="182"/>
      <c r="E188" s="182"/>
      <c r="F188" s="182"/>
      <c r="G188" s="182"/>
      <c r="H188" s="182"/>
    </row>
    <row r="192" spans="1:9" x14ac:dyDescent="0.25">
      <c r="A192" s="122" t="s">
        <v>251</v>
      </c>
      <c r="B192" s="124">
        <v>50</v>
      </c>
      <c r="G192" s="186" t="s">
        <v>198</v>
      </c>
      <c r="H192" s="187"/>
      <c r="I192" s="188"/>
    </row>
    <row r="193" spans="1:9" x14ac:dyDescent="0.25">
      <c r="A193" s="122" t="s">
        <v>252</v>
      </c>
      <c r="B193" s="151">
        <f>Mesures_Dover!B20</f>
        <v>0</v>
      </c>
      <c r="G193" s="22" t="s">
        <v>199</v>
      </c>
      <c r="H193" s="22" t="s">
        <v>200</v>
      </c>
      <c r="I193" s="22" t="s">
        <v>201</v>
      </c>
    </row>
    <row r="194" spans="1:9" x14ac:dyDescent="0.25">
      <c r="G194" s="125">
        <f>Dover_50°C!B11</f>
        <v>0</v>
      </c>
      <c r="H194" s="125">
        <f>Dover_50°C!B41</f>
        <v>0</v>
      </c>
      <c r="I194" s="125">
        <f>H194-G194</f>
        <v>0</v>
      </c>
    </row>
    <row r="197" spans="1:9" ht="23.25" x14ac:dyDescent="0.25">
      <c r="B197" s="189" t="s">
        <v>202</v>
      </c>
      <c r="C197" s="189"/>
    </row>
    <row r="200" spans="1:9" ht="30" x14ac:dyDescent="0.25">
      <c r="B200" s="126" t="s">
        <v>203</v>
      </c>
      <c r="C200" s="127" t="s">
        <v>204</v>
      </c>
      <c r="D200" s="127" t="s">
        <v>119</v>
      </c>
      <c r="E200" s="128" t="s">
        <v>205</v>
      </c>
      <c r="F200" s="127" t="s">
        <v>206</v>
      </c>
    </row>
    <row r="201" spans="1:9" x14ac:dyDescent="0.25">
      <c r="B201" s="129" t="s">
        <v>207</v>
      </c>
      <c r="C201" s="130" t="str">
        <f>"50°C"</f>
        <v>50°C</v>
      </c>
      <c r="D201" s="130" t="s">
        <v>208</v>
      </c>
      <c r="E201" s="130" t="s">
        <v>208</v>
      </c>
      <c r="F201" s="131" t="s">
        <v>208</v>
      </c>
    </row>
    <row r="202" spans="1:9" x14ac:dyDescent="0.25">
      <c r="B202" s="129" t="s">
        <v>209</v>
      </c>
      <c r="C202" s="130" t="str">
        <f>"50°C"</f>
        <v>50°C</v>
      </c>
      <c r="D202" s="130" t="s">
        <v>208</v>
      </c>
      <c r="E202" s="130" t="s">
        <v>208</v>
      </c>
      <c r="F202" s="131" t="s">
        <v>208</v>
      </c>
    </row>
    <row r="203" spans="1:9" x14ac:dyDescent="0.25">
      <c r="A203" s="190" t="s">
        <v>210</v>
      </c>
      <c r="B203" s="129" t="s">
        <v>211</v>
      </c>
      <c r="C203" s="132" t="e">
        <f>MAX(Dover_50°C!C48:K48)</f>
        <v>#N/A</v>
      </c>
      <c r="D203" s="130" t="e">
        <f>_xlfn.XLOOKUP(INT(SUBSTITUTE(E203,"Connecteur ","")),Mesures_Dover!C23:C31,Mesures_Dover!A23:A31)</f>
        <v>#N/A</v>
      </c>
      <c r="E203" s="130" t="e" cm="1">
        <f t="array" ref="E203">_xlfn.XLOOKUP(MAX(Dover_50°C!C48:K48),Dover_50°C!C48:K48,_xlfn.ANCHORARRAY(Dover_50°C!C47))</f>
        <v>#N/A</v>
      </c>
      <c r="F203" s="130" t="e">
        <f>_xlfn.XLOOKUP(INT(SUBSTITUTE(E203,"Connecteur ","")),Mesures_Dover!C23:C31,Mesures_Dover!B23:B31)</f>
        <v>#N/A</v>
      </c>
    </row>
    <row r="204" spans="1:9" x14ac:dyDescent="0.25">
      <c r="A204" s="190"/>
      <c r="B204" s="129" t="s">
        <v>212</v>
      </c>
      <c r="C204" s="132" t="e">
        <f>MIN(Dover_50°C!C48:K48)</f>
        <v>#N/A</v>
      </c>
      <c r="D204" s="130" t="e">
        <f>_xlfn.XLOOKUP(INT(SUBSTITUTE(E204,"Connecteur ","")),Mesures_Dover!C23:C31,Mesures_Dover!A23:A31)</f>
        <v>#N/A</v>
      </c>
      <c r="E204" s="130" t="e" cm="1">
        <f t="array" ref="E204">_xlfn.XLOOKUP(MIN(Dover_50°C!C48:K48),Dover_50°C!C48:K48,_xlfn.ANCHORARRAY(Dover_50°C!C47))</f>
        <v>#N/A</v>
      </c>
      <c r="F204" s="131" t="e">
        <f>_xlfn.XLOOKUP(INT(SUBSTITUTE(E204,"Connecteur ","")),Mesures_Dover!C23:C31,Mesures_Dover!B23:B31)</f>
        <v>#N/A</v>
      </c>
    </row>
    <row r="205" spans="1:9" x14ac:dyDescent="0.25">
      <c r="A205" s="190"/>
      <c r="B205" s="129" t="s">
        <v>213</v>
      </c>
      <c r="C205" s="132" t="e">
        <f>MIN(Dover_50°C!C49:O49)</f>
        <v>#N/A</v>
      </c>
      <c r="D205" s="130" t="e">
        <f>_xlfn.XLOOKUP(INT(SUBSTITUTE(E205,"Connecteur ","")),Mesures_Dover!C23:C31,Mesures_Dover!A23:A31)</f>
        <v>#N/A</v>
      </c>
      <c r="E205" s="130" t="e" cm="1">
        <f t="array" ref="E205">_xlfn.XLOOKUP(MIN(Dover_50°C!C49:O49),Dover_50°C!C49:O49,_xlfn.ANCHORARRAY(Dover_50°C!C47))</f>
        <v>#N/A</v>
      </c>
      <c r="F205" s="131" t="e">
        <f>_xlfn.XLOOKUP(INT(SUBSTITUTE(E205,"Connecteur ","")),Mesures_Dover!C23:C31,Mesures_Dover!B23:B31)</f>
        <v>#N/A</v>
      </c>
    </row>
    <row r="206" spans="1:9" x14ac:dyDescent="0.25">
      <c r="A206" s="190"/>
      <c r="B206" s="129" t="s">
        <v>214</v>
      </c>
      <c r="C206" s="132" t="e">
        <f>AVERAGE(Dover_50°C!C50:O50)</f>
        <v>#N/A</v>
      </c>
      <c r="D206" s="130" t="s">
        <v>208</v>
      </c>
      <c r="E206" s="130" t="s">
        <v>208</v>
      </c>
      <c r="F206" s="131" t="s">
        <v>208</v>
      </c>
    </row>
    <row r="207" spans="1:9" x14ac:dyDescent="0.25">
      <c r="C207" s="89"/>
      <c r="D207" s="89"/>
      <c r="E207" s="89"/>
      <c r="F207" s="89"/>
    </row>
    <row r="218" spans="2:6" ht="36" x14ac:dyDescent="0.25">
      <c r="B218" s="182" t="s">
        <v>305</v>
      </c>
      <c r="C218" s="182"/>
      <c r="D218" s="182"/>
      <c r="E218" s="182"/>
      <c r="F218" s="182"/>
    </row>
    <row r="221" spans="2:6" x14ac:dyDescent="0.25">
      <c r="B221" s="173" t="s">
        <v>216</v>
      </c>
      <c r="C221" s="173"/>
    </row>
    <row r="225" spans="1:10" x14ac:dyDescent="0.25">
      <c r="A225" s="1"/>
      <c r="B225" s="152" t="str" cm="1">
        <f t="array" ref="B225:J225">Valeurs_Brutes_50[[#Headers],[Connecteur 1]:[Connecteur 9]]</f>
        <v>Connecteur 1</v>
      </c>
      <c r="C225" s="152" t="str">
        <v>Connecteur 2</v>
      </c>
      <c r="D225" s="152" t="str">
        <v>Connecteur 3</v>
      </c>
      <c r="E225" s="152" t="str">
        <v>Connecteur 4</v>
      </c>
      <c r="F225" s="152" t="str">
        <v>Connecteur 5</v>
      </c>
      <c r="G225" s="152" t="str">
        <v>Connecteur 6</v>
      </c>
      <c r="H225" s="152" t="str">
        <v>Connecteur 7</v>
      </c>
      <c r="I225" s="152" t="str">
        <v>Connecteur 8</v>
      </c>
      <c r="J225" s="152" t="str">
        <v>Connecteur 9</v>
      </c>
    </row>
    <row r="226" spans="1:10" x14ac:dyDescent="0.25">
      <c r="A226" s="42" t="s">
        <v>98</v>
      </c>
      <c r="B226" s="43" t="e">
        <f>Dover_50°C!C48</f>
        <v>#N/A</v>
      </c>
      <c r="C226" s="43" t="e">
        <f>Dover_50°C!D48</f>
        <v>#N/A</v>
      </c>
      <c r="D226" s="43" t="e">
        <f>Dover_50°C!E48</f>
        <v>#N/A</v>
      </c>
      <c r="E226" s="43" t="e">
        <f>Dover_50°C!F48</f>
        <v>#N/A</v>
      </c>
      <c r="F226" s="43" t="e">
        <f>Dover_50°C!G48</f>
        <v>#N/A</v>
      </c>
      <c r="G226" s="43" t="e">
        <f>Dover_50°C!H48</f>
        <v>#N/A</v>
      </c>
      <c r="H226" s="43" t="e">
        <f>Dover_50°C!I48</f>
        <v>#N/A</v>
      </c>
      <c r="I226" s="43" t="e">
        <f>Dover_50°C!J48</f>
        <v>#N/A</v>
      </c>
      <c r="J226" s="43" t="e">
        <f>Dover_50°C!K48</f>
        <v>#N/A</v>
      </c>
    </row>
    <row r="227" spans="1:10" x14ac:dyDescent="0.25">
      <c r="A227" s="42" t="s">
        <v>100</v>
      </c>
      <c r="B227" s="43" t="e">
        <f>Dover_50°C!C49</f>
        <v>#N/A</v>
      </c>
      <c r="C227" s="43" t="e">
        <f>Dover_50°C!D49</f>
        <v>#N/A</v>
      </c>
      <c r="D227" s="43" t="e">
        <f>Dover_50°C!E49</f>
        <v>#N/A</v>
      </c>
      <c r="E227" s="43" t="e">
        <f>Dover_50°C!F49</f>
        <v>#N/A</v>
      </c>
      <c r="F227" s="43" t="e">
        <f>Dover_50°C!G49</f>
        <v>#N/A</v>
      </c>
      <c r="G227" s="43" t="e">
        <f>Dover_50°C!H49</f>
        <v>#N/A</v>
      </c>
      <c r="H227" s="43" t="e">
        <f>Dover_50°C!I49</f>
        <v>#N/A</v>
      </c>
      <c r="I227" s="43" t="e">
        <f>Dover_50°C!J49</f>
        <v>#N/A</v>
      </c>
      <c r="J227" s="43" t="e">
        <f>Dover_50°C!K49</f>
        <v>#N/A</v>
      </c>
    </row>
    <row r="228" spans="1:10" x14ac:dyDescent="0.25">
      <c r="A228" s="42" t="s">
        <v>102</v>
      </c>
      <c r="B228" s="43" t="e">
        <f>Dover_50°C!C50</f>
        <v>#N/A</v>
      </c>
      <c r="C228" s="43" t="e">
        <f>Dover_50°C!D50</f>
        <v>#N/A</v>
      </c>
      <c r="D228" s="43" t="e">
        <f>Dover_50°C!E50</f>
        <v>#N/A</v>
      </c>
      <c r="E228" s="43" t="e">
        <f>Dover_50°C!F50</f>
        <v>#N/A</v>
      </c>
      <c r="F228" s="43" t="e">
        <f>Dover_50°C!G50</f>
        <v>#N/A</v>
      </c>
      <c r="G228" s="43" t="e">
        <f>Dover_50°C!H50</f>
        <v>#N/A</v>
      </c>
      <c r="H228" s="43" t="e">
        <f>Dover_50°C!I50</f>
        <v>#N/A</v>
      </c>
      <c r="I228" s="43" t="e">
        <f>Dover_50°C!J50</f>
        <v>#N/A</v>
      </c>
      <c r="J228" s="43" t="e">
        <f>Dover_50°C!K50</f>
        <v>#N/A</v>
      </c>
    </row>
    <row r="229" spans="1:10" x14ac:dyDescent="0.25">
      <c r="A229" s="42" t="s">
        <v>103</v>
      </c>
      <c r="B229" s="43" t="e">
        <f>Dover_50°C!C51</f>
        <v>#N/A</v>
      </c>
      <c r="C229" s="43" t="e">
        <f>Dover_50°C!D51</f>
        <v>#N/A</v>
      </c>
      <c r="D229" s="43" t="e">
        <f>Dover_50°C!E51</f>
        <v>#N/A</v>
      </c>
      <c r="E229" s="43" t="e">
        <f>Dover_50°C!F51</f>
        <v>#N/A</v>
      </c>
      <c r="F229" s="43" t="e">
        <f>Dover_50°C!G51</f>
        <v>#N/A</v>
      </c>
      <c r="G229" s="43" t="e">
        <f>Dover_50°C!H51</f>
        <v>#N/A</v>
      </c>
      <c r="H229" s="43" t="e">
        <f>Dover_50°C!I51</f>
        <v>#N/A</v>
      </c>
      <c r="I229" s="43" t="e">
        <f>Dover_50°C!J51</f>
        <v>#N/A</v>
      </c>
      <c r="J229" s="43" t="e">
        <f>Dover_50°C!K51</f>
        <v>#N/A</v>
      </c>
    </row>
    <row r="230" spans="1:10" x14ac:dyDescent="0.25">
      <c r="A230" s="42" t="s">
        <v>104</v>
      </c>
      <c r="B230" s="217" t="e">
        <f>Dover_50°C!C52</f>
        <v>#N/A</v>
      </c>
      <c r="C230" s="245"/>
      <c r="D230" s="245"/>
      <c r="E230" s="245"/>
      <c r="F230" s="245"/>
      <c r="G230" s="245"/>
      <c r="H230" s="245"/>
      <c r="I230" s="245"/>
      <c r="J230" s="245"/>
    </row>
    <row r="231" spans="1:10" x14ac:dyDescent="0.25">
      <c r="A231" s="42" t="s">
        <v>105</v>
      </c>
      <c r="B231" s="217" t="e">
        <f>Dover_50°C!C53</f>
        <v>#N/A</v>
      </c>
      <c r="C231" s="245"/>
      <c r="D231" s="245"/>
      <c r="E231" s="245"/>
      <c r="F231" s="245"/>
      <c r="G231" s="245"/>
      <c r="H231" s="245"/>
      <c r="I231" s="245"/>
      <c r="J231" s="245"/>
    </row>
    <row r="232" spans="1:10" x14ac:dyDescent="0.25">
      <c r="A232" s="36" t="s">
        <v>106</v>
      </c>
      <c r="B232" s="153" t="e" cm="1">
        <f t="array" aca="1" ref="B232:J232" ca="1">Dover_50°C!C54:K54</f>
        <v>#REF!</v>
      </c>
      <c r="C232" s="154" t="e">
        <f ca="1"/>
        <v>#REF!</v>
      </c>
      <c r="D232" s="154" t="e">
        <f ca="1"/>
        <v>#REF!</v>
      </c>
      <c r="E232" s="154" t="e">
        <f ca="1"/>
        <v>#REF!</v>
      </c>
      <c r="F232" s="154" t="e">
        <f ca="1"/>
        <v>#REF!</v>
      </c>
      <c r="G232" s="154" t="e">
        <f ca="1"/>
        <v>#REF!</v>
      </c>
      <c r="H232" s="154" t="e">
        <f ca="1"/>
        <v>#REF!</v>
      </c>
      <c r="I232" s="154" t="e">
        <f ca="1"/>
        <v>#REF!</v>
      </c>
      <c r="J232" s="154" t="e">
        <f ca="1"/>
        <v>#REF!</v>
      </c>
    </row>
    <row r="244" spans="2:6" x14ac:dyDescent="0.25">
      <c r="B244" s="135"/>
    </row>
    <row r="246" spans="2:6" ht="36" x14ac:dyDescent="0.3">
      <c r="C246" s="136" t="s">
        <v>306</v>
      </c>
      <c r="D246" s="137"/>
      <c r="E246" s="137"/>
      <c r="F246" s="137"/>
    </row>
    <row r="249" spans="2:6" x14ac:dyDescent="0.25">
      <c r="B249" t="s">
        <v>223</v>
      </c>
    </row>
    <row r="291" spans="1:9" x14ac:dyDescent="0.25">
      <c r="A291" s="122" t="s">
        <v>251</v>
      </c>
      <c r="B291" s="124">
        <v>100</v>
      </c>
      <c r="G291" s="186" t="s">
        <v>198</v>
      </c>
      <c r="H291" s="187"/>
      <c r="I291" s="188"/>
    </row>
    <row r="292" spans="1:9" x14ac:dyDescent="0.25">
      <c r="A292" s="122" t="s">
        <v>252</v>
      </c>
      <c r="B292" s="151">
        <f>Mesures_Dover!B20</f>
        <v>0</v>
      </c>
      <c r="G292" s="22" t="s">
        <v>199</v>
      </c>
      <c r="H292" s="22" t="s">
        <v>200</v>
      </c>
      <c r="I292" s="22" t="s">
        <v>201</v>
      </c>
    </row>
    <row r="293" spans="1:9" x14ac:dyDescent="0.25">
      <c r="G293" s="125">
        <f>Dover_100°C!B11</f>
        <v>0</v>
      </c>
      <c r="H293" s="125">
        <f>Dover_100°C!B41</f>
        <v>0</v>
      </c>
      <c r="I293" s="125">
        <f>H293-G293</f>
        <v>0</v>
      </c>
    </row>
    <row r="296" spans="1:9" ht="23.25" x14ac:dyDescent="0.25">
      <c r="B296" s="189" t="s">
        <v>202</v>
      </c>
      <c r="C296" s="189"/>
    </row>
    <row r="299" spans="1:9" ht="30" x14ac:dyDescent="0.25">
      <c r="B299" s="126" t="s">
        <v>203</v>
      </c>
      <c r="C299" s="127" t="s">
        <v>204</v>
      </c>
      <c r="D299" s="127" t="s">
        <v>119</v>
      </c>
      <c r="E299" s="128" t="s">
        <v>205</v>
      </c>
      <c r="F299" s="127" t="s">
        <v>206</v>
      </c>
    </row>
    <row r="300" spans="1:9" x14ac:dyDescent="0.25">
      <c r="B300" s="129" t="s">
        <v>207</v>
      </c>
      <c r="C300" s="130" t="str">
        <f>"100°C"</f>
        <v>100°C</v>
      </c>
      <c r="D300" s="130" t="s">
        <v>208</v>
      </c>
      <c r="E300" s="130" t="s">
        <v>208</v>
      </c>
      <c r="F300" s="131" t="s">
        <v>208</v>
      </c>
    </row>
    <row r="301" spans="1:9" x14ac:dyDescent="0.25">
      <c r="B301" s="129" t="s">
        <v>209</v>
      </c>
      <c r="C301" s="130" t="str">
        <f>"100°C"</f>
        <v>100°C</v>
      </c>
      <c r="D301" s="130" t="s">
        <v>208</v>
      </c>
      <c r="E301" s="130" t="s">
        <v>208</v>
      </c>
      <c r="F301" s="131" t="s">
        <v>208</v>
      </c>
    </row>
    <row r="302" spans="1:9" x14ac:dyDescent="0.25">
      <c r="A302" s="190" t="s">
        <v>210</v>
      </c>
      <c r="B302" s="129" t="s">
        <v>211</v>
      </c>
      <c r="C302" s="132" t="e">
        <f>MAX(Dover_100°C!C48:K48)</f>
        <v>#N/A</v>
      </c>
      <c r="D302" s="130" t="e">
        <f>_xlfn.XLOOKUP(INT(SUBSTITUTE(E302,"Connecteur ","")),Mesures_Dover!C23:C31,Mesures_Dover!A23:A31)</f>
        <v>#N/A</v>
      </c>
      <c r="E302" s="130" t="e" cm="1">
        <f t="array" ref="E302">_xlfn.XLOOKUP(MAX(Dover_100°C!C48:K48),Dover_100°C!C48:K48,_xlfn.ANCHORARRAY(Dover_100°C!C47))</f>
        <v>#N/A</v>
      </c>
      <c r="F302" s="130" t="e">
        <f>_xlfn.XLOOKUP(INT(SUBSTITUTE(E302,"Connecteur ","")),Mesures_Dover!C23:C31,Mesures_Dover!B23:B31)</f>
        <v>#N/A</v>
      </c>
    </row>
    <row r="303" spans="1:9" x14ac:dyDescent="0.25">
      <c r="A303" s="190"/>
      <c r="B303" s="129" t="s">
        <v>212</v>
      </c>
      <c r="C303" s="132" t="e">
        <f>MIN(Dover_100°C!C48:K48)</f>
        <v>#N/A</v>
      </c>
      <c r="D303" s="130" t="e">
        <f>_xlfn.XLOOKUP(INT(SUBSTITUTE(E303,"Connecteur ","")),Mesures_Dover!C23:C31,Mesures_Dover!A23:A31)</f>
        <v>#N/A</v>
      </c>
      <c r="E303" s="130" t="e" cm="1">
        <f t="array" ref="E303">_xlfn.XLOOKUP(MIN(Dover_100°C!C48:K48),Dover_100°C!C48:K48,_xlfn.ANCHORARRAY(Dover_100°C!C47))</f>
        <v>#N/A</v>
      </c>
      <c r="F303" s="131" t="e">
        <f>_xlfn.XLOOKUP(INT(SUBSTITUTE(E303,"Connecteur ","")),Mesures_Dover!C23:C31,Mesures_Dover!B23:B31)</f>
        <v>#N/A</v>
      </c>
    </row>
    <row r="304" spans="1:9" x14ac:dyDescent="0.25">
      <c r="A304" s="190"/>
      <c r="B304" s="129" t="s">
        <v>213</v>
      </c>
      <c r="C304" s="132" t="e">
        <f>MIN(Dover_100°C!C48:K48)</f>
        <v>#N/A</v>
      </c>
      <c r="D304" s="130" t="e">
        <f>_xlfn.XLOOKUP(INT(SUBSTITUTE(E304,"Connecteur ","")),Mesures_Dover!C24:C36,Mesures_Dover!A24:A36)</f>
        <v>#N/A</v>
      </c>
      <c r="E304" s="130" t="e" cm="1">
        <f t="array" ref="E304">_xlfn.XLOOKUP(MIN(Dover_100°C!C49:O49),Dover_100°C!C49:O49,_xlfn.ANCHORARRAY(Dover_100°C!C47))</f>
        <v>#N/A</v>
      </c>
      <c r="F304" s="131" t="e">
        <f>_xlfn.XLOOKUP(INT(SUBSTITUTE(E304,"Connecteur ","")),Mesures_Dover!C24:C36,Mesures_Dover!B24:B36)</f>
        <v>#N/A</v>
      </c>
    </row>
    <row r="305" spans="1:6" x14ac:dyDescent="0.25">
      <c r="A305" s="190"/>
      <c r="B305" s="129" t="s">
        <v>214</v>
      </c>
      <c r="C305" s="132" t="e">
        <f>AVERAGE(Dover_100°C!C48:K48)</f>
        <v>#N/A</v>
      </c>
      <c r="D305" s="130" t="s">
        <v>208</v>
      </c>
      <c r="E305" s="130" t="s">
        <v>208</v>
      </c>
      <c r="F305" s="131" t="s">
        <v>208</v>
      </c>
    </row>
    <row r="306" spans="1:6" x14ac:dyDescent="0.25">
      <c r="C306" s="89"/>
      <c r="D306" s="89"/>
      <c r="E306" s="89"/>
      <c r="F306" s="89"/>
    </row>
    <row r="316" spans="1:6" ht="36" x14ac:dyDescent="0.25">
      <c r="B316" s="182" t="s">
        <v>307</v>
      </c>
      <c r="C316" s="182"/>
      <c r="D316" s="182"/>
      <c r="E316" s="182"/>
      <c r="F316" s="182"/>
    </row>
    <row r="319" spans="1:6" x14ac:dyDescent="0.25">
      <c r="B319" s="173" t="s">
        <v>216</v>
      </c>
      <c r="C319" s="173"/>
    </row>
    <row r="323" spans="1:10" x14ac:dyDescent="0.25">
      <c r="A323" s="1"/>
      <c r="B323" s="152" t="str" cm="1">
        <f t="array" ref="B323:J323">Valeurs_Brutes_100[[#Headers],[Connecteur 1]:[Connecteur 9]]</f>
        <v>Connecteur 1</v>
      </c>
      <c r="C323" s="152" t="str">
        <v>Connecteur 2</v>
      </c>
      <c r="D323" s="152" t="str">
        <v>Connecteur 3</v>
      </c>
      <c r="E323" s="152" t="str">
        <v>Connecteur 4</v>
      </c>
      <c r="F323" s="152" t="str">
        <v>Connecteur 5</v>
      </c>
      <c r="G323" s="152" t="str">
        <v>Connecteur 6</v>
      </c>
      <c r="H323" s="152" t="str">
        <v>Connecteur 7</v>
      </c>
      <c r="I323" s="152" t="str">
        <v>Connecteur 8</v>
      </c>
      <c r="J323" s="152" t="str">
        <v>Connecteur 9</v>
      </c>
    </row>
    <row r="324" spans="1:10" x14ac:dyDescent="0.25">
      <c r="A324" s="42" t="s">
        <v>98</v>
      </c>
      <c r="B324" s="43" t="e" cm="1">
        <f t="array" ref="B324:J327">Dover_100°C!C48:K51</f>
        <v>#N/A</v>
      </c>
      <c r="C324" s="43" t="e">
        <v>#N/A</v>
      </c>
      <c r="D324" s="43" t="e">
        <v>#N/A</v>
      </c>
      <c r="E324" s="43" t="e">
        <v>#N/A</v>
      </c>
      <c r="F324" s="43" t="e">
        <v>#N/A</v>
      </c>
      <c r="G324" s="43" t="e">
        <v>#N/A</v>
      </c>
      <c r="H324" s="43" t="e">
        <v>#N/A</v>
      </c>
      <c r="I324" s="43" t="e">
        <v>#N/A</v>
      </c>
      <c r="J324" s="43" t="e">
        <v>#N/A</v>
      </c>
    </row>
    <row r="325" spans="1:10" x14ac:dyDescent="0.25">
      <c r="A325" s="42" t="s">
        <v>100</v>
      </c>
      <c r="B325" s="43" t="e">
        <v>#N/A</v>
      </c>
      <c r="C325" s="43" t="e">
        <v>#N/A</v>
      </c>
      <c r="D325" s="43" t="e">
        <v>#N/A</v>
      </c>
      <c r="E325" s="43" t="e">
        <v>#N/A</v>
      </c>
      <c r="F325" s="43" t="e">
        <v>#N/A</v>
      </c>
      <c r="G325" s="43" t="e">
        <v>#N/A</v>
      </c>
      <c r="H325" s="43" t="e">
        <v>#N/A</v>
      </c>
      <c r="I325" s="43" t="e">
        <v>#N/A</v>
      </c>
      <c r="J325" s="43" t="e">
        <v>#N/A</v>
      </c>
    </row>
    <row r="326" spans="1:10" x14ac:dyDescent="0.25">
      <c r="A326" s="42" t="s">
        <v>102</v>
      </c>
      <c r="B326" s="43" t="e">
        <v>#N/A</v>
      </c>
      <c r="C326" s="43" t="e">
        <v>#N/A</v>
      </c>
      <c r="D326" s="43" t="e">
        <v>#N/A</v>
      </c>
      <c r="E326" s="43" t="e">
        <v>#N/A</v>
      </c>
      <c r="F326" s="43" t="e">
        <v>#N/A</v>
      </c>
      <c r="G326" s="43" t="e">
        <v>#N/A</v>
      </c>
      <c r="H326" s="43" t="e">
        <v>#N/A</v>
      </c>
      <c r="I326" s="43" t="e">
        <v>#N/A</v>
      </c>
      <c r="J326" s="43" t="e">
        <v>#N/A</v>
      </c>
    </row>
    <row r="327" spans="1:10" x14ac:dyDescent="0.25">
      <c r="A327" s="42" t="s">
        <v>103</v>
      </c>
      <c r="B327" s="43" t="e">
        <v>#N/A</v>
      </c>
      <c r="C327" s="43" t="e">
        <v>#N/A</v>
      </c>
      <c r="D327" s="43" t="e">
        <v>#N/A</v>
      </c>
      <c r="E327" s="43" t="e">
        <v>#N/A</v>
      </c>
      <c r="F327" s="43" t="e">
        <v>#N/A</v>
      </c>
      <c r="G327" s="43" t="e">
        <v>#N/A</v>
      </c>
      <c r="H327" s="43" t="e">
        <v>#N/A</v>
      </c>
      <c r="I327" s="43" t="e">
        <v>#N/A</v>
      </c>
      <c r="J327" s="43" t="e">
        <v>#N/A</v>
      </c>
    </row>
    <row r="328" spans="1:10" x14ac:dyDescent="0.25">
      <c r="A328" s="42" t="s">
        <v>104</v>
      </c>
      <c r="B328" s="217" t="e">
        <f>Dover_100°C!C52</f>
        <v>#N/A</v>
      </c>
      <c r="C328" s="245"/>
      <c r="D328" s="245"/>
      <c r="E328" s="245"/>
      <c r="F328" s="245"/>
      <c r="G328" s="245"/>
      <c r="H328" s="245"/>
      <c r="I328" s="245"/>
      <c r="J328" s="245"/>
    </row>
    <row r="329" spans="1:10" x14ac:dyDescent="0.25">
      <c r="A329" s="42" t="s">
        <v>105</v>
      </c>
      <c r="B329" s="217" t="e">
        <f>Dover_100°C!C53</f>
        <v>#N/A</v>
      </c>
      <c r="C329" s="245"/>
      <c r="D329" s="245"/>
      <c r="E329" s="245"/>
      <c r="F329" s="245"/>
      <c r="G329" s="245"/>
      <c r="H329" s="245"/>
      <c r="I329" s="245"/>
      <c r="J329" s="245"/>
    </row>
    <row r="330" spans="1:10" x14ac:dyDescent="0.25">
      <c r="A330" s="36" t="s">
        <v>106</v>
      </c>
      <c r="B330" s="153" t="e" cm="1">
        <f t="array" aca="1" ref="B330:J330" ca="1">Dover_100°C!C54:K54</f>
        <v>#REF!</v>
      </c>
      <c r="C330" s="154" t="e">
        <f ca="1"/>
        <v>#REF!</v>
      </c>
      <c r="D330" s="154" t="e">
        <f ca="1"/>
        <v>#REF!</v>
      </c>
      <c r="E330" s="154" t="e">
        <f ca="1"/>
        <v>#REF!</v>
      </c>
      <c r="F330" s="154" t="e">
        <f ca="1"/>
        <v>#REF!</v>
      </c>
      <c r="G330" s="154" t="e">
        <f ca="1"/>
        <v>#REF!</v>
      </c>
      <c r="H330" s="154" t="e">
        <f ca="1"/>
        <v>#REF!</v>
      </c>
      <c r="I330" s="154" t="e">
        <f ca="1"/>
        <v>#REF!</v>
      </c>
      <c r="J330" s="154" t="e">
        <f ca="1"/>
        <v>#REF!</v>
      </c>
    </row>
    <row r="340" spans="2:6" x14ac:dyDescent="0.25">
      <c r="B340" s="135"/>
    </row>
    <row r="342" spans="2:6" ht="36" x14ac:dyDescent="0.3">
      <c r="C342" s="136" t="s">
        <v>308</v>
      </c>
      <c r="D342" s="137"/>
      <c r="E342" s="137"/>
      <c r="F342" s="137"/>
    </row>
    <row r="345" spans="2:6" x14ac:dyDescent="0.25">
      <c r="B345" t="s">
        <v>223</v>
      </c>
    </row>
    <row r="401" spans="1:9" x14ac:dyDescent="0.25">
      <c r="A401" s="122" t="s">
        <v>251</v>
      </c>
      <c r="B401" s="124">
        <v>150</v>
      </c>
      <c r="G401" s="186" t="s">
        <v>198</v>
      </c>
      <c r="H401" s="187"/>
      <c r="I401" s="188"/>
    </row>
    <row r="402" spans="1:9" x14ac:dyDescent="0.25">
      <c r="A402" s="122" t="s">
        <v>252</v>
      </c>
      <c r="B402" s="151">
        <f>Mesures_Dover!B20</f>
        <v>0</v>
      </c>
      <c r="G402" s="22" t="s">
        <v>199</v>
      </c>
      <c r="H402" s="22" t="s">
        <v>200</v>
      </c>
      <c r="I402" s="22" t="s">
        <v>201</v>
      </c>
    </row>
    <row r="403" spans="1:9" x14ac:dyDescent="0.25">
      <c r="G403" s="125">
        <f>Dover_150°C!B11</f>
        <v>0</v>
      </c>
      <c r="H403" s="125">
        <f>Dover_150°C!B41</f>
        <v>0</v>
      </c>
      <c r="I403" s="125">
        <f>H403-G403</f>
        <v>0</v>
      </c>
    </row>
    <row r="406" spans="1:9" ht="23.25" x14ac:dyDescent="0.25">
      <c r="B406" s="189" t="s">
        <v>202</v>
      </c>
      <c r="C406" s="189"/>
    </row>
    <row r="409" spans="1:9" ht="30" x14ac:dyDescent="0.25">
      <c r="B409" s="126" t="s">
        <v>203</v>
      </c>
      <c r="C409" s="127" t="s">
        <v>204</v>
      </c>
      <c r="D409" s="127" t="s">
        <v>119</v>
      </c>
      <c r="E409" s="128" t="s">
        <v>205</v>
      </c>
      <c r="F409" s="127" t="s">
        <v>206</v>
      </c>
    </row>
    <row r="410" spans="1:9" x14ac:dyDescent="0.25">
      <c r="B410" s="129" t="s">
        <v>207</v>
      </c>
      <c r="C410" s="130" t="str">
        <f>"150°C"</f>
        <v>150°C</v>
      </c>
      <c r="D410" s="130" t="s">
        <v>208</v>
      </c>
      <c r="E410" s="130" t="s">
        <v>208</v>
      </c>
      <c r="F410" s="131" t="s">
        <v>208</v>
      </c>
    </row>
    <row r="411" spans="1:9" x14ac:dyDescent="0.25">
      <c r="B411" s="129" t="s">
        <v>209</v>
      </c>
      <c r="C411" s="130" t="str">
        <f>"150°C"</f>
        <v>150°C</v>
      </c>
      <c r="D411" s="130" t="s">
        <v>208</v>
      </c>
      <c r="E411" s="130" t="s">
        <v>208</v>
      </c>
      <c r="F411" s="131" t="s">
        <v>208</v>
      </c>
    </row>
    <row r="412" spans="1:9" x14ac:dyDescent="0.25">
      <c r="A412" s="190" t="s">
        <v>210</v>
      </c>
      <c r="B412" s="129" t="s">
        <v>211</v>
      </c>
      <c r="C412" s="132" t="e">
        <f>MAX(Dover_150°C!C48:K48)</f>
        <v>#N/A</v>
      </c>
      <c r="D412" s="130" t="e">
        <f>_xlfn.XLOOKUP(INT(SUBSTITUTE(E412,"Connecteur ","")),Mesures_Dover!C23:C31,Mesures_Dover!A23:A31)</f>
        <v>#N/A</v>
      </c>
      <c r="E412" s="130" t="e" cm="1">
        <f t="array" ref="E412">_xlfn.XLOOKUP(MAX(Dover_150°C!C48:K48),Dover_150°C!C48:K48,_xlfn.ANCHORARRAY(Dover_150°C!C47))</f>
        <v>#N/A</v>
      </c>
      <c r="F412" s="130" t="e">
        <f>_xlfn.XLOOKUP(INT(SUBSTITUTE(E412,"Connecteur ","")),Mesures_Dover!C23:C31,Mesures_Dover!B23:B31)</f>
        <v>#N/A</v>
      </c>
    </row>
    <row r="413" spans="1:9" x14ac:dyDescent="0.25">
      <c r="A413" s="190"/>
      <c r="B413" s="129" t="s">
        <v>212</v>
      </c>
      <c r="C413" s="132" t="e">
        <f>MIN(Dover_150°C!C48:K48)</f>
        <v>#N/A</v>
      </c>
      <c r="D413" s="130" t="e">
        <f>_xlfn.XLOOKUP(INT(SUBSTITUTE(E413,"Connecteur ","")),Mesures_Dover!C23:C31,Mesures_Dover!A23:A31)</f>
        <v>#N/A</v>
      </c>
      <c r="E413" s="130" t="e" cm="1">
        <f t="array" ref="E413">_xlfn.XLOOKUP(MIN(Dover_150°C!C48:K48),Dover_150°C!C48:K48,_xlfn.ANCHORARRAY(Dover_150°C!C47))</f>
        <v>#N/A</v>
      </c>
      <c r="F413" s="131" t="e">
        <f>_xlfn.XLOOKUP(INT(SUBSTITUTE(E413,"Connecteur ","")),Mesures_Dover!C23:C31,Mesures_Dover!B23:B31)</f>
        <v>#N/A</v>
      </c>
    </row>
    <row r="414" spans="1:9" x14ac:dyDescent="0.25">
      <c r="A414" s="190"/>
      <c r="B414" s="129" t="s">
        <v>213</v>
      </c>
      <c r="C414" s="132" t="e">
        <f>MIN(Dover_150°C!C49:O49)</f>
        <v>#N/A</v>
      </c>
      <c r="D414" s="130" t="e">
        <f>_xlfn.XLOOKUP(INT(SUBSTITUTE(E414,"Connecteur ","")),Mesures_Dover!C23:C31,Mesures_Dover!A23:A31)</f>
        <v>#N/A</v>
      </c>
      <c r="E414" s="130" t="e" cm="1">
        <f t="array" ref="E414">_xlfn.XLOOKUP(MAX(Dover_150°C!C49:O49),Dover_150°C!C49:O49,_xlfn.ANCHORARRAY(Dover_150°C!C47))</f>
        <v>#N/A</v>
      </c>
      <c r="F414" s="131" t="e">
        <f>_xlfn.XLOOKUP(INT(SUBSTITUTE(E414,"Connecteur ","")),Mesures_Dover!C23:C31,Mesures_Dover!B23:B31)</f>
        <v>#N/A</v>
      </c>
    </row>
    <row r="415" spans="1:9" x14ac:dyDescent="0.25">
      <c r="A415" s="190"/>
      <c r="B415" s="129" t="s">
        <v>214</v>
      </c>
      <c r="C415" s="132" t="e">
        <f>AVERAGE(Dover_150°C!C50:O50)</f>
        <v>#N/A</v>
      </c>
      <c r="D415" s="130" t="s">
        <v>208</v>
      </c>
      <c r="E415" s="130" t="s">
        <v>208</v>
      </c>
      <c r="F415" s="131" t="s">
        <v>208</v>
      </c>
    </row>
    <row r="416" spans="1:9" x14ac:dyDescent="0.25">
      <c r="C416" s="89"/>
      <c r="D416" s="89"/>
      <c r="E416" s="89"/>
      <c r="F416" s="89"/>
    </row>
    <row r="425" spans="1:10" ht="36" x14ac:dyDescent="0.25">
      <c r="B425" s="182" t="s">
        <v>255</v>
      </c>
      <c r="C425" s="182"/>
      <c r="D425" s="182"/>
      <c r="E425" s="182"/>
      <c r="F425" s="182"/>
    </row>
    <row r="428" spans="1:10" x14ac:dyDescent="0.25">
      <c r="B428" s="173" t="s">
        <v>216</v>
      </c>
      <c r="C428" s="173"/>
    </row>
    <row r="432" spans="1:10" x14ac:dyDescent="0.25">
      <c r="A432" s="1"/>
      <c r="B432" s="152" t="str" cm="1">
        <f t="array" ref="B432:J432">Valeurs_Brutes_150[[#Headers],[Connecteur 1]:[Connecteur 9]]</f>
        <v>Connecteur 1</v>
      </c>
      <c r="C432" s="152" t="str">
        <v>Connecteur 2</v>
      </c>
      <c r="D432" s="152" t="str">
        <v>Connecteur 3</v>
      </c>
      <c r="E432" s="152" t="str">
        <v>Connecteur 4</v>
      </c>
      <c r="F432" s="152" t="str">
        <v>Connecteur 5</v>
      </c>
      <c r="G432" s="152" t="str">
        <v>Connecteur 6</v>
      </c>
      <c r="H432" s="152" t="str">
        <v>Connecteur 7</v>
      </c>
      <c r="I432" s="152" t="str">
        <v>Connecteur 8</v>
      </c>
      <c r="J432" s="152" t="str">
        <v>Connecteur 9</v>
      </c>
    </row>
    <row r="433" spans="1:10" x14ac:dyDescent="0.25">
      <c r="A433" s="42" t="s">
        <v>98</v>
      </c>
      <c r="B433" s="43" t="e" cm="1">
        <f t="array" ref="B433:J436">Dover_150°C!C48:K51</f>
        <v>#N/A</v>
      </c>
      <c r="C433" s="43" t="e">
        <v>#N/A</v>
      </c>
      <c r="D433" s="43" t="e">
        <v>#N/A</v>
      </c>
      <c r="E433" s="43" t="e">
        <v>#N/A</v>
      </c>
      <c r="F433" s="43" t="e">
        <v>#N/A</v>
      </c>
      <c r="G433" s="43" t="e">
        <v>#N/A</v>
      </c>
      <c r="H433" s="43" t="e">
        <v>#N/A</v>
      </c>
      <c r="I433" s="43" t="e">
        <v>#N/A</v>
      </c>
      <c r="J433" s="43" t="e">
        <v>#N/A</v>
      </c>
    </row>
    <row r="434" spans="1:10" x14ac:dyDescent="0.25">
      <c r="A434" s="42" t="s">
        <v>100</v>
      </c>
      <c r="B434" s="43" t="e">
        <v>#N/A</v>
      </c>
      <c r="C434" s="43" t="e">
        <v>#N/A</v>
      </c>
      <c r="D434" s="43" t="e">
        <v>#N/A</v>
      </c>
      <c r="E434" s="43" t="e">
        <v>#N/A</v>
      </c>
      <c r="F434" s="43" t="e">
        <v>#N/A</v>
      </c>
      <c r="G434" s="43" t="e">
        <v>#N/A</v>
      </c>
      <c r="H434" s="43" t="e">
        <v>#N/A</v>
      </c>
      <c r="I434" s="43" t="e">
        <v>#N/A</v>
      </c>
      <c r="J434" s="43" t="e">
        <v>#N/A</v>
      </c>
    </row>
    <row r="435" spans="1:10" x14ac:dyDescent="0.25">
      <c r="A435" s="42" t="s">
        <v>102</v>
      </c>
      <c r="B435" s="43" t="e">
        <v>#N/A</v>
      </c>
      <c r="C435" s="43" t="e">
        <v>#N/A</v>
      </c>
      <c r="D435" s="43" t="e">
        <v>#N/A</v>
      </c>
      <c r="E435" s="43" t="e">
        <v>#N/A</v>
      </c>
      <c r="F435" s="43" t="e">
        <v>#N/A</v>
      </c>
      <c r="G435" s="43" t="e">
        <v>#N/A</v>
      </c>
      <c r="H435" s="43" t="e">
        <v>#N/A</v>
      </c>
      <c r="I435" s="43" t="e">
        <v>#N/A</v>
      </c>
      <c r="J435" s="43" t="e">
        <v>#N/A</v>
      </c>
    </row>
    <row r="436" spans="1:10" x14ac:dyDescent="0.25">
      <c r="A436" s="42" t="s">
        <v>103</v>
      </c>
      <c r="B436" s="43" t="e">
        <v>#N/A</v>
      </c>
      <c r="C436" s="43" t="e">
        <v>#N/A</v>
      </c>
      <c r="D436" s="43" t="e">
        <v>#N/A</v>
      </c>
      <c r="E436" s="43" t="e">
        <v>#N/A</v>
      </c>
      <c r="F436" s="43" t="e">
        <v>#N/A</v>
      </c>
      <c r="G436" s="43" t="e">
        <v>#N/A</v>
      </c>
      <c r="H436" s="43" t="e">
        <v>#N/A</v>
      </c>
      <c r="I436" s="43" t="e">
        <v>#N/A</v>
      </c>
      <c r="J436" s="43" t="e">
        <v>#N/A</v>
      </c>
    </row>
    <row r="437" spans="1:10" x14ac:dyDescent="0.25">
      <c r="A437" s="42" t="s">
        <v>104</v>
      </c>
      <c r="B437" s="217" t="e">
        <f>Dover_150°C!C52</f>
        <v>#N/A</v>
      </c>
      <c r="C437" s="245"/>
      <c r="D437" s="245"/>
      <c r="E437" s="245"/>
      <c r="F437" s="245"/>
      <c r="G437" s="245"/>
      <c r="H437" s="245"/>
      <c r="I437" s="245"/>
      <c r="J437" s="245"/>
    </row>
    <row r="438" spans="1:10" x14ac:dyDescent="0.25">
      <c r="A438" s="42" t="s">
        <v>105</v>
      </c>
      <c r="B438" s="217" t="e">
        <f>Dover_150°C!C53</f>
        <v>#N/A</v>
      </c>
      <c r="C438" s="245"/>
      <c r="D438" s="245"/>
      <c r="E438" s="245"/>
      <c r="F438" s="245"/>
      <c r="G438" s="245"/>
      <c r="H438" s="245"/>
      <c r="I438" s="245"/>
      <c r="J438" s="245"/>
    </row>
    <row r="439" spans="1:10" x14ac:dyDescent="0.25">
      <c r="A439" s="36" t="s">
        <v>106</v>
      </c>
      <c r="B439" s="153" t="e" cm="1">
        <f t="array" aca="1" ref="B439:J439" ca="1">Dover_150°C!C54:K54</f>
        <v>#REF!</v>
      </c>
      <c r="C439" s="154" t="e">
        <f ca="1"/>
        <v>#REF!</v>
      </c>
      <c r="D439" s="154" t="e">
        <f ca="1"/>
        <v>#REF!</v>
      </c>
      <c r="E439" s="154" t="e">
        <f ca="1"/>
        <v>#REF!</v>
      </c>
      <c r="F439" s="154" t="e">
        <f ca="1"/>
        <v>#REF!</v>
      </c>
      <c r="G439" s="154" t="e">
        <f ca="1"/>
        <v>#REF!</v>
      </c>
      <c r="H439" s="154" t="e">
        <f ca="1"/>
        <v>#REF!</v>
      </c>
      <c r="I439" s="154" t="e">
        <f ca="1"/>
        <v>#REF!</v>
      </c>
      <c r="J439" s="154" t="e">
        <f ca="1"/>
        <v>#REF!</v>
      </c>
    </row>
    <row r="445" spans="1:10" x14ac:dyDescent="0.25">
      <c r="B445" s="135"/>
    </row>
    <row r="447" spans="1:10" ht="36" x14ac:dyDescent="0.3">
      <c r="C447" s="136" t="s">
        <v>256</v>
      </c>
      <c r="D447" s="137"/>
      <c r="E447" s="137"/>
      <c r="F447" s="137"/>
    </row>
    <row r="450" spans="2:2" x14ac:dyDescent="0.25">
      <c r="B450" t="s">
        <v>223</v>
      </c>
    </row>
    <row r="497" spans="3:7" x14ac:dyDescent="0.25">
      <c r="C497" s="129" t="s">
        <v>226</v>
      </c>
      <c r="D497" s="129"/>
      <c r="E497" s="22" t="s">
        <v>309</v>
      </c>
      <c r="F497" s="22" t="s">
        <v>310</v>
      </c>
      <c r="G497" s="22" t="s">
        <v>258</v>
      </c>
    </row>
    <row r="498" spans="3:7" x14ac:dyDescent="0.25">
      <c r="C498" s="177" t="s">
        <v>227</v>
      </c>
      <c r="D498" s="178"/>
      <c r="E498" s="130">
        <v>50</v>
      </c>
      <c r="F498" s="130">
        <v>100</v>
      </c>
      <c r="G498" s="130">
        <v>150</v>
      </c>
    </row>
    <row r="499" spans="3:7" x14ac:dyDescent="0.25">
      <c r="C499" s="177" t="s">
        <v>228</v>
      </c>
      <c r="D499" s="178"/>
      <c r="E499" s="132" t="e">
        <f>Dover_50°C!C52</f>
        <v>#N/A</v>
      </c>
      <c r="F499" s="132" t="e">
        <f>Dover_100°C!C52</f>
        <v>#N/A</v>
      </c>
      <c r="G499" s="132" t="e">
        <f>Dover_150°C!C52</f>
        <v>#N/A</v>
      </c>
    </row>
    <row r="500" spans="3:7" x14ac:dyDescent="0.25">
      <c r="C500" s="177" t="s">
        <v>229</v>
      </c>
      <c r="D500" s="178"/>
      <c r="E500" s="155">
        <f>Mesures_Dover!B20</f>
        <v>0</v>
      </c>
      <c r="F500" s="155">
        <f>Mesures_Dover!B20</f>
        <v>0</v>
      </c>
      <c r="G500" s="155">
        <f>Mesures_Dover!B20</f>
        <v>0</v>
      </c>
    </row>
    <row r="501" spans="3:7" x14ac:dyDescent="0.25">
      <c r="C501" s="177" t="s">
        <v>260</v>
      </c>
      <c r="D501" s="178"/>
      <c r="E501" s="130" t="e">
        <f>IF(MIN(Dover_50°C!C49:K49)&lt;Dover_50°C!L49,"NON CONFORME","CONFORME")</f>
        <v>#N/A</v>
      </c>
      <c r="F501" s="130" t="e">
        <f>IF(MIN(Dover_100°C!C49:K49)&lt;Dover_100°C!L49,"NON CONFORME","CONFORME")</f>
        <v>#N/A</v>
      </c>
      <c r="G501" s="130" t="e">
        <f>IF(MIN(Dover_150°C!C49:K49)&lt;Dover_150°C!L49,"NON CONFORME","CONFORME")</f>
        <v>#N/A</v>
      </c>
    </row>
    <row r="502" spans="3:7" x14ac:dyDescent="0.25">
      <c r="C502" s="177" t="s">
        <v>261</v>
      </c>
      <c r="D502" s="178"/>
      <c r="E502" s="130" t="e">
        <f>IF(MAX(Dover_50°C!C48:K48)&gt;Dover_50°C!L48,"NON CONFORME","CONFORME")</f>
        <v>#N/A</v>
      </c>
      <c r="F502" s="130" t="e">
        <f>IF(MAX(Dover_100°C!C48:K48)&gt;Dover_100°C!L48,"NON CONFORME","CONFORME")</f>
        <v>#N/A</v>
      </c>
      <c r="G502" s="130" t="e">
        <f>IF(MAX(Dover_150°C!C48:K48)&gt;Dover_150°C!L48,"NON CONFORME","CONFORME")</f>
        <v>#N/A</v>
      </c>
    </row>
    <row r="503" spans="3:7" x14ac:dyDescent="0.25">
      <c r="C503" s="177" t="s">
        <v>262</v>
      </c>
      <c r="D503" s="178"/>
      <c r="E503" s="130" t="e">
        <f>IF(OR(Dover_50°C!C53&lt;Dover_50°C!L49,Dover_50°C!C53&gt;Dover_50°C!L48),"NON CONFORME","CONFORME")</f>
        <v>#N/A</v>
      </c>
      <c r="F503" s="130" t="e">
        <f>IF(OR(Dover_100°C!C53&lt;Dover_100°C!L49,Dover_100°C!C53&gt;Dover_100°C!L48),"NON CONFORME","CONFORME")</f>
        <v>#N/A</v>
      </c>
      <c r="G503" s="130" t="e">
        <f>IF(OR(Dover_150°C!C53&lt;Dover_150°C!L49,Dover_150°C!C53&gt;Dover_150°C!L48),"NON CONFORME","CONFORME")</f>
        <v>#N/A</v>
      </c>
    </row>
    <row r="504" spans="3:7" x14ac:dyDescent="0.25">
      <c r="C504" s="177" t="s">
        <v>231</v>
      </c>
      <c r="D504" s="178"/>
      <c r="E504" s="130" t="e">
        <f>(MAX(Dover_50°C!C48:K48)- MIN(Dover_50°C!C49:K49))/2</f>
        <v>#N/A</v>
      </c>
      <c r="F504" s="130" t="e">
        <f>(MAX(Dover_100°C!C48:K48)- MIN(Dover_100°C!C49:K49))/2</f>
        <v>#N/A</v>
      </c>
      <c r="G504" s="130" t="e">
        <f>(MAX(Dover_150°C!C48:K48)- MIN(Dover_150°C!C49:K49))/2</f>
        <v>#N/A</v>
      </c>
    </row>
  </sheetData>
  <sheetProtection autoFilter="0"/>
  <mergeCells count="53">
    <mergeCell ref="B437:J437"/>
    <mergeCell ref="B438:J438"/>
    <mergeCell ref="C504:D504"/>
    <mergeCell ref="B55:C55"/>
    <mergeCell ref="B141:I156"/>
    <mergeCell ref="B230:J230"/>
    <mergeCell ref="B231:J231"/>
    <mergeCell ref="C498:D498"/>
    <mergeCell ref="C499:D499"/>
    <mergeCell ref="C500:D500"/>
    <mergeCell ref="C501:D501"/>
    <mergeCell ref="C502:D502"/>
    <mergeCell ref="C503:D503"/>
    <mergeCell ref="B406:C406"/>
    <mergeCell ref="A412:A415"/>
    <mergeCell ref="B425:F425"/>
    <mergeCell ref="B428:C428"/>
    <mergeCell ref="A302:A305"/>
    <mergeCell ref="B316:F316"/>
    <mergeCell ref="B319:C319"/>
    <mergeCell ref="G401:I401"/>
    <mergeCell ref="B328:J328"/>
    <mergeCell ref="B329:J329"/>
    <mergeCell ref="B218:F218"/>
    <mergeCell ref="B221:C221"/>
    <mergeCell ref="G291:I291"/>
    <mergeCell ref="B296:C296"/>
    <mergeCell ref="B125:I140"/>
    <mergeCell ref="C159:H159"/>
    <mergeCell ref="C188:H188"/>
    <mergeCell ref="G192:I192"/>
    <mergeCell ref="B197:C197"/>
    <mergeCell ref="A203:A206"/>
    <mergeCell ref="B112:F112"/>
    <mergeCell ref="C123:F123"/>
    <mergeCell ref="C99:D99"/>
    <mergeCell ref="C100:D100"/>
    <mergeCell ref="C101:D101"/>
    <mergeCell ref="C102:D102"/>
    <mergeCell ref="C103:D103"/>
    <mergeCell ref="C104:D104"/>
    <mergeCell ref="C85:G85"/>
    <mergeCell ref="C94:H94"/>
    <mergeCell ref="C95:D95"/>
    <mergeCell ref="C96:D96"/>
    <mergeCell ref="C97:D97"/>
    <mergeCell ref="C98:D98"/>
    <mergeCell ref="B4:F6"/>
    <mergeCell ref="C10:D10"/>
    <mergeCell ref="E10:F10"/>
    <mergeCell ref="A28:B28"/>
    <mergeCell ref="A30:I47"/>
    <mergeCell ref="C51:F51"/>
  </mergeCells>
  <conditionalFormatting sqref="E501">
    <cfRule type="containsText" dxfId="9" priority="10" operator="containsText" text="NON CONFORME">
      <formula>NOT(ISERROR(SEARCH("NON CONFORME",E501)))</formula>
    </cfRule>
  </conditionalFormatting>
  <conditionalFormatting sqref="E502">
    <cfRule type="containsText" dxfId="8" priority="9" operator="containsText" text="NON CONFORME">
      <formula>NOT(ISERROR(SEARCH("NON CONFORME",E502)))</formula>
    </cfRule>
  </conditionalFormatting>
  <conditionalFormatting sqref="F501">
    <cfRule type="containsText" dxfId="7" priority="8" operator="containsText" text="NON CONFORME">
      <formula>NOT(ISERROR(SEARCH("NON CONFORME",F501)))</formula>
    </cfRule>
  </conditionalFormatting>
  <conditionalFormatting sqref="F502">
    <cfRule type="containsText" dxfId="6" priority="7" operator="containsText" text="NON CONFORME">
      <formula>NOT(ISERROR(SEARCH("NON CONFORME",F502)))</formula>
    </cfRule>
  </conditionalFormatting>
  <conditionalFormatting sqref="G501">
    <cfRule type="containsText" dxfId="5" priority="6" operator="containsText" text="NON CONFORME">
      <formula>NOT(ISERROR(SEARCH("NON CONFORME",G501)))</formula>
    </cfRule>
  </conditionalFormatting>
  <conditionalFormatting sqref="G502">
    <cfRule type="containsText" dxfId="4" priority="5" operator="containsText" text="NON CONFORME">
      <formula>NOT(ISERROR(SEARCH("NON CONFORME",G502)))</formula>
    </cfRule>
  </conditionalFormatting>
  <conditionalFormatting sqref="C67:D67">
    <cfRule type="containsBlanks" dxfId="3" priority="4">
      <formula>LEN(TRIM(C67))=0</formula>
    </cfRule>
  </conditionalFormatting>
  <conditionalFormatting sqref="E503">
    <cfRule type="containsText" dxfId="2" priority="3" operator="containsText" text="NON CONFORME">
      <formula>NOT(ISERROR(SEARCH("NON CONFORME",E503)))</formula>
    </cfRule>
  </conditionalFormatting>
  <conditionalFormatting sqref="F503">
    <cfRule type="containsText" dxfId="1" priority="2" operator="containsText" text="NON CONFORME">
      <formula>NOT(ISERROR(SEARCH("NON CONFORME",F503)))</formula>
    </cfRule>
  </conditionalFormatting>
  <conditionalFormatting sqref="G503">
    <cfRule type="containsText" dxfId="0" priority="1" operator="containsText" text="NON CONFORME">
      <formula>NOT(ISERROR(SEARCH("NON CONFORME",G503)))</formula>
    </cfRule>
  </conditionalFormatting>
  <pageMargins left="0.7" right="0.7" top="0.75" bottom="0.75" header="0.3" footer="0.3"/>
  <pageSetup paperSize="9" scale="24" orientation="portrait" r:id="rId1"/>
  <rowBreaks count="14" manualBreakCount="14">
    <brk id="47" max="16383" man="1"/>
    <brk id="81" max="16383" man="1"/>
    <brk id="120" max="14" man="1"/>
    <brk id="155" max="16383" man="1"/>
    <brk id="184" max="16383" man="1"/>
    <brk id="211" max="16383" man="1"/>
    <brk id="243" max="16383" man="1"/>
    <brk id="280" max="14" man="1"/>
    <brk id="309" max="14" man="1"/>
    <brk id="339" max="14" man="1"/>
    <brk id="390" max="14" man="1"/>
    <brk id="418" max="14" man="1"/>
    <brk id="444" max="14" man="1"/>
    <brk id="485" max="14"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9</vt:i4>
      </vt:variant>
    </vt:vector>
  </HeadingPairs>
  <TitlesOfParts>
    <vt:vector size="33" baseType="lpstr">
      <vt:lpstr>Group-1</vt:lpstr>
      <vt:lpstr>Entete</vt:lpstr>
      <vt:lpstr>Choose_TUS</vt:lpstr>
      <vt:lpstr>Mesures_Congel</vt:lpstr>
      <vt:lpstr>Donnee_Congel_-30</vt:lpstr>
      <vt:lpstr>Congel_-30°C</vt:lpstr>
      <vt:lpstr>Congel_PV</vt:lpstr>
      <vt:lpstr>Verif_periodique</vt:lpstr>
      <vt:lpstr>Mesures_Omia</vt:lpstr>
      <vt:lpstr>Donnee_Omia_60</vt:lpstr>
      <vt:lpstr>Donnee_Omia_150</vt:lpstr>
      <vt:lpstr>Donnee_Omia_190</vt:lpstr>
      <vt:lpstr>Omia_60°C</vt:lpstr>
      <vt:lpstr>Omia_150°C</vt:lpstr>
      <vt:lpstr>Omia_190°C</vt:lpstr>
      <vt:lpstr>Omia_PV</vt:lpstr>
      <vt:lpstr>Mesures_Dover</vt:lpstr>
      <vt:lpstr>Donnee_Dover_50</vt:lpstr>
      <vt:lpstr>Donnee_Dover_100</vt:lpstr>
      <vt:lpstr>Donnee_Dover_150</vt:lpstr>
      <vt:lpstr>Dover_50°C</vt:lpstr>
      <vt:lpstr>Dover_100°C</vt:lpstr>
      <vt:lpstr>Dover_150°C</vt:lpstr>
      <vt:lpstr>Dover_PV</vt:lpstr>
      <vt:lpstr>Entete_Congel</vt:lpstr>
      <vt:lpstr>Entete_DOVER</vt:lpstr>
      <vt:lpstr>Entete_OMIA</vt:lpstr>
      <vt:lpstr>MT1_30</vt:lpstr>
      <vt:lpstr>MT2_30</vt:lpstr>
      <vt:lpstr>test_propagation</vt:lpstr>
      <vt:lpstr>Congel_PV!Zone_d_impression</vt:lpstr>
      <vt:lpstr>Dover_PV!Zone_d_impression</vt:lpstr>
      <vt:lpstr>Omia_PV!Zone_d_impression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BERNE</dc:creator>
  <cp:lastModifiedBy>Paul BERNE</cp:lastModifiedBy>
  <dcterms:created xsi:type="dcterms:W3CDTF">2015-06-05T18:19:34Z</dcterms:created>
  <dcterms:modified xsi:type="dcterms:W3CDTF">2024-01-31T12:57:43Z</dcterms:modified>
</cp:coreProperties>
</file>