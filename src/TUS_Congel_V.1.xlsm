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berne\Desktop\git\Macro_VBA_TUS\src\"/>
    </mc:Choice>
  </mc:AlternateContent>
  <xr:revisionPtr revIDLastSave="0" documentId="13_ncr:1_{F008AB49-B76C-49B2-BC09-2B0CAF82918B}" xr6:coauthVersionLast="47" xr6:coauthVersionMax="47" xr10:uidLastSave="{00000000-0000-0000-0000-000000000000}"/>
  <bookViews>
    <workbookView xWindow="-108" yWindow="-108" windowWidth="23256" windowHeight="12576" activeTab="2" xr2:uid="{BDF04682-C56A-4C37-BAA6-B5F857B225CE}"/>
  </bookViews>
  <sheets>
    <sheet name="Mesures" sheetId="1" r:id="rId1"/>
    <sheet name="Entete" sheetId="3" state="hidden" r:id="rId2"/>
    <sheet name="Valeurs Corrigées" sheetId="2" r:id="rId3"/>
    <sheet name="-30°C" sheetId="4" r:id="rId4"/>
    <sheet name="PV" sheetId="5" r:id="rId5"/>
  </sheets>
  <functionGroups builtInGroupCount="19"/>
  <definedNames>
    <definedName name="Les_Entetes">Entete!$A$1:$N$20</definedName>
    <definedName name="maintien">'Valeurs Corrigées'!#REF!</definedName>
  </definedNames>
  <calcPr calcId="18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1" i="1" l="1"/>
  <c r="E22" i="1"/>
  <c r="D20" i="1"/>
  <c r="D21" i="1"/>
  <c r="D22" i="1"/>
  <c r="D19" i="1"/>
  <c r="D15" i="1"/>
  <c r="D16" i="1"/>
  <c r="N25" i="4"/>
  <c r="N24" i="4"/>
  <c r="N23" i="4"/>
  <c r="C23" i="4"/>
  <c r="D23" i="4"/>
  <c r="E23" i="4"/>
  <c r="F23" i="4"/>
  <c r="G23" i="4"/>
  <c r="H23" i="4"/>
  <c r="I23" i="4"/>
  <c r="J23" i="4"/>
  <c r="K23" i="4"/>
  <c r="L23" i="4"/>
  <c r="M23" i="4"/>
  <c r="B23" i="4"/>
  <c r="B29" i="4" l="1"/>
  <c r="D27" i="4"/>
  <c r="E27" i="4"/>
  <c r="F27" i="4"/>
  <c r="G27" i="4"/>
  <c r="H27" i="4"/>
  <c r="I27" i="4"/>
  <c r="J27" i="4"/>
  <c r="K27" i="4"/>
  <c r="L27" i="4"/>
  <c r="M27" i="4"/>
  <c r="C27" i="4"/>
  <c r="B27" i="4"/>
  <c r="B28" i="4"/>
  <c r="I22" i="4"/>
  <c r="D13" i="1" l="1"/>
  <c r="H22" i="4"/>
  <c r="J22" i="4"/>
  <c r="K22" i="4"/>
  <c r="L22" i="4"/>
  <c r="M22" i="4"/>
  <c r="C22" i="4"/>
  <c r="D22" i="4"/>
  <c r="E22" i="4"/>
  <c r="F22" i="4"/>
  <c r="G22" i="4"/>
  <c r="B22" i="4"/>
  <c r="F3" i="4"/>
  <c r="F2" i="4"/>
  <c r="F1" i="4"/>
  <c r="C2" i="4"/>
  <c r="B2" i="4"/>
  <c r="E12" i="1" l="1"/>
  <c r="C3" i="4" s="1"/>
  <c r="B3" i="4"/>
  <c r="E13" i="1" l="1"/>
  <c r="D14" i="1"/>
  <c r="B4" i="4"/>
  <c r="E14" i="1" l="1"/>
  <c r="C4" i="4"/>
  <c r="B5" i="4"/>
  <c r="E15" i="1" l="1"/>
  <c r="C5" i="4"/>
  <c r="B6" i="4"/>
  <c r="E16" i="1" l="1"/>
  <c r="C6" i="4"/>
  <c r="D17" i="1"/>
  <c r="B7" i="4"/>
  <c r="E17" i="1" l="1"/>
  <c r="C7" i="4"/>
  <c r="D18" i="1"/>
  <c r="B8" i="4"/>
  <c r="E18" i="1" l="1"/>
  <c r="C8" i="4"/>
  <c r="B9" i="4"/>
  <c r="E19" i="1" l="1"/>
  <c r="C9" i="4"/>
  <c r="B10" i="4"/>
  <c r="C10" i="4" l="1"/>
  <c r="E20" i="1"/>
  <c r="B11" i="4"/>
  <c r="C11" i="4" l="1"/>
  <c r="B12" i="4"/>
  <c r="C13" i="4" l="1"/>
  <c r="C12" i="4"/>
  <c r="B13" i="4"/>
</calcChain>
</file>

<file path=xl/sharedStrings.xml><?xml version="1.0" encoding="utf-8"?>
<sst xmlns="http://schemas.openxmlformats.org/spreadsheetml/2006/main" count="172" uniqueCount="86">
  <si>
    <t>Date/Heure</t>
  </si>
  <si>
    <t>Thermocouples</t>
  </si>
  <si>
    <t>Positions</t>
  </si>
  <si>
    <t>N°1</t>
  </si>
  <si>
    <t>N°2</t>
  </si>
  <si>
    <t>N°3</t>
  </si>
  <si>
    <t>N°4</t>
  </si>
  <si>
    <t>N°5</t>
  </si>
  <si>
    <t>N°6</t>
  </si>
  <si>
    <t>N°7</t>
  </si>
  <si>
    <t>N°8</t>
  </si>
  <si>
    <t>N°9</t>
  </si>
  <si>
    <t>N°10</t>
  </si>
  <si>
    <t>N° voie Enregistreur</t>
  </si>
  <si>
    <t>Décalage Enregistreur</t>
  </si>
  <si>
    <t>Décalage TC</t>
  </si>
  <si>
    <t>Consignes</t>
  </si>
  <si>
    <t>TC11</t>
  </si>
  <si>
    <t>TC12</t>
  </si>
  <si>
    <t>N°12</t>
  </si>
  <si>
    <t>N°22</t>
  </si>
  <si>
    <t>N°13</t>
  </si>
  <si>
    <t>N°14</t>
  </si>
  <si>
    <t>N°15</t>
  </si>
  <si>
    <t>N°16</t>
  </si>
  <si>
    <t>N°17</t>
  </si>
  <si>
    <t>N°18</t>
  </si>
  <si>
    <t>N°19</t>
  </si>
  <si>
    <t>N°20</t>
  </si>
  <si>
    <t>Tolérances +/-</t>
  </si>
  <si>
    <t>N°11</t>
  </si>
  <si>
    <t>N°21</t>
  </si>
  <si>
    <t>N°23</t>
  </si>
  <si>
    <t xml:space="preserve">TC1 </t>
  </si>
  <si>
    <t xml:space="preserve">TC2    </t>
  </si>
  <si>
    <t xml:space="preserve">TC3       </t>
  </si>
  <si>
    <t xml:space="preserve">TC4           </t>
  </si>
  <si>
    <t xml:space="preserve">TC5 </t>
  </si>
  <si>
    <t xml:space="preserve">TC6     </t>
  </si>
  <si>
    <t xml:space="preserve">TC7        </t>
  </si>
  <si>
    <t xml:space="preserve">TC8         </t>
  </si>
  <si>
    <t xml:space="preserve">TC9           </t>
  </si>
  <si>
    <t xml:space="preserve">TC10               </t>
  </si>
  <si>
    <t>Appareil</t>
  </si>
  <si>
    <t>Nom=</t>
  </si>
  <si>
    <t>6100 PORTABLE</t>
  </si>
  <si>
    <t>Numéro de série=</t>
  </si>
  <si>
    <t>Version de logiciel=</t>
  </si>
  <si>
    <t>5.7</t>
  </si>
  <si>
    <t>Adresse MAC=</t>
  </si>
  <si>
    <t>00:0A:8D:81:66:7D</t>
  </si>
  <si>
    <t>Langue=</t>
  </si>
  <si>
    <t>fr</t>
  </si>
  <si>
    <t>Pays=</t>
  </si>
  <si>
    <t>FR</t>
  </si>
  <si>
    <t>Fuseau horaire=</t>
  </si>
  <si>
    <t>GMT</t>
  </si>
  <si>
    <t>Groupe</t>
  </si>
  <si>
    <t>Group 1</t>
  </si>
  <si>
    <t>TC1</t>
  </si>
  <si>
    <t>Bas=</t>
  </si>
  <si>
    <t>Haut=</t>
  </si>
  <si>
    <t>Unités=</t>
  </si>
  <si>
    <t>°C</t>
  </si>
  <si>
    <t>TC2</t>
  </si>
  <si>
    <t>TC3</t>
  </si>
  <si>
    <t>TC4</t>
  </si>
  <si>
    <t>TC5</t>
  </si>
  <si>
    <t>TC6</t>
  </si>
  <si>
    <t>TC7</t>
  </si>
  <si>
    <t>TC8</t>
  </si>
  <si>
    <t>TC9</t>
  </si>
  <si>
    <t>TC10</t>
  </si>
  <si>
    <t>TC13</t>
  </si>
  <si>
    <t>TC14</t>
  </si>
  <si>
    <t>TC15</t>
  </si>
  <si>
    <t>DEPASSEMENT</t>
  </si>
  <si>
    <t>MAX 30</t>
  </si>
  <si>
    <t>MIN 30</t>
  </si>
  <si>
    <t>MOYENNE 30</t>
  </si>
  <si>
    <t>AMPLITUDE</t>
  </si>
  <si>
    <t>HOMOGENEITE</t>
  </si>
  <si>
    <t>MOY</t>
  </si>
  <si>
    <t>Décalage Enreg.</t>
  </si>
  <si>
    <t>Tolérance haute</t>
  </si>
  <si>
    <t>Tolérance basse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</si>
</sst>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22" fontId="0" fillId="0" borderId="0" xfId="0" applyNumberFormat="1"/>
    <xf numFmtId="0" fontId="0" fillId="3" borderId="2" xfId="0" applyFill="1" applyBorder="1"/>
    <xf numFmtId="0" fontId="0" fillId="3" borderId="1" xfId="0" applyFill="1" applyBorder="1"/>
    <xf numFmtId="0" fontId="0" fillId="3" borderId="3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3" borderId="4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0" fillId="2" borderId="2" xfId="0" applyFill="1" applyBorder="1"/>
    <xf numFmtId="0" fontId="0" fillId="2" borderId="1" xfId="0" applyFill="1" applyBorder="1"/>
    <xf numFmtId="0" fontId="0" fillId="0" borderId="1" xfId="0" applyBorder="1"/>
    <xf numFmtId="22" fontId="0" fillId="5" borderId="0" xfId="0" applyNumberFormat="1" applyFill="1"/>
    <xf numFmtId="22" fontId="0" fillId="0" borderId="0" xfId="0" applyNumberFormat="1" applyFill="1"/>
    <xf numFmtId="0" fontId="0" fillId="0" borderId="0" xfId="0" applyFill="1"/>
    <xf numFmtId="0" fontId="0" fillId="5" borderId="0" xfId="0" applyFill="1"/>
    <xf numFmtId="0" fontId="0" fillId="0" borderId="0" xfId="0" applyAlignment="1">
      <alignment horizontal="right"/>
    </xf>
    <xf numFmtId="0" fontId="0" fillId="0" borderId="1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99060</xdr:colOff>
          <xdr:row>1</xdr:row>
          <xdr:rowOff>0</xdr:rowOff>
        </xdr:from>
        <xdr:to>
          <xdr:col>8</xdr:col>
          <xdr:colOff>594360</xdr:colOff>
          <xdr:row>5</xdr:row>
          <xdr:rowOff>121920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Lancer la TUS</a:t>
              </a: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563879</xdr:colOff>
      <xdr:row>8</xdr:row>
      <xdr:rowOff>15240</xdr:rowOff>
    </xdr:from>
    <xdr:ext cx="6151245" cy="3625495"/>
    <xdr:pic>
      <xdr:nvPicPr>
        <xdr:cNvPr id="1072" name="Image 1071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8929" y="1463040"/>
          <a:ext cx="6151245" cy="3625495"/>
        </a:xfrm>
        <a:prstGeom prst="rect">
          <a:avLst/>
        </a:prstGeom>
      </xdr:spPr>
    </xdr:pic>
    <xdr:clientData/>
  </xdr:oneCellAnchor>
  <xdr:twoCellAnchor>
    <xdr:from>
      <xdr:col>7</xdr:col>
      <xdr:colOff>419098</xdr:colOff>
      <xdr:row>10</xdr:row>
      <xdr:rowOff>133350</xdr:rowOff>
    </xdr:from>
    <xdr:to>
      <xdr:col>8</xdr:col>
      <xdr:colOff>314324</xdr:colOff>
      <xdr:row>12</xdr:row>
      <xdr:rowOff>104775</xdr:rowOff>
    </xdr:to>
    <xdr:sp macro="" textlink="$C$11">
      <xdr:nvSpPr>
        <xdr:cNvPr id="1073" name="Ellipse 1072">
          <a:extLst>
            <a:ext uri="{FF2B5EF4-FFF2-40B4-BE49-F238E27FC236}">
              <a16:creationId xmlns:a16="http://schemas.microsoft.com/office/drawing/2014/main" id="{00000000-0008-0000-0000-000031040000}"/>
            </a:ext>
          </a:extLst>
        </xdr:cNvPr>
        <xdr:cNvSpPr/>
      </xdr:nvSpPr>
      <xdr:spPr>
        <a:xfrm>
          <a:off x="7324723" y="1962150"/>
          <a:ext cx="685801" cy="333375"/>
        </a:xfrm>
        <a:prstGeom prst="ellipse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FC041A08-89F6-45AB-A613-77FFFEF848FE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N°16</a:t>
          </a:fld>
          <a:endParaRPr lang="fr-FR" sz="1100"/>
        </a:p>
      </xdr:txBody>
    </xdr:sp>
    <xdr:clientData/>
  </xdr:twoCellAnchor>
  <xdr:twoCellAnchor>
    <xdr:from>
      <xdr:col>7</xdr:col>
      <xdr:colOff>529591</xdr:colOff>
      <xdr:row>8</xdr:row>
      <xdr:rowOff>160019</xdr:rowOff>
    </xdr:from>
    <xdr:to>
      <xdr:col>8</xdr:col>
      <xdr:colOff>87631</xdr:colOff>
      <xdr:row>10</xdr:row>
      <xdr:rowOff>133349</xdr:rowOff>
    </xdr:to>
    <xdr:sp macro="" textlink="$B$11">
      <xdr:nvSpPr>
        <xdr:cNvPr id="1074" name="Ellipse 1073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SpPr/>
      </xdr:nvSpPr>
      <xdr:spPr>
        <a:xfrm>
          <a:off x="7435216" y="1607819"/>
          <a:ext cx="348615" cy="354330"/>
        </a:xfrm>
        <a:prstGeom prst="ellipse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8971D79C-0B4D-4E22-855C-22F7EF25EC30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3</a:t>
          </a:fld>
          <a:endParaRPr lang="fr-FR" sz="1100"/>
        </a:p>
      </xdr:txBody>
    </xdr:sp>
    <xdr:clientData/>
  </xdr:twoCellAnchor>
  <xdr:twoCellAnchor>
    <xdr:from>
      <xdr:col>11</xdr:col>
      <xdr:colOff>72390</xdr:colOff>
      <xdr:row>4</xdr:row>
      <xdr:rowOff>133350</xdr:rowOff>
    </xdr:from>
    <xdr:to>
      <xdr:col>11</xdr:col>
      <xdr:colOff>434341</xdr:colOff>
      <xdr:row>6</xdr:row>
      <xdr:rowOff>112395</xdr:rowOff>
    </xdr:to>
    <xdr:sp macro="" textlink="$B$16">
      <xdr:nvSpPr>
        <xdr:cNvPr id="1075" name="Ellipse 1074">
          <a:extLst>
            <a:ext uri="{FF2B5EF4-FFF2-40B4-BE49-F238E27FC236}">
              <a16:creationId xmlns:a16="http://schemas.microsoft.com/office/drawing/2014/main" id="{00000000-0008-0000-0000-000033040000}"/>
            </a:ext>
          </a:extLst>
        </xdr:cNvPr>
        <xdr:cNvSpPr/>
      </xdr:nvSpPr>
      <xdr:spPr>
        <a:xfrm>
          <a:off x="10140315" y="857250"/>
          <a:ext cx="361951" cy="340995"/>
        </a:xfrm>
        <a:prstGeom prst="ellipse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E3AE9A54-B186-4FA5-AC04-7683612238E7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2</a:t>
          </a:fld>
          <a:endParaRPr lang="fr-FR" sz="1100"/>
        </a:p>
      </xdr:txBody>
    </xdr:sp>
    <xdr:clientData/>
  </xdr:twoCellAnchor>
  <xdr:twoCellAnchor>
    <xdr:from>
      <xdr:col>12</xdr:col>
      <xdr:colOff>712469</xdr:colOff>
      <xdr:row>8</xdr:row>
      <xdr:rowOff>15240</xdr:rowOff>
    </xdr:from>
    <xdr:to>
      <xdr:col>13</xdr:col>
      <xdr:colOff>628649</xdr:colOff>
      <xdr:row>9</xdr:row>
      <xdr:rowOff>104775</xdr:rowOff>
    </xdr:to>
    <xdr:sp macro="" textlink="$C$17">
      <xdr:nvSpPr>
        <xdr:cNvPr id="1077" name="Ellipse 1076">
          <a:extLst>
            <a:ext uri="{FF2B5EF4-FFF2-40B4-BE49-F238E27FC236}">
              <a16:creationId xmlns:a16="http://schemas.microsoft.com/office/drawing/2014/main" id="{00000000-0008-0000-0000-000035040000}"/>
            </a:ext>
          </a:extLst>
        </xdr:cNvPr>
        <xdr:cNvSpPr/>
      </xdr:nvSpPr>
      <xdr:spPr>
        <a:xfrm>
          <a:off x="11570969" y="1463040"/>
          <a:ext cx="706755" cy="280035"/>
        </a:xfrm>
        <a:prstGeom prst="ellipse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46562F2C-AEF7-417C-A2D8-D7FF11796C04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N°18</a:t>
          </a:fld>
          <a:endParaRPr lang="fr-FR" sz="1100"/>
        </a:p>
      </xdr:txBody>
    </xdr:sp>
    <xdr:clientData/>
  </xdr:twoCellAnchor>
  <xdr:twoCellAnchor>
    <xdr:from>
      <xdr:col>12</xdr:col>
      <xdr:colOff>744854</xdr:colOff>
      <xdr:row>18</xdr:row>
      <xdr:rowOff>76200</xdr:rowOff>
    </xdr:from>
    <xdr:to>
      <xdr:col>13</xdr:col>
      <xdr:colOff>619124</xdr:colOff>
      <xdr:row>19</xdr:row>
      <xdr:rowOff>171450</xdr:rowOff>
    </xdr:to>
    <xdr:sp macro="" textlink="$C$18">
      <xdr:nvSpPr>
        <xdr:cNvPr id="1078" name="Ellipse 1077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SpPr/>
      </xdr:nvSpPr>
      <xdr:spPr>
        <a:xfrm>
          <a:off x="11603354" y="3352800"/>
          <a:ext cx="664845" cy="276225"/>
        </a:xfrm>
        <a:prstGeom prst="ellipse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81BCF691-2FDC-42C8-B4F8-97947DD937C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N°19</a:t>
          </a:fld>
          <a:endParaRPr lang="fr-FR" sz="1100"/>
        </a:p>
      </xdr:txBody>
    </xdr:sp>
    <xdr:clientData/>
  </xdr:twoCellAnchor>
  <xdr:twoCellAnchor>
    <xdr:from>
      <xdr:col>9</xdr:col>
      <xdr:colOff>190500</xdr:colOff>
      <xdr:row>11</xdr:row>
      <xdr:rowOff>171450</xdr:rowOff>
    </xdr:from>
    <xdr:to>
      <xdr:col>10</xdr:col>
      <xdr:colOff>76201</xdr:colOff>
      <xdr:row>13</xdr:row>
      <xdr:rowOff>95250</xdr:rowOff>
    </xdr:to>
    <xdr:sp macro="" textlink="$C$12">
      <xdr:nvSpPr>
        <xdr:cNvPr id="1079" name="Ellipse 1078">
          <a:extLst>
            <a:ext uri="{FF2B5EF4-FFF2-40B4-BE49-F238E27FC236}">
              <a16:creationId xmlns:a16="http://schemas.microsoft.com/office/drawing/2014/main" id="{00000000-0008-0000-0000-000037040000}"/>
            </a:ext>
          </a:extLst>
        </xdr:cNvPr>
        <xdr:cNvSpPr/>
      </xdr:nvSpPr>
      <xdr:spPr>
        <a:xfrm>
          <a:off x="8677275" y="2181225"/>
          <a:ext cx="676276" cy="285750"/>
        </a:xfrm>
        <a:prstGeom prst="ellipse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95929FA9-3939-4804-8B10-8678EFE7ABD4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N°13</a:t>
          </a:fld>
          <a:endParaRPr lang="fr-FR" sz="1100"/>
        </a:p>
      </xdr:txBody>
    </xdr:sp>
    <xdr:clientData/>
  </xdr:twoCellAnchor>
  <xdr:twoCellAnchor>
    <xdr:from>
      <xdr:col>11</xdr:col>
      <xdr:colOff>129540</xdr:colOff>
      <xdr:row>17</xdr:row>
      <xdr:rowOff>87630</xdr:rowOff>
    </xdr:from>
    <xdr:to>
      <xdr:col>12</xdr:col>
      <xdr:colOff>19050</xdr:colOff>
      <xdr:row>19</xdr:row>
      <xdr:rowOff>1905</xdr:rowOff>
    </xdr:to>
    <xdr:sp macro="" textlink="$C$19">
      <xdr:nvSpPr>
        <xdr:cNvPr id="1080" name="Ellipse 1079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SpPr/>
      </xdr:nvSpPr>
      <xdr:spPr>
        <a:xfrm>
          <a:off x="10197465" y="3183255"/>
          <a:ext cx="680085" cy="276225"/>
        </a:xfrm>
        <a:prstGeom prst="ellipse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70877215-4F11-4B64-BC91-82632AE8561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N°20</a:t>
          </a:fld>
          <a:endParaRPr lang="fr-FR" sz="1100"/>
        </a:p>
      </xdr:txBody>
    </xdr:sp>
    <xdr:clientData/>
  </xdr:twoCellAnchor>
  <xdr:twoCellAnchor>
    <xdr:from>
      <xdr:col>10</xdr:col>
      <xdr:colOff>47625</xdr:colOff>
      <xdr:row>19</xdr:row>
      <xdr:rowOff>140970</xdr:rowOff>
    </xdr:from>
    <xdr:to>
      <xdr:col>10</xdr:col>
      <xdr:colOff>702945</xdr:colOff>
      <xdr:row>21</xdr:row>
      <xdr:rowOff>68580</xdr:rowOff>
    </xdr:to>
    <xdr:sp macro="" textlink="$C$15">
      <xdr:nvSpPr>
        <xdr:cNvPr id="1081" name="Ellipse 1080">
          <a:extLst>
            <a:ext uri="{FF2B5EF4-FFF2-40B4-BE49-F238E27FC236}">
              <a16:creationId xmlns:a16="http://schemas.microsoft.com/office/drawing/2014/main" id="{00000000-0008-0000-0000-000039040000}"/>
            </a:ext>
          </a:extLst>
        </xdr:cNvPr>
        <xdr:cNvSpPr/>
      </xdr:nvSpPr>
      <xdr:spPr>
        <a:xfrm>
          <a:off x="9324975" y="3598545"/>
          <a:ext cx="655320" cy="289560"/>
        </a:xfrm>
        <a:prstGeom prst="ellipse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AAE6F237-3ACF-4FF2-B0AF-5814ADF4983E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N°16</a:t>
          </a:fld>
          <a:endParaRPr lang="fr-FR" sz="1100"/>
        </a:p>
      </xdr:txBody>
    </xdr:sp>
    <xdr:clientData/>
  </xdr:twoCellAnchor>
  <xdr:twoCellAnchor>
    <xdr:from>
      <xdr:col>9</xdr:col>
      <xdr:colOff>228599</xdr:colOff>
      <xdr:row>22</xdr:row>
      <xdr:rowOff>91440</xdr:rowOff>
    </xdr:from>
    <xdr:to>
      <xdr:col>10</xdr:col>
      <xdr:colOff>114299</xdr:colOff>
      <xdr:row>24</xdr:row>
      <xdr:rowOff>15240</xdr:rowOff>
    </xdr:to>
    <xdr:sp macro="" textlink="$C$13">
      <xdr:nvSpPr>
        <xdr:cNvPr id="1082" name="Ellipse 1081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SpPr/>
      </xdr:nvSpPr>
      <xdr:spPr>
        <a:xfrm>
          <a:off x="8715374" y="4101465"/>
          <a:ext cx="676275" cy="285750"/>
        </a:xfrm>
        <a:prstGeom prst="ellipse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12CD916B-8CF0-418B-9ECD-DD4F1ECF021B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N°14</a:t>
          </a:fld>
          <a:endParaRPr lang="fr-FR" sz="1100"/>
        </a:p>
      </xdr:txBody>
    </xdr:sp>
    <xdr:clientData/>
  </xdr:twoCellAnchor>
  <xdr:twoCellAnchor>
    <xdr:from>
      <xdr:col>7</xdr:col>
      <xdr:colOff>323850</xdr:colOff>
      <xdr:row>21</xdr:row>
      <xdr:rowOff>169545</xdr:rowOff>
    </xdr:from>
    <xdr:to>
      <xdr:col>8</xdr:col>
      <xdr:colOff>209550</xdr:colOff>
      <xdr:row>23</xdr:row>
      <xdr:rowOff>76200</xdr:rowOff>
    </xdr:to>
    <xdr:sp macro="" textlink="$C$14">
      <xdr:nvSpPr>
        <xdr:cNvPr id="1083" name="Ellipse 1082">
          <a:extLst>
            <a:ext uri="{FF2B5EF4-FFF2-40B4-BE49-F238E27FC236}">
              <a16:creationId xmlns:a16="http://schemas.microsoft.com/office/drawing/2014/main" id="{00000000-0008-0000-0000-00003B040000}"/>
            </a:ext>
          </a:extLst>
        </xdr:cNvPr>
        <xdr:cNvSpPr/>
      </xdr:nvSpPr>
      <xdr:spPr>
        <a:xfrm>
          <a:off x="7229475" y="3989070"/>
          <a:ext cx="676275" cy="278130"/>
        </a:xfrm>
        <a:prstGeom prst="ellipse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970F95C3-96D1-42A3-948E-F9C2697CA5E9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N°15</a:t>
          </a:fld>
          <a:endParaRPr lang="fr-FR" sz="1100"/>
        </a:p>
      </xdr:txBody>
    </xdr:sp>
    <xdr:clientData/>
  </xdr:twoCellAnchor>
  <xdr:twoCellAnchor>
    <xdr:from>
      <xdr:col>10</xdr:col>
      <xdr:colOff>723900</xdr:colOff>
      <xdr:row>6</xdr:row>
      <xdr:rowOff>116205</xdr:rowOff>
    </xdr:from>
    <xdr:to>
      <xdr:col>11</xdr:col>
      <xdr:colOff>638175</xdr:colOff>
      <xdr:row>8</xdr:row>
      <xdr:rowOff>26670</xdr:rowOff>
    </xdr:to>
    <xdr:sp macro="" textlink="$C$16">
      <xdr:nvSpPr>
        <xdr:cNvPr id="1084" name="Ellipse 1083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SpPr/>
      </xdr:nvSpPr>
      <xdr:spPr>
        <a:xfrm>
          <a:off x="10001250" y="1202055"/>
          <a:ext cx="704850" cy="272415"/>
        </a:xfrm>
        <a:prstGeom prst="ellipse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C746D793-3237-4E72-9388-D55989ADB6BE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N°17</a:t>
          </a:fld>
          <a:endParaRPr lang="fr-FR" sz="1100"/>
        </a:p>
      </xdr:txBody>
    </xdr:sp>
    <xdr:clientData/>
  </xdr:twoCellAnchor>
  <xdr:twoCellAnchor>
    <xdr:from>
      <xdr:col>13</xdr:col>
      <xdr:colOff>49530</xdr:colOff>
      <xdr:row>6</xdr:row>
      <xdr:rowOff>45720</xdr:rowOff>
    </xdr:from>
    <xdr:to>
      <xdr:col>13</xdr:col>
      <xdr:colOff>434340</xdr:colOff>
      <xdr:row>8</xdr:row>
      <xdr:rowOff>30480</xdr:rowOff>
    </xdr:to>
    <xdr:sp macro="" textlink="$B$17">
      <xdr:nvSpPr>
        <xdr:cNvPr id="1085" name="Ellipse 1084">
          <a:extLst>
            <a:ext uri="{FF2B5EF4-FFF2-40B4-BE49-F238E27FC236}">
              <a16:creationId xmlns:a16="http://schemas.microsoft.com/office/drawing/2014/main" id="{00000000-0008-0000-0000-00003D040000}"/>
            </a:ext>
          </a:extLst>
        </xdr:cNvPr>
        <xdr:cNvSpPr/>
      </xdr:nvSpPr>
      <xdr:spPr>
        <a:xfrm>
          <a:off x="11698605" y="1131570"/>
          <a:ext cx="384810" cy="346710"/>
        </a:xfrm>
        <a:prstGeom prst="ellipse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380FB510-4F48-449C-93F0-6BB29BAFEDD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4</a:t>
          </a:fld>
          <a:endParaRPr lang="fr-FR" sz="1100"/>
        </a:p>
      </xdr:txBody>
    </xdr:sp>
    <xdr:clientData/>
  </xdr:twoCellAnchor>
  <xdr:twoCellAnchor>
    <xdr:from>
      <xdr:col>13</xdr:col>
      <xdr:colOff>97155</xdr:colOff>
      <xdr:row>16</xdr:row>
      <xdr:rowOff>87630</xdr:rowOff>
    </xdr:from>
    <xdr:to>
      <xdr:col>13</xdr:col>
      <xdr:colOff>476250</xdr:colOff>
      <xdr:row>18</xdr:row>
      <xdr:rowOff>64770</xdr:rowOff>
    </xdr:to>
    <xdr:sp macro="" textlink="$B$18">
      <xdr:nvSpPr>
        <xdr:cNvPr id="1086" name="Ellipse 1085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SpPr/>
      </xdr:nvSpPr>
      <xdr:spPr>
        <a:xfrm>
          <a:off x="11746230" y="3002280"/>
          <a:ext cx="379095" cy="339090"/>
        </a:xfrm>
        <a:prstGeom prst="ellipse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9779E08B-6E72-4FD6-9E73-6664BD577ED1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9</a:t>
          </a:fld>
          <a:endParaRPr lang="fr-FR" sz="1100"/>
        </a:p>
      </xdr:txBody>
    </xdr:sp>
    <xdr:clientData/>
  </xdr:twoCellAnchor>
  <xdr:twoCellAnchor>
    <xdr:from>
      <xdr:col>11</xdr:col>
      <xdr:colOff>257175</xdr:colOff>
      <xdr:row>15</xdr:row>
      <xdr:rowOff>91440</xdr:rowOff>
    </xdr:from>
    <xdr:to>
      <xdr:col>11</xdr:col>
      <xdr:colOff>607695</xdr:colOff>
      <xdr:row>17</xdr:row>
      <xdr:rowOff>81915</xdr:rowOff>
    </xdr:to>
    <xdr:sp macro="" textlink="$B$19">
      <xdr:nvSpPr>
        <xdr:cNvPr id="1087" name="Ellipse 1086">
          <a:extLst>
            <a:ext uri="{FF2B5EF4-FFF2-40B4-BE49-F238E27FC236}">
              <a16:creationId xmlns:a16="http://schemas.microsoft.com/office/drawing/2014/main" id="{00000000-0008-0000-0000-00003F040000}"/>
            </a:ext>
          </a:extLst>
        </xdr:cNvPr>
        <xdr:cNvSpPr/>
      </xdr:nvSpPr>
      <xdr:spPr>
        <a:xfrm>
          <a:off x="10325100" y="2825115"/>
          <a:ext cx="350520" cy="352425"/>
        </a:xfrm>
        <a:prstGeom prst="ellipse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7050F214-1CE8-4634-B755-DF5CBC25DAF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7</a:t>
          </a:fld>
          <a:endParaRPr lang="fr-FR" sz="1100"/>
        </a:p>
      </xdr:txBody>
    </xdr:sp>
    <xdr:clientData/>
  </xdr:twoCellAnchor>
  <xdr:twoCellAnchor>
    <xdr:from>
      <xdr:col>10</xdr:col>
      <xdr:colOff>169545</xdr:colOff>
      <xdr:row>17</xdr:row>
      <xdr:rowOff>160020</xdr:rowOff>
    </xdr:from>
    <xdr:to>
      <xdr:col>10</xdr:col>
      <xdr:colOff>539115</xdr:colOff>
      <xdr:row>19</xdr:row>
      <xdr:rowOff>133350</xdr:rowOff>
    </xdr:to>
    <xdr:sp macro="" textlink="$B$15">
      <xdr:nvSpPr>
        <xdr:cNvPr id="1088" name="Ellipse 1087">
          <a:extLst>
            <a:ext uri="{FF2B5EF4-FFF2-40B4-BE49-F238E27FC236}">
              <a16:creationId xmlns:a16="http://schemas.microsoft.com/office/drawing/2014/main" id="{00000000-0008-0000-0000-000040040000}"/>
            </a:ext>
          </a:extLst>
        </xdr:cNvPr>
        <xdr:cNvSpPr/>
      </xdr:nvSpPr>
      <xdr:spPr>
        <a:xfrm>
          <a:off x="9446895" y="3255645"/>
          <a:ext cx="369570" cy="335280"/>
        </a:xfrm>
        <a:prstGeom prst="ellipse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2A4611A8-B673-472B-B7DE-2441A5C5973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1</a:t>
          </a:fld>
          <a:endParaRPr lang="fr-FR" sz="1100"/>
        </a:p>
      </xdr:txBody>
    </xdr:sp>
    <xdr:clientData/>
  </xdr:twoCellAnchor>
  <xdr:twoCellAnchor>
    <xdr:from>
      <xdr:col>9</xdr:col>
      <xdr:colOff>348615</xdr:colOff>
      <xdr:row>20</xdr:row>
      <xdr:rowOff>120015</xdr:rowOff>
    </xdr:from>
    <xdr:to>
      <xdr:col>9</xdr:col>
      <xdr:colOff>716280</xdr:colOff>
      <xdr:row>22</xdr:row>
      <xdr:rowOff>87630</xdr:rowOff>
    </xdr:to>
    <xdr:sp macro="" textlink="$B$13">
      <xdr:nvSpPr>
        <xdr:cNvPr id="1089" name="Ellipse 1088">
          <a:extLst>
            <a:ext uri="{FF2B5EF4-FFF2-40B4-BE49-F238E27FC236}">
              <a16:creationId xmlns:a16="http://schemas.microsoft.com/office/drawing/2014/main" id="{00000000-0008-0000-0000-000041040000}"/>
            </a:ext>
          </a:extLst>
        </xdr:cNvPr>
        <xdr:cNvSpPr/>
      </xdr:nvSpPr>
      <xdr:spPr>
        <a:xfrm>
          <a:off x="8835390" y="3758565"/>
          <a:ext cx="367665" cy="339090"/>
        </a:xfrm>
        <a:prstGeom prst="ellipse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47422452-B473-4942-B7DD-3D2763C6320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6</a:t>
          </a:fld>
          <a:endParaRPr lang="fr-FR" sz="1100"/>
        </a:p>
      </xdr:txBody>
    </xdr:sp>
    <xdr:clientData/>
  </xdr:twoCellAnchor>
  <xdr:twoCellAnchor>
    <xdr:from>
      <xdr:col>7</xdr:col>
      <xdr:colOff>457200</xdr:colOff>
      <xdr:row>20</xdr:row>
      <xdr:rowOff>0</xdr:rowOff>
    </xdr:from>
    <xdr:to>
      <xdr:col>8</xdr:col>
      <xdr:colOff>47625</xdr:colOff>
      <xdr:row>21</xdr:row>
      <xdr:rowOff>167640</xdr:rowOff>
    </xdr:to>
    <xdr:sp macro="" textlink="$B$14">
      <xdr:nvSpPr>
        <xdr:cNvPr id="1090" name="Ellipse 1089">
          <a:extLst>
            <a:ext uri="{FF2B5EF4-FFF2-40B4-BE49-F238E27FC236}">
              <a16:creationId xmlns:a16="http://schemas.microsoft.com/office/drawing/2014/main" id="{00000000-0008-0000-0000-000042040000}"/>
            </a:ext>
          </a:extLst>
        </xdr:cNvPr>
        <xdr:cNvSpPr/>
      </xdr:nvSpPr>
      <xdr:spPr>
        <a:xfrm>
          <a:off x="7362825" y="3638550"/>
          <a:ext cx="381000" cy="348615"/>
        </a:xfrm>
        <a:prstGeom prst="ellipse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729468F3-E3BB-43C9-9FB2-317E1CE1FAD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8</a:t>
          </a:fld>
          <a:endParaRPr lang="fr-FR" sz="1100"/>
        </a:p>
      </xdr:txBody>
    </xdr:sp>
    <xdr:clientData/>
  </xdr:twoCellAnchor>
  <xdr:twoCellAnchor>
    <xdr:from>
      <xdr:col>9</xdr:col>
      <xdr:colOff>310515</xdr:colOff>
      <xdr:row>10</xdr:row>
      <xdr:rowOff>0</xdr:rowOff>
    </xdr:from>
    <xdr:to>
      <xdr:col>9</xdr:col>
      <xdr:colOff>664845</xdr:colOff>
      <xdr:row>11</xdr:row>
      <xdr:rowOff>167640</xdr:rowOff>
    </xdr:to>
    <xdr:sp macro="" textlink="$B$12">
      <xdr:nvSpPr>
        <xdr:cNvPr id="1091" name="Ellipse 1090">
          <a:extLst>
            <a:ext uri="{FF2B5EF4-FFF2-40B4-BE49-F238E27FC236}">
              <a16:creationId xmlns:a16="http://schemas.microsoft.com/office/drawing/2014/main" id="{00000000-0008-0000-0000-000043040000}"/>
            </a:ext>
          </a:extLst>
        </xdr:cNvPr>
        <xdr:cNvSpPr/>
      </xdr:nvSpPr>
      <xdr:spPr>
        <a:xfrm>
          <a:off x="8797290" y="1828800"/>
          <a:ext cx="354330" cy="348615"/>
        </a:xfrm>
        <a:prstGeom prst="ellipse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69FCCCDF-E4BF-4B98-A305-F706084A143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5</a:t>
          </a:fld>
          <a:endParaRPr lang="fr-F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315E69-8D0B-4AE0-AE58-5C6D560EABC1}" name="Valeurs_Corrigées" displayName="Valeurs_Corrigées" ref="A1:M40" totalsRowShown="0">
  <autoFilter ref="A1:M40" xr:uid="{33315E69-8D0B-4AE0-AE58-5C6D560EABC1}"/>
  <tableColumns count="13">
    <tableColumn id="1" xr3:uid="{9C602B99-10D0-494F-861F-5F4E2E2DB6AA}" name="Date/Heure"/>
    <tableColumn id="2" xr3:uid="{3BF57CB0-1C5D-4AE3-985A-F5D7D64B411A}" name="TC1 "/>
    <tableColumn id="3" xr3:uid="{FB70DEF5-1262-42C5-A9F7-78FF6037131A}" name="TC2    "/>
    <tableColumn id="4" xr3:uid="{C2478662-C188-43B8-8F3C-15BD4E7CEC25}" name="TC3       "/>
    <tableColumn id="5" xr3:uid="{3A678CC4-7E1C-4695-BD7A-84198274B130}" name="TC4           "/>
    <tableColumn id="6" xr3:uid="{E9C9272C-76DD-4C3E-924D-CFD12D40B3EE}" name="TC5 "/>
    <tableColumn id="7" xr3:uid="{56B810A6-9EFE-4A5A-8585-43374E2C0C09}" name="TC6     "/>
    <tableColumn id="8" xr3:uid="{12A45B99-B68F-4836-B522-86208FB65B4C}" name="TC7        "/>
    <tableColumn id="9" xr3:uid="{64F8012F-5F95-4865-BFBB-BA7FDBCC46A6}" name="TC8         "/>
    <tableColumn id="10" xr3:uid="{C15133D9-3A71-48E0-BAF1-24C06C984193}" name="TC9           "/>
    <tableColumn id="11" xr3:uid="{CC4B189E-78CC-48A7-BEB6-2903BBE903EA}" name="TC10               "/>
    <tableColumn id="12" xr3:uid="{AB94625D-3E29-47F0-A1E9-07A21D51E8C7}" name="TC11"/>
    <tableColumn id="13" xr3:uid="{50F81F8F-A022-4F4B-951C-24B9C6FFC503}" name="TC12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E7209-65DF-4768-8AD9-C2E7ED73A485}">
  <sheetPr codeName="Feuil1"/>
  <dimension ref="A7:E22"/>
  <sheetViews>
    <sheetView workbookViewId="0">
      <selection activeCell="O6" sqref="O6"/>
    </sheetView>
  </sheetViews>
  <sheetFormatPr baseColWidth="10" defaultRowHeight="14.4" x14ac:dyDescent="0.3"/>
  <cols>
    <col min="1" max="1" width="13.6640625" customWidth="1"/>
    <col min="2" max="2" width="14.33203125" bestFit="1" customWidth="1"/>
    <col min="3" max="3" width="18.33203125" bestFit="1" customWidth="1"/>
    <col min="4" max="4" width="19.88671875" bestFit="1" customWidth="1"/>
  </cols>
  <sheetData>
    <row r="7" spans="1:5" x14ac:dyDescent="0.3">
      <c r="A7" t="s">
        <v>16</v>
      </c>
      <c r="B7" s="3">
        <v>-30</v>
      </c>
    </row>
    <row r="8" spans="1:5" x14ac:dyDescent="0.3">
      <c r="A8" t="s">
        <v>29</v>
      </c>
      <c r="B8" s="3">
        <v>5</v>
      </c>
    </row>
    <row r="9" spans="1:5" ht="15" thickBot="1" x14ac:dyDescent="0.35"/>
    <row r="10" spans="1:5" ht="15" thickBot="1" x14ac:dyDescent="0.35">
      <c r="A10" s="9" t="s">
        <v>2</v>
      </c>
      <c r="B10" s="10" t="s">
        <v>1</v>
      </c>
      <c r="C10" s="10" t="s">
        <v>13</v>
      </c>
      <c r="D10" s="10" t="s">
        <v>14</v>
      </c>
      <c r="E10" s="11" t="s">
        <v>15</v>
      </c>
    </row>
    <row r="11" spans="1:5" x14ac:dyDescent="0.3">
      <c r="A11" s="7" t="s">
        <v>3</v>
      </c>
      <c r="B11" s="8">
        <v>3</v>
      </c>
      <c r="C11" s="2" t="s">
        <v>24</v>
      </c>
      <c r="D11" s="2">
        <v>-0.13</v>
      </c>
      <c r="E11" s="12">
        <v>-0.05</v>
      </c>
    </row>
    <row r="12" spans="1:5" x14ac:dyDescent="0.3">
      <c r="A12" s="5" t="s">
        <v>4</v>
      </c>
      <c r="B12" s="4">
        <v>5</v>
      </c>
      <c r="C12" s="3" t="s">
        <v>21</v>
      </c>
      <c r="D12" s="3">
        <v>-0.15</v>
      </c>
      <c r="E12" s="13">
        <f>E11-0.1</f>
        <v>-0.15000000000000002</v>
      </c>
    </row>
    <row r="13" spans="1:5" x14ac:dyDescent="0.3">
      <c r="A13" s="5" t="s">
        <v>5</v>
      </c>
      <c r="B13" s="4">
        <v>6</v>
      </c>
      <c r="C13" s="3" t="s">
        <v>22</v>
      </c>
      <c r="D13" s="3">
        <f>D12-0.3</f>
        <v>-0.44999999999999996</v>
      </c>
      <c r="E13" s="13">
        <f t="shared" ref="E13:E22" si="0">E12-0.1</f>
        <v>-0.25</v>
      </c>
    </row>
    <row r="14" spans="1:5" x14ac:dyDescent="0.3">
      <c r="A14" s="5" t="s">
        <v>6</v>
      </c>
      <c r="B14" s="4">
        <v>8</v>
      </c>
      <c r="C14" s="3" t="s">
        <v>23</v>
      </c>
      <c r="D14" s="3">
        <f t="shared" ref="D14:D22" si="1">D13-0.3</f>
        <v>-0.75</v>
      </c>
      <c r="E14" s="13">
        <f t="shared" si="0"/>
        <v>-0.35</v>
      </c>
    </row>
    <row r="15" spans="1:5" x14ac:dyDescent="0.3">
      <c r="A15" s="5" t="s">
        <v>7</v>
      </c>
      <c r="B15" s="4">
        <v>1</v>
      </c>
      <c r="C15" s="3" t="s">
        <v>24</v>
      </c>
      <c r="D15" s="3">
        <f>-0.3</f>
        <v>-0.3</v>
      </c>
      <c r="E15" s="13">
        <f t="shared" si="0"/>
        <v>-0.44999999999999996</v>
      </c>
    </row>
    <row r="16" spans="1:5" x14ac:dyDescent="0.3">
      <c r="A16" s="5" t="s">
        <v>8</v>
      </c>
      <c r="B16" s="4">
        <v>2</v>
      </c>
      <c r="C16" s="3" t="s">
        <v>25</v>
      </c>
      <c r="D16" s="3">
        <f>-0.3</f>
        <v>-0.3</v>
      </c>
      <c r="E16" s="13">
        <f t="shared" si="0"/>
        <v>-0.54999999999999993</v>
      </c>
    </row>
    <row r="17" spans="1:5" x14ac:dyDescent="0.3">
      <c r="A17" s="5" t="s">
        <v>9</v>
      </c>
      <c r="B17" s="4">
        <v>4</v>
      </c>
      <c r="C17" s="3" t="s">
        <v>26</v>
      </c>
      <c r="D17" s="3">
        <f t="shared" si="1"/>
        <v>-0.6</v>
      </c>
      <c r="E17" s="13">
        <f t="shared" si="0"/>
        <v>-0.64999999999999991</v>
      </c>
    </row>
    <row r="18" spans="1:5" x14ac:dyDescent="0.3">
      <c r="A18" s="5" t="s">
        <v>10</v>
      </c>
      <c r="B18" s="4">
        <v>9</v>
      </c>
      <c r="C18" s="3" t="s">
        <v>27</v>
      </c>
      <c r="D18" s="3">
        <f t="shared" si="1"/>
        <v>-0.89999999999999991</v>
      </c>
      <c r="E18" s="13">
        <f t="shared" si="0"/>
        <v>-0.74999999999999989</v>
      </c>
    </row>
    <row r="19" spans="1:5" x14ac:dyDescent="0.3">
      <c r="A19" s="5" t="s">
        <v>11</v>
      </c>
      <c r="B19" s="4">
        <v>7</v>
      </c>
      <c r="C19" s="3" t="s">
        <v>28</v>
      </c>
      <c r="D19" s="3">
        <f>-0.3</f>
        <v>-0.3</v>
      </c>
      <c r="E19" s="13">
        <f t="shared" si="0"/>
        <v>-0.84999999999999987</v>
      </c>
    </row>
    <row r="20" spans="1:5" x14ac:dyDescent="0.3">
      <c r="A20" s="5" t="s">
        <v>12</v>
      </c>
      <c r="B20" s="4">
        <v>10</v>
      </c>
      <c r="C20" s="3" t="s">
        <v>31</v>
      </c>
      <c r="D20" s="3">
        <f t="shared" ref="D20:D22" si="2">-0.3</f>
        <v>-0.3</v>
      </c>
      <c r="E20" s="13">
        <f t="shared" si="0"/>
        <v>-0.94999999999999984</v>
      </c>
    </row>
    <row r="21" spans="1:5" x14ac:dyDescent="0.3">
      <c r="A21" s="5" t="s">
        <v>30</v>
      </c>
      <c r="B21" s="4">
        <v>11</v>
      </c>
      <c r="C21" s="3" t="s">
        <v>20</v>
      </c>
      <c r="D21" s="3">
        <f t="shared" si="2"/>
        <v>-0.3</v>
      </c>
      <c r="E21" s="13">
        <f>-0.1</f>
        <v>-0.1</v>
      </c>
    </row>
    <row r="22" spans="1:5" ht="15" thickBot="1" x14ac:dyDescent="0.35">
      <c r="A22" s="6" t="s">
        <v>19</v>
      </c>
      <c r="B22" s="4">
        <v>12</v>
      </c>
      <c r="C22" s="3" t="s">
        <v>32</v>
      </c>
      <c r="D22" s="3">
        <f t="shared" si="2"/>
        <v>-0.3</v>
      </c>
      <c r="E22" s="13">
        <f>-0.1</f>
        <v>-0.1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Petit_Test">
                <anchor moveWithCells="1" sizeWithCells="1">
                  <from>
                    <xdr:col>4</xdr:col>
                    <xdr:colOff>99060</xdr:colOff>
                    <xdr:row>1</xdr:row>
                    <xdr:rowOff>0</xdr:rowOff>
                  </from>
                  <to>
                    <xdr:col>8</xdr:col>
                    <xdr:colOff>594360</xdr:colOff>
                    <xdr:row>5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75D3A-D9CE-45F4-93BB-CACDF88D216C}">
  <sheetPr codeName="Feuil3"/>
  <dimension ref="A1:N20"/>
  <sheetViews>
    <sheetView workbookViewId="0">
      <selection activeCell="E22" sqref="E22"/>
    </sheetView>
  </sheetViews>
  <sheetFormatPr baseColWidth="10" defaultRowHeight="14.4" x14ac:dyDescent="0.3"/>
  <cols>
    <col min="1" max="1" width="13.109375" customWidth="1"/>
    <col min="2" max="2" width="6.77734375" bestFit="1" customWidth="1"/>
    <col min="3" max="3" width="8.109375" bestFit="1" customWidth="1"/>
    <col min="4" max="4" width="9.44140625" bestFit="1" customWidth="1"/>
    <col min="5" max="5" width="11.21875" bestFit="1" customWidth="1"/>
    <col min="6" max="6" width="6.77734375" bestFit="1" customWidth="1"/>
    <col min="7" max="7" width="8.5546875" bestFit="1" customWidth="1"/>
    <col min="8" max="8" width="9.88671875" bestFit="1" customWidth="1"/>
    <col min="9" max="9" width="10.33203125" bestFit="1" customWidth="1"/>
    <col min="10" max="10" width="11.21875" bestFit="1" customWidth="1"/>
    <col min="11" max="11" width="14" bestFit="1" customWidth="1"/>
  </cols>
  <sheetData>
    <row r="1" spans="1:12" x14ac:dyDescent="0.3">
      <c r="A1" t="s">
        <v>43</v>
      </c>
      <c r="B1" t="s">
        <v>44</v>
      </c>
      <c r="C1" t="s">
        <v>45</v>
      </c>
      <c r="E1" t="s">
        <v>46</v>
      </c>
      <c r="F1">
        <v>8480381</v>
      </c>
      <c r="H1" t="s">
        <v>47</v>
      </c>
      <c r="I1" t="s">
        <v>48</v>
      </c>
    </row>
    <row r="2" spans="1:12" x14ac:dyDescent="0.3">
      <c r="B2" t="s">
        <v>49</v>
      </c>
      <c r="C2" t="s">
        <v>50</v>
      </c>
      <c r="E2" t="s">
        <v>51</v>
      </c>
      <c r="F2" t="s">
        <v>52</v>
      </c>
      <c r="H2" t="s">
        <v>53</v>
      </c>
      <c r="I2" t="s">
        <v>54</v>
      </c>
      <c r="K2" t="s">
        <v>55</v>
      </c>
      <c r="L2" t="s">
        <v>56</v>
      </c>
    </row>
    <row r="3" spans="1:12" x14ac:dyDescent="0.3">
      <c r="A3" t="s">
        <v>57</v>
      </c>
      <c r="B3" t="s">
        <v>58</v>
      </c>
    </row>
    <row r="4" spans="1:12" x14ac:dyDescent="0.3">
      <c r="A4" t="s">
        <v>59</v>
      </c>
      <c r="B4" t="s">
        <v>60</v>
      </c>
      <c r="C4">
        <v>20</v>
      </c>
      <c r="D4" t="s">
        <v>61</v>
      </c>
      <c r="E4">
        <v>550</v>
      </c>
      <c r="F4" t="s">
        <v>62</v>
      </c>
      <c r="G4" t="s">
        <v>63</v>
      </c>
    </row>
    <row r="5" spans="1:12" x14ac:dyDescent="0.3">
      <c r="A5" t="s">
        <v>64</v>
      </c>
      <c r="B5" t="s">
        <v>60</v>
      </c>
      <c r="C5">
        <v>20</v>
      </c>
      <c r="D5" t="s">
        <v>61</v>
      </c>
      <c r="E5">
        <v>550</v>
      </c>
      <c r="F5" t="s">
        <v>62</v>
      </c>
      <c r="G5" t="s">
        <v>63</v>
      </c>
    </row>
    <row r="6" spans="1:12" x14ac:dyDescent="0.3">
      <c r="A6" t="s">
        <v>65</v>
      </c>
      <c r="B6" t="s">
        <v>60</v>
      </c>
      <c r="C6">
        <v>20</v>
      </c>
      <c r="D6" t="s">
        <v>61</v>
      </c>
      <c r="E6">
        <v>550</v>
      </c>
      <c r="F6" t="s">
        <v>62</v>
      </c>
      <c r="G6" t="s">
        <v>63</v>
      </c>
    </row>
    <row r="7" spans="1:12" x14ac:dyDescent="0.3">
      <c r="A7" t="s">
        <v>66</v>
      </c>
      <c r="B7" t="s">
        <v>60</v>
      </c>
      <c r="C7">
        <v>20</v>
      </c>
      <c r="D7" t="s">
        <v>61</v>
      </c>
      <c r="E7">
        <v>550</v>
      </c>
      <c r="F7" t="s">
        <v>62</v>
      </c>
      <c r="G7" t="s">
        <v>63</v>
      </c>
    </row>
    <row r="8" spans="1:12" x14ac:dyDescent="0.3">
      <c r="A8" t="s">
        <v>67</v>
      </c>
      <c r="B8" t="s">
        <v>60</v>
      </c>
      <c r="C8">
        <v>20</v>
      </c>
      <c r="D8" t="s">
        <v>61</v>
      </c>
      <c r="E8">
        <v>550</v>
      </c>
      <c r="F8" t="s">
        <v>62</v>
      </c>
      <c r="G8" t="s">
        <v>63</v>
      </c>
    </row>
    <row r="9" spans="1:12" x14ac:dyDescent="0.3">
      <c r="A9" t="s">
        <v>68</v>
      </c>
      <c r="B9" t="s">
        <v>60</v>
      </c>
      <c r="C9">
        <v>20</v>
      </c>
      <c r="D9" t="s">
        <v>61</v>
      </c>
      <c r="E9">
        <v>550</v>
      </c>
      <c r="F9" t="s">
        <v>62</v>
      </c>
      <c r="G9" t="s">
        <v>63</v>
      </c>
    </row>
    <row r="10" spans="1:12" x14ac:dyDescent="0.3">
      <c r="A10" t="s">
        <v>69</v>
      </c>
      <c r="B10" t="s">
        <v>60</v>
      </c>
      <c r="C10">
        <v>20</v>
      </c>
      <c r="D10" t="s">
        <v>61</v>
      </c>
      <c r="E10">
        <v>550</v>
      </c>
      <c r="F10" t="s">
        <v>62</v>
      </c>
      <c r="G10" t="s">
        <v>63</v>
      </c>
    </row>
    <row r="11" spans="1:12" x14ac:dyDescent="0.3">
      <c r="A11" t="s">
        <v>70</v>
      </c>
      <c r="B11" t="s">
        <v>60</v>
      </c>
      <c r="C11">
        <v>20</v>
      </c>
      <c r="D11" t="s">
        <v>61</v>
      </c>
      <c r="E11">
        <v>550</v>
      </c>
      <c r="F11" t="s">
        <v>62</v>
      </c>
      <c r="G11" t="s">
        <v>63</v>
      </c>
    </row>
    <row r="12" spans="1:12" x14ac:dyDescent="0.3">
      <c r="A12" t="s">
        <v>71</v>
      </c>
      <c r="B12" t="s">
        <v>60</v>
      </c>
      <c r="C12">
        <v>20</v>
      </c>
      <c r="D12" t="s">
        <v>61</v>
      </c>
      <c r="E12">
        <v>550</v>
      </c>
      <c r="F12" t="s">
        <v>62</v>
      </c>
      <c r="G12" t="s">
        <v>63</v>
      </c>
    </row>
    <row r="13" spans="1:12" x14ac:dyDescent="0.3">
      <c r="A13" t="s">
        <v>72</v>
      </c>
      <c r="B13" t="s">
        <v>60</v>
      </c>
      <c r="C13">
        <v>0</v>
      </c>
      <c r="D13" t="s">
        <v>61</v>
      </c>
      <c r="E13">
        <v>550</v>
      </c>
      <c r="F13" t="s">
        <v>62</v>
      </c>
      <c r="G13" t="s">
        <v>63</v>
      </c>
    </row>
    <row r="14" spans="1:12" x14ac:dyDescent="0.3">
      <c r="A14" t="s">
        <v>17</v>
      </c>
      <c r="B14" t="s">
        <v>60</v>
      </c>
      <c r="C14">
        <v>-30</v>
      </c>
      <c r="D14" t="s">
        <v>61</v>
      </c>
      <c r="E14">
        <v>535</v>
      </c>
      <c r="F14" t="s">
        <v>62</v>
      </c>
      <c r="G14" t="s">
        <v>63</v>
      </c>
    </row>
    <row r="15" spans="1:12" x14ac:dyDescent="0.3">
      <c r="A15" t="s">
        <v>18</v>
      </c>
      <c r="B15" t="s">
        <v>60</v>
      </c>
      <c r="C15">
        <v>-30</v>
      </c>
      <c r="D15" t="s">
        <v>61</v>
      </c>
      <c r="E15">
        <v>535</v>
      </c>
      <c r="F15" t="s">
        <v>62</v>
      </c>
      <c r="G15" t="s">
        <v>63</v>
      </c>
    </row>
    <row r="16" spans="1:12" x14ac:dyDescent="0.3">
      <c r="A16" t="s">
        <v>73</v>
      </c>
      <c r="B16" t="s">
        <v>60</v>
      </c>
      <c r="C16">
        <v>-30</v>
      </c>
      <c r="D16" t="s">
        <v>61</v>
      </c>
      <c r="E16">
        <v>535</v>
      </c>
      <c r="F16" t="s">
        <v>62</v>
      </c>
      <c r="G16" t="s">
        <v>63</v>
      </c>
    </row>
    <row r="17" spans="1:14" x14ac:dyDescent="0.3">
      <c r="A17" t="s">
        <v>74</v>
      </c>
      <c r="B17" t="s">
        <v>60</v>
      </c>
      <c r="C17">
        <v>-35</v>
      </c>
      <c r="D17" t="s">
        <v>61</v>
      </c>
      <c r="E17">
        <v>550</v>
      </c>
      <c r="F17" t="s">
        <v>62</v>
      </c>
      <c r="G17" t="s">
        <v>63</v>
      </c>
    </row>
    <row r="18" spans="1:14" x14ac:dyDescent="0.3">
      <c r="A18" t="s">
        <v>75</v>
      </c>
      <c r="B18" t="s">
        <v>60</v>
      </c>
      <c r="C18">
        <v>-35</v>
      </c>
      <c r="D18" t="s">
        <v>61</v>
      </c>
      <c r="E18">
        <v>550</v>
      </c>
      <c r="F18" t="s">
        <v>62</v>
      </c>
      <c r="G18" t="s">
        <v>63</v>
      </c>
    </row>
    <row r="19" spans="1:14" x14ac:dyDescent="0.3">
      <c r="A19" t="s">
        <v>0</v>
      </c>
      <c r="C19" t="s">
        <v>59</v>
      </c>
      <c r="D19" t="s">
        <v>64</v>
      </c>
      <c r="E19" t="s">
        <v>65</v>
      </c>
      <c r="F19" t="s">
        <v>66</v>
      </c>
      <c r="G19" t="s">
        <v>67</v>
      </c>
      <c r="H19" t="s">
        <v>68</v>
      </c>
      <c r="I19" t="s">
        <v>69</v>
      </c>
      <c r="J19" t="s">
        <v>70</v>
      </c>
      <c r="K19" t="s">
        <v>71</v>
      </c>
      <c r="L19" t="s">
        <v>72</v>
      </c>
      <c r="M19" t="s">
        <v>18</v>
      </c>
      <c r="N19" t="s">
        <v>73</v>
      </c>
    </row>
    <row r="20" spans="1:14" x14ac:dyDescent="0.3">
      <c r="C20" t="s">
        <v>63</v>
      </c>
      <c r="D20" t="s">
        <v>63</v>
      </c>
      <c r="E20" t="s">
        <v>63</v>
      </c>
      <c r="F20" t="s">
        <v>63</v>
      </c>
      <c r="G20" t="s">
        <v>63</v>
      </c>
      <c r="H20" t="s">
        <v>63</v>
      </c>
      <c r="I20" t="s">
        <v>63</v>
      </c>
      <c r="J20" t="s">
        <v>63</v>
      </c>
      <c r="K20" t="s">
        <v>63</v>
      </c>
      <c r="L20" t="s">
        <v>63</v>
      </c>
      <c r="M20" t="s">
        <v>63</v>
      </c>
      <c r="N20" t="s">
        <v>63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2CB60-E118-4CE3-9EA4-3D2CC37D2B55}">
  <sheetPr codeName="Feuil2"/>
  <dimension ref="A1:M154"/>
  <sheetViews>
    <sheetView tabSelected="1" workbookViewId="0">
      <selection activeCell="H14" sqref="H14"/>
    </sheetView>
  </sheetViews>
  <sheetFormatPr baseColWidth="10" defaultRowHeight="14.4" x14ac:dyDescent="0.3"/>
  <cols>
    <col min="5" max="5" width="13.77734375" bestFit="1" customWidth="1"/>
  </cols>
  <sheetData>
    <row r="1" spans="1:13" x14ac:dyDescent="0.3">
      <c r="A1" s="1" t="s">
        <v>0</v>
      </c>
      <c r="B1" t="s">
        <v>33</v>
      </c>
      <c r="C1" t="s">
        <v>34</v>
      </c>
      <c r="D1" t="s">
        <v>35</v>
      </c>
      <c r="E1" t="s">
        <v>36</v>
      </c>
      <c r="F1" t="s">
        <v>37</v>
      </c>
      <c r="G1" t="s">
        <v>38</v>
      </c>
      <c r="H1" t="s">
        <v>39</v>
      </c>
      <c r="I1" t="s">
        <v>40</v>
      </c>
      <c r="J1" t="s">
        <v>41</v>
      </c>
      <c r="K1" t="s">
        <v>42</v>
      </c>
      <c r="L1" t="s">
        <v>17</v>
      </c>
      <c r="M1" t="s">
        <v>18</v>
      </c>
    </row>
    <row r="2" spans="1:13" x14ac:dyDescent="0.3">
      <c r="A2" s="1">
        <v>0</v>
      </c>
      <c r="B2">
        <v>-31.27</v>
      </c>
      <c r="C2">
        <v>-30.69</v>
      </c>
      <c r="D2">
        <v>-29.669999999999998</v>
      </c>
      <c r="E2">
        <v>-31.23</v>
      </c>
      <c r="F2">
        <v>-30.05</v>
      </c>
      <c r="G2">
        <v>-30.7</v>
      </c>
      <c r="H2">
        <v>-29.63</v>
      </c>
      <c r="I2">
        <v>-30.740000000000002</v>
      </c>
      <c r="J2">
        <v>-31.04</v>
      </c>
      <c r="K2">
        <v>-30.11</v>
      </c>
      <c r="L2">
        <v>-29.56</v>
      </c>
      <c r="M2">
        <v>-29.47</v>
      </c>
    </row>
    <row r="3" spans="1:13" x14ac:dyDescent="0.3">
      <c r="A3" s="1">
        <v>0</v>
      </c>
      <c r="B3">
        <v>-32.36</v>
      </c>
      <c r="C3">
        <v>-31.05</v>
      </c>
      <c r="D3">
        <v>-30.85</v>
      </c>
      <c r="E3">
        <v>-31.74</v>
      </c>
      <c r="F3">
        <v>-29.720000000000002</v>
      </c>
      <c r="G3">
        <v>-31.58</v>
      </c>
      <c r="H3">
        <v>-31.22</v>
      </c>
      <c r="I3">
        <v>-31.130000000000003</v>
      </c>
      <c r="J3">
        <v>-32.299999999999997</v>
      </c>
      <c r="K3">
        <v>-31.39</v>
      </c>
      <c r="L3">
        <v>-30.7</v>
      </c>
      <c r="M3">
        <v>-30.029999999999998</v>
      </c>
    </row>
    <row r="4" spans="1:13" x14ac:dyDescent="0.3">
      <c r="A4" s="1">
        <v>0</v>
      </c>
      <c r="B4">
        <v>-30.07</v>
      </c>
      <c r="C4">
        <v>-30.240000000000002</v>
      </c>
      <c r="D4">
        <v>-29.21</v>
      </c>
      <c r="E4">
        <v>-31.28</v>
      </c>
      <c r="F4">
        <v>-27.93</v>
      </c>
      <c r="G4">
        <v>-30.66</v>
      </c>
      <c r="H4">
        <v>-30.869999999999997</v>
      </c>
      <c r="I4">
        <v>-30.020000000000003</v>
      </c>
      <c r="J4">
        <v>-31.459999999999997</v>
      </c>
      <c r="K4">
        <v>-30.75</v>
      </c>
      <c r="L4">
        <v>-30.139999999999997</v>
      </c>
      <c r="M4">
        <v>-29.41</v>
      </c>
    </row>
    <row r="5" spans="1:13" x14ac:dyDescent="0.3">
      <c r="A5" s="1">
        <v>0</v>
      </c>
      <c r="B5">
        <v>-28.97</v>
      </c>
      <c r="C5">
        <v>-29.64</v>
      </c>
      <c r="D5">
        <v>-28.22</v>
      </c>
      <c r="E5">
        <v>-30.58</v>
      </c>
      <c r="F5">
        <v>-26.720000000000002</v>
      </c>
      <c r="G5">
        <v>-29.689999999999998</v>
      </c>
      <c r="H5">
        <v>-30.169999999999998</v>
      </c>
      <c r="I5">
        <v>-29.130000000000003</v>
      </c>
      <c r="J5">
        <v>-30.52</v>
      </c>
      <c r="K5">
        <v>-29.84</v>
      </c>
      <c r="L5">
        <v>-29.419999999999998</v>
      </c>
      <c r="M5">
        <v>-28.68</v>
      </c>
    </row>
    <row r="6" spans="1:13" x14ac:dyDescent="0.3">
      <c r="A6" s="1">
        <v>0</v>
      </c>
      <c r="B6">
        <v>-28.51</v>
      </c>
      <c r="C6">
        <v>-29.040000000000003</v>
      </c>
      <c r="D6">
        <v>-28.88</v>
      </c>
      <c r="E6">
        <v>-31.45</v>
      </c>
      <c r="F6">
        <v>-30.470000000000002</v>
      </c>
      <c r="G6">
        <v>-29.62</v>
      </c>
      <c r="H6">
        <v>-30.34</v>
      </c>
      <c r="I6">
        <v>-31.110000000000003</v>
      </c>
      <c r="J6">
        <v>-30.619999999999997</v>
      </c>
      <c r="K6">
        <v>-29.95</v>
      </c>
      <c r="L6">
        <v>-30.33</v>
      </c>
      <c r="M6">
        <v>-29.79</v>
      </c>
    </row>
    <row r="7" spans="1:13" x14ac:dyDescent="0.3">
      <c r="A7" s="1">
        <v>0</v>
      </c>
      <c r="B7">
        <v>-28.95</v>
      </c>
      <c r="C7">
        <v>-29.23</v>
      </c>
      <c r="D7">
        <v>-28.14</v>
      </c>
      <c r="E7">
        <v>-31.5</v>
      </c>
      <c r="F7">
        <v>-28.68</v>
      </c>
      <c r="G7">
        <v>-29.56</v>
      </c>
      <c r="H7">
        <v>-30.33</v>
      </c>
      <c r="I7">
        <v>-30.240000000000002</v>
      </c>
      <c r="J7">
        <v>-30.439999999999998</v>
      </c>
      <c r="K7">
        <v>-29.94</v>
      </c>
      <c r="L7">
        <v>-30.34</v>
      </c>
      <c r="M7">
        <v>-29.77</v>
      </c>
    </row>
    <row r="8" spans="1:13" x14ac:dyDescent="0.3">
      <c r="A8" s="1">
        <v>0</v>
      </c>
      <c r="B8">
        <v>-30.6</v>
      </c>
      <c r="C8">
        <v>-29.57</v>
      </c>
      <c r="D8">
        <v>-28.91</v>
      </c>
      <c r="E8">
        <v>-30.31</v>
      </c>
      <c r="F8">
        <v>-27.57</v>
      </c>
      <c r="G8">
        <v>-30.05</v>
      </c>
      <c r="H8">
        <v>-29.63</v>
      </c>
      <c r="I8">
        <v>-29.71</v>
      </c>
      <c r="J8">
        <v>-30.509999999999998</v>
      </c>
      <c r="K8">
        <v>-29.79</v>
      </c>
      <c r="L8">
        <v>-29.36</v>
      </c>
      <c r="M8">
        <v>-28.75</v>
      </c>
    </row>
    <row r="9" spans="1:13" x14ac:dyDescent="0.3">
      <c r="A9" s="1">
        <v>0</v>
      </c>
      <c r="B9">
        <v>-31.69</v>
      </c>
      <c r="C9">
        <v>-30.32</v>
      </c>
      <c r="D9">
        <v>-30.2</v>
      </c>
      <c r="E9">
        <v>-30.92</v>
      </c>
      <c r="F9">
        <v>-28.14</v>
      </c>
      <c r="G9">
        <v>-30.71</v>
      </c>
      <c r="H9">
        <v>-30.75</v>
      </c>
      <c r="I9">
        <v>-30.130000000000003</v>
      </c>
      <c r="J9">
        <v>-31.59</v>
      </c>
      <c r="K9">
        <v>-30.82</v>
      </c>
      <c r="L9">
        <v>-29.91</v>
      </c>
      <c r="M9">
        <v>-29.169999999999998</v>
      </c>
    </row>
    <row r="10" spans="1:13" x14ac:dyDescent="0.3">
      <c r="A10" s="1">
        <v>0</v>
      </c>
      <c r="B10">
        <v>-31.65</v>
      </c>
      <c r="C10">
        <v>-30.200000000000003</v>
      </c>
      <c r="D10">
        <v>-30.18</v>
      </c>
      <c r="E10">
        <v>-31.22</v>
      </c>
      <c r="F10">
        <v>-28.13</v>
      </c>
      <c r="G10">
        <v>-30.75</v>
      </c>
      <c r="H10">
        <v>-31.75</v>
      </c>
      <c r="I10">
        <v>-30.020000000000003</v>
      </c>
      <c r="J10">
        <v>-31.93</v>
      </c>
      <c r="K10">
        <v>-31.28</v>
      </c>
      <c r="L10">
        <v>-30.29</v>
      </c>
      <c r="M10">
        <v>-29.45</v>
      </c>
    </row>
    <row r="11" spans="1:13" x14ac:dyDescent="0.3">
      <c r="A11" s="1">
        <v>0</v>
      </c>
      <c r="B11">
        <v>-29.83</v>
      </c>
      <c r="C11">
        <v>-29.6</v>
      </c>
      <c r="D11">
        <v>-28.74</v>
      </c>
      <c r="E11">
        <v>-30.9</v>
      </c>
      <c r="F11">
        <v>-24.34</v>
      </c>
      <c r="G11">
        <v>-29.82</v>
      </c>
      <c r="H11">
        <v>-30.77</v>
      </c>
      <c r="I11">
        <v>-28.540000000000003</v>
      </c>
      <c r="J11">
        <v>-31.57</v>
      </c>
      <c r="K11">
        <v>-30.34</v>
      </c>
      <c r="L11">
        <v>-29.889999999999997</v>
      </c>
      <c r="M11">
        <v>-28.91</v>
      </c>
    </row>
    <row r="12" spans="1:13" x14ac:dyDescent="0.3">
      <c r="A12" s="1">
        <v>0</v>
      </c>
      <c r="B12">
        <v>-15.71</v>
      </c>
      <c r="C12">
        <v>-22.34</v>
      </c>
      <c r="D12">
        <v>7.45</v>
      </c>
      <c r="E12">
        <v>-28.09</v>
      </c>
      <c r="F12">
        <v>-25.11</v>
      </c>
      <c r="G12">
        <v>-20.71</v>
      </c>
      <c r="H12">
        <v>-22.65</v>
      </c>
      <c r="I12">
        <v>-28.09</v>
      </c>
      <c r="J12">
        <v>-13.24</v>
      </c>
      <c r="K12">
        <v>-22.58</v>
      </c>
      <c r="L12">
        <v>-27.5</v>
      </c>
      <c r="M12">
        <v>-27.029999999999998</v>
      </c>
    </row>
    <row r="13" spans="1:13" x14ac:dyDescent="0.3">
      <c r="A13" s="1">
        <v>0</v>
      </c>
      <c r="B13">
        <v>-28.03</v>
      </c>
      <c r="C13">
        <v>-28.6</v>
      </c>
      <c r="D13">
        <v>-26.16</v>
      </c>
      <c r="E13">
        <v>-30.11</v>
      </c>
      <c r="F13">
        <v>-29.05</v>
      </c>
      <c r="G13">
        <v>-28.31</v>
      </c>
      <c r="H13">
        <v>-26.88</v>
      </c>
      <c r="I13">
        <v>-29.84</v>
      </c>
      <c r="J13">
        <v>-27.7</v>
      </c>
      <c r="K13">
        <v>-27.27</v>
      </c>
      <c r="L13">
        <v>-28.74</v>
      </c>
      <c r="M13">
        <v>-28.65</v>
      </c>
    </row>
    <row r="14" spans="1:13" x14ac:dyDescent="0.3">
      <c r="A14" s="1">
        <v>0</v>
      </c>
      <c r="B14">
        <v>-30.81</v>
      </c>
      <c r="C14">
        <v>-30.700000000000003</v>
      </c>
      <c r="D14">
        <v>-29.12</v>
      </c>
      <c r="E14">
        <v>-31.68</v>
      </c>
      <c r="F14">
        <v>-30.51</v>
      </c>
      <c r="G14">
        <v>-30.72</v>
      </c>
      <c r="H14">
        <v>-29.86</v>
      </c>
      <c r="I14">
        <v>-31.380000000000003</v>
      </c>
      <c r="J14">
        <v>-30.5</v>
      </c>
      <c r="K14">
        <v>-29.96</v>
      </c>
      <c r="L14">
        <v>-30.22</v>
      </c>
      <c r="M14">
        <v>-30.16</v>
      </c>
    </row>
    <row r="15" spans="1:13" x14ac:dyDescent="0.3">
      <c r="A15" s="1">
        <v>0</v>
      </c>
      <c r="B15">
        <v>-32.269999999999996</v>
      </c>
      <c r="C15">
        <v>-31.040000000000003</v>
      </c>
      <c r="D15">
        <v>-30.75</v>
      </c>
      <c r="E15">
        <v>-31.46</v>
      </c>
      <c r="F15">
        <v>-29.16</v>
      </c>
      <c r="G15">
        <v>-31.43</v>
      </c>
      <c r="H15">
        <v>-31.77</v>
      </c>
      <c r="I15">
        <v>-30.87</v>
      </c>
      <c r="J15">
        <v>-31.99</v>
      </c>
      <c r="K15">
        <v>-31.42</v>
      </c>
      <c r="L15">
        <v>-30.599999999999998</v>
      </c>
      <c r="M15">
        <v>-29.97</v>
      </c>
    </row>
    <row r="16" spans="1:13" x14ac:dyDescent="0.3">
      <c r="A16" s="1">
        <v>0</v>
      </c>
      <c r="B16">
        <v>-30.36</v>
      </c>
      <c r="C16">
        <v>-30.560000000000002</v>
      </c>
      <c r="D16">
        <v>-29.33</v>
      </c>
      <c r="E16">
        <v>-31.47</v>
      </c>
      <c r="F16">
        <v>-29.36</v>
      </c>
      <c r="G16">
        <v>-30.81</v>
      </c>
      <c r="H16">
        <v>-31.509999999999998</v>
      </c>
      <c r="I16">
        <v>-30.23</v>
      </c>
      <c r="J16">
        <v>-31.709999999999997</v>
      </c>
      <c r="K16">
        <v>-31.17</v>
      </c>
      <c r="L16">
        <v>-30.419999999999998</v>
      </c>
      <c r="M16">
        <v>-29.75</v>
      </c>
    </row>
    <row r="17" spans="1:13" x14ac:dyDescent="0.3">
      <c r="A17" s="1">
        <v>0</v>
      </c>
      <c r="B17">
        <v>-29.58</v>
      </c>
      <c r="C17">
        <v>-29.950000000000003</v>
      </c>
      <c r="D17">
        <v>-28.5</v>
      </c>
      <c r="E17">
        <v>-31</v>
      </c>
      <c r="F17">
        <v>-28.67</v>
      </c>
      <c r="G17">
        <v>-30.13</v>
      </c>
      <c r="H17">
        <v>-30.619999999999997</v>
      </c>
      <c r="I17">
        <v>-29.490000000000002</v>
      </c>
      <c r="J17">
        <v>-30.97</v>
      </c>
      <c r="K17">
        <v>-30.45</v>
      </c>
      <c r="L17">
        <v>-29.959999999999997</v>
      </c>
      <c r="M17">
        <v>-29.279999999999998</v>
      </c>
    </row>
    <row r="18" spans="1:13" x14ac:dyDescent="0.3">
      <c r="A18" s="1">
        <v>0</v>
      </c>
      <c r="B18">
        <v>-29.03</v>
      </c>
      <c r="C18">
        <v>-29.35</v>
      </c>
      <c r="D18">
        <v>-27.69</v>
      </c>
      <c r="E18">
        <v>-30.44</v>
      </c>
      <c r="F18">
        <v>-28.12</v>
      </c>
      <c r="G18">
        <v>-29.55</v>
      </c>
      <c r="H18">
        <v>-30.09</v>
      </c>
      <c r="I18">
        <v>-29</v>
      </c>
      <c r="J18">
        <v>-30.24</v>
      </c>
      <c r="K18">
        <v>-29.79</v>
      </c>
      <c r="L18">
        <v>-29.459999999999997</v>
      </c>
      <c r="M18">
        <v>-28.72</v>
      </c>
    </row>
    <row r="19" spans="1:13" x14ac:dyDescent="0.3">
      <c r="A19" s="1">
        <v>0</v>
      </c>
      <c r="B19">
        <v>-28.43</v>
      </c>
      <c r="C19">
        <v>-28.92</v>
      </c>
      <c r="D19">
        <v>-28.509999999999998</v>
      </c>
      <c r="E19">
        <v>-30.94</v>
      </c>
      <c r="F19">
        <v>-29.93</v>
      </c>
      <c r="G19">
        <v>-29.04</v>
      </c>
      <c r="H19">
        <v>-30.119999999999997</v>
      </c>
      <c r="I19">
        <v>-30.71</v>
      </c>
      <c r="J19">
        <v>-30.279999999999998</v>
      </c>
      <c r="K19">
        <v>-29.86</v>
      </c>
      <c r="L19">
        <v>-29.939999999999998</v>
      </c>
      <c r="M19">
        <v>-29.4</v>
      </c>
    </row>
    <row r="20" spans="1:13" x14ac:dyDescent="0.3">
      <c r="A20" s="1">
        <v>0</v>
      </c>
      <c r="B20">
        <v>-29.04</v>
      </c>
      <c r="C20">
        <v>-29.18</v>
      </c>
      <c r="D20">
        <v>-28.45</v>
      </c>
      <c r="E20">
        <v>-31.76</v>
      </c>
      <c r="F20">
        <v>-30.01</v>
      </c>
      <c r="G20">
        <v>-29.62</v>
      </c>
      <c r="H20">
        <v>-30.9</v>
      </c>
      <c r="I20">
        <v>-30.67</v>
      </c>
      <c r="J20">
        <v>-30.74</v>
      </c>
      <c r="K20">
        <v>-30.32</v>
      </c>
      <c r="L20">
        <v>-30.509999999999998</v>
      </c>
      <c r="M20">
        <v>-30.04</v>
      </c>
    </row>
    <row r="21" spans="1:13" x14ac:dyDescent="0.3">
      <c r="A21" s="1">
        <v>0</v>
      </c>
      <c r="B21">
        <v>-28.34</v>
      </c>
      <c r="C21">
        <v>-28.64</v>
      </c>
      <c r="D21">
        <v>-26.68</v>
      </c>
      <c r="E21">
        <v>-30.69</v>
      </c>
      <c r="F21">
        <v>-28.66</v>
      </c>
      <c r="G21">
        <v>-29.16</v>
      </c>
      <c r="H21">
        <v>-30.24</v>
      </c>
      <c r="I21">
        <v>-29.57</v>
      </c>
      <c r="J21">
        <v>-29.79</v>
      </c>
      <c r="K21">
        <v>-29.86</v>
      </c>
      <c r="L21">
        <v>-29.58</v>
      </c>
      <c r="M21">
        <v>-29.009999999999998</v>
      </c>
    </row>
    <row r="22" spans="1:13" x14ac:dyDescent="0.3">
      <c r="A22" s="1">
        <v>0</v>
      </c>
      <c r="B22">
        <v>-31.32</v>
      </c>
      <c r="C22">
        <v>-30.150000000000002</v>
      </c>
      <c r="D22">
        <v>-29.69</v>
      </c>
      <c r="E22">
        <v>-30.53</v>
      </c>
      <c r="F22">
        <v>-28.240000000000002</v>
      </c>
      <c r="G22">
        <v>-30.54</v>
      </c>
      <c r="H22">
        <v>-30.99</v>
      </c>
      <c r="I22">
        <v>-29.970000000000002</v>
      </c>
      <c r="J22">
        <v>-31.22</v>
      </c>
      <c r="K22">
        <v>-30.55</v>
      </c>
      <c r="L22">
        <v>-29.75</v>
      </c>
      <c r="M22">
        <v>-29.029999999999998</v>
      </c>
    </row>
    <row r="23" spans="1:13" x14ac:dyDescent="0.3">
      <c r="A23" s="1">
        <v>0</v>
      </c>
      <c r="B23">
        <v>-31.7</v>
      </c>
      <c r="C23">
        <v>-30.85</v>
      </c>
      <c r="D23">
        <v>-30.52</v>
      </c>
      <c r="E23">
        <v>-31.12</v>
      </c>
      <c r="F23">
        <v>-28.53</v>
      </c>
      <c r="G23">
        <v>-31.05</v>
      </c>
      <c r="H23">
        <v>-32.07</v>
      </c>
      <c r="I23">
        <v>-30.59</v>
      </c>
      <c r="J23">
        <v>-32.06</v>
      </c>
      <c r="K23">
        <v>-31.62</v>
      </c>
      <c r="L23">
        <v>-30.2</v>
      </c>
      <c r="M23">
        <v>-29.61</v>
      </c>
    </row>
    <row r="24" spans="1:13" x14ac:dyDescent="0.3">
      <c r="A24" s="1">
        <v>0</v>
      </c>
      <c r="B24">
        <v>-29.98</v>
      </c>
      <c r="C24">
        <v>-29.76</v>
      </c>
      <c r="D24">
        <v>-28.759999999999998</v>
      </c>
      <c r="E24">
        <v>-31.01</v>
      </c>
      <c r="F24">
        <v>-28.48</v>
      </c>
      <c r="G24">
        <v>-30.08</v>
      </c>
      <c r="H24">
        <v>-30.82</v>
      </c>
      <c r="I24">
        <v>-28.96</v>
      </c>
      <c r="J24">
        <v>-31.49</v>
      </c>
      <c r="K24">
        <v>-30.6</v>
      </c>
      <c r="L24">
        <v>-30.099999999999998</v>
      </c>
      <c r="M24">
        <v>-29.22</v>
      </c>
    </row>
    <row r="25" spans="1:13" x14ac:dyDescent="0.3">
      <c r="A25" s="1">
        <v>0</v>
      </c>
      <c r="B25">
        <v>-29.43</v>
      </c>
      <c r="C25">
        <v>-29.26</v>
      </c>
      <c r="D25">
        <v>-27.919999999999998</v>
      </c>
      <c r="E25">
        <v>-30.48</v>
      </c>
      <c r="F25">
        <v>-27.740000000000002</v>
      </c>
      <c r="G25">
        <v>-29.54</v>
      </c>
      <c r="H25">
        <v>-30.31</v>
      </c>
      <c r="I25">
        <v>-28.26</v>
      </c>
      <c r="J25">
        <v>-30.689999999999998</v>
      </c>
      <c r="K25">
        <v>-29.9</v>
      </c>
      <c r="L25">
        <v>-29.439999999999998</v>
      </c>
      <c r="M25">
        <v>-28.68</v>
      </c>
    </row>
    <row r="26" spans="1:13" x14ac:dyDescent="0.3">
      <c r="A26" s="1">
        <v>0</v>
      </c>
      <c r="B26">
        <v>-28.43</v>
      </c>
      <c r="C26">
        <v>-28.96</v>
      </c>
      <c r="D26">
        <v>-28.63</v>
      </c>
      <c r="E26">
        <v>-30.78</v>
      </c>
      <c r="F26">
        <v>-29.62</v>
      </c>
      <c r="G26">
        <v>-29.279999999999998</v>
      </c>
      <c r="H26">
        <v>-30.18</v>
      </c>
      <c r="I26">
        <v>-30.44</v>
      </c>
      <c r="J26">
        <v>-30.38</v>
      </c>
      <c r="K26">
        <v>-29.7</v>
      </c>
      <c r="L26">
        <v>-29.61</v>
      </c>
      <c r="M26">
        <v>-28.959999999999997</v>
      </c>
    </row>
    <row r="27" spans="1:13" x14ac:dyDescent="0.3">
      <c r="A27" s="1">
        <v>0</v>
      </c>
      <c r="B27">
        <v>-29.11</v>
      </c>
      <c r="C27">
        <v>-29.490000000000002</v>
      </c>
      <c r="D27">
        <v>-29.13</v>
      </c>
      <c r="E27">
        <v>-31.7</v>
      </c>
      <c r="F27">
        <v>-30.080000000000002</v>
      </c>
      <c r="G27">
        <v>-29.86</v>
      </c>
      <c r="H27">
        <v>-30.99</v>
      </c>
      <c r="I27">
        <v>-31.200000000000003</v>
      </c>
      <c r="J27">
        <v>-31.07</v>
      </c>
      <c r="K27">
        <v>-30.62</v>
      </c>
      <c r="L27">
        <v>-30.7</v>
      </c>
      <c r="M27">
        <v>-30.09</v>
      </c>
    </row>
    <row r="28" spans="1:13" x14ac:dyDescent="0.3">
      <c r="A28" s="1">
        <v>0</v>
      </c>
      <c r="B28">
        <v>-28.58</v>
      </c>
      <c r="C28">
        <v>-28.87</v>
      </c>
      <c r="D28">
        <v>-26.9</v>
      </c>
      <c r="E28">
        <v>-30.92</v>
      </c>
      <c r="F28">
        <v>-28.810000000000002</v>
      </c>
      <c r="G28">
        <v>-29.37</v>
      </c>
      <c r="H28">
        <v>-30.45</v>
      </c>
      <c r="I28">
        <v>-29.790000000000003</v>
      </c>
      <c r="J28">
        <v>-30.08</v>
      </c>
      <c r="K28">
        <v>-30.03</v>
      </c>
      <c r="L28">
        <v>-29.869999999999997</v>
      </c>
      <c r="M28">
        <v>-29.209999999999997</v>
      </c>
    </row>
    <row r="29" spans="1:13" x14ac:dyDescent="0.3">
      <c r="A29" s="1">
        <v>0</v>
      </c>
      <c r="B29">
        <v>-30.28</v>
      </c>
      <c r="C29">
        <v>-29.35</v>
      </c>
      <c r="D29">
        <v>-28.47</v>
      </c>
      <c r="E29">
        <v>-30.11</v>
      </c>
      <c r="F29">
        <v>-28.01</v>
      </c>
      <c r="G29">
        <v>-29.779999999999998</v>
      </c>
      <c r="H29">
        <v>-30.16</v>
      </c>
      <c r="I29">
        <v>-29.450000000000003</v>
      </c>
      <c r="J29">
        <v>-30.27</v>
      </c>
      <c r="K29">
        <v>-29.75</v>
      </c>
      <c r="L29">
        <v>-29.169999999999998</v>
      </c>
      <c r="M29">
        <v>-28.639999999999997</v>
      </c>
    </row>
    <row r="30" spans="1:13" x14ac:dyDescent="0.3">
      <c r="A30" s="1">
        <v>0</v>
      </c>
      <c r="B30">
        <v>-31.83</v>
      </c>
      <c r="C30">
        <v>-30.62</v>
      </c>
      <c r="D30">
        <v>-30.23</v>
      </c>
      <c r="E30">
        <v>-30.84</v>
      </c>
      <c r="F30">
        <v>-28.29</v>
      </c>
      <c r="G30">
        <v>-30.95</v>
      </c>
      <c r="H30">
        <v>-31.57</v>
      </c>
      <c r="I30">
        <v>-30.26</v>
      </c>
      <c r="J30">
        <v>-31.759999999999998</v>
      </c>
      <c r="K30">
        <v>-31.08</v>
      </c>
      <c r="L30">
        <v>-30.08</v>
      </c>
      <c r="M30">
        <v>-29.27</v>
      </c>
    </row>
    <row r="31" spans="1:13" x14ac:dyDescent="0.3">
      <c r="A31" s="1">
        <v>0</v>
      </c>
      <c r="B31">
        <v>-30.48</v>
      </c>
      <c r="C31">
        <v>-30.07</v>
      </c>
      <c r="D31">
        <v>-29.29</v>
      </c>
      <c r="E31">
        <v>-31.32</v>
      </c>
      <c r="F31">
        <v>-28.76</v>
      </c>
      <c r="G31">
        <v>-30.349999999999998</v>
      </c>
      <c r="H31">
        <v>-31.36</v>
      </c>
      <c r="I31">
        <v>-29.200000000000003</v>
      </c>
      <c r="J31">
        <v>-31.74</v>
      </c>
      <c r="K31">
        <v>-30.89</v>
      </c>
      <c r="L31">
        <v>-30.259999999999998</v>
      </c>
      <c r="M31">
        <v>-29.38</v>
      </c>
    </row>
    <row r="32" spans="1:13" x14ac:dyDescent="0.3">
      <c r="A32" s="1">
        <v>0</v>
      </c>
      <c r="B32">
        <v>-29.66</v>
      </c>
      <c r="C32">
        <v>-29.51</v>
      </c>
      <c r="D32">
        <v>-28.3</v>
      </c>
      <c r="E32">
        <v>-30.79</v>
      </c>
      <c r="F32">
        <v>-27.75</v>
      </c>
      <c r="G32">
        <v>-29.77</v>
      </c>
      <c r="H32">
        <v>-30.54</v>
      </c>
      <c r="I32">
        <v>-28.520000000000003</v>
      </c>
      <c r="J32">
        <v>-31.049999999999997</v>
      </c>
      <c r="K32">
        <v>-30.24</v>
      </c>
      <c r="L32">
        <v>-29.65</v>
      </c>
      <c r="M32">
        <v>-28.9</v>
      </c>
    </row>
    <row r="33" spans="1:13" x14ac:dyDescent="0.3">
      <c r="A33" s="1">
        <v>0</v>
      </c>
      <c r="B33">
        <v>-29.08</v>
      </c>
      <c r="C33">
        <v>-29.03</v>
      </c>
      <c r="D33">
        <v>-27.54</v>
      </c>
      <c r="E33">
        <v>-30.31</v>
      </c>
      <c r="F33">
        <v>-28.04</v>
      </c>
      <c r="G33">
        <v>-29.36</v>
      </c>
      <c r="H33">
        <v>-30.029999999999998</v>
      </c>
      <c r="I33">
        <v>-28.48</v>
      </c>
      <c r="J33">
        <v>-30.24</v>
      </c>
      <c r="K33">
        <v>-29.71</v>
      </c>
      <c r="L33">
        <v>-29.25</v>
      </c>
      <c r="M33">
        <v>-28.49</v>
      </c>
    </row>
    <row r="34" spans="1:13" x14ac:dyDescent="0.3">
      <c r="A34" s="1">
        <v>0</v>
      </c>
      <c r="B34">
        <v>-28.79</v>
      </c>
      <c r="C34">
        <v>-29.46</v>
      </c>
      <c r="D34">
        <v>-29.53</v>
      </c>
      <c r="E34">
        <v>-31.83</v>
      </c>
      <c r="F34">
        <v>-30.66</v>
      </c>
      <c r="G34">
        <v>-29.86</v>
      </c>
      <c r="H34">
        <v>-30.979999999999997</v>
      </c>
      <c r="I34">
        <v>-31.51</v>
      </c>
      <c r="J34">
        <v>-31.119999999999997</v>
      </c>
      <c r="K34">
        <v>-30.61</v>
      </c>
      <c r="L34">
        <v>-30.77</v>
      </c>
      <c r="M34">
        <v>-30.13</v>
      </c>
    </row>
    <row r="35" spans="1:13" x14ac:dyDescent="0.3">
      <c r="A35" s="1">
        <v>0</v>
      </c>
      <c r="B35">
        <v>-28.96</v>
      </c>
      <c r="C35">
        <v>-29.220000000000002</v>
      </c>
      <c r="D35">
        <v>-27.23</v>
      </c>
      <c r="E35">
        <v>-31.22</v>
      </c>
      <c r="F35">
        <v>-29.07</v>
      </c>
      <c r="G35">
        <v>-29.689999999999998</v>
      </c>
      <c r="H35">
        <v>-30.779999999999998</v>
      </c>
      <c r="I35">
        <v>-30.150000000000002</v>
      </c>
      <c r="J35">
        <v>-30.419999999999998</v>
      </c>
      <c r="K35">
        <v>-30.37</v>
      </c>
      <c r="L35">
        <v>-30.209999999999997</v>
      </c>
      <c r="M35">
        <v>-29.549999999999997</v>
      </c>
    </row>
    <row r="36" spans="1:13" x14ac:dyDescent="0.3">
      <c r="A36" s="1">
        <v>0</v>
      </c>
      <c r="B36">
        <v>-28.35</v>
      </c>
      <c r="C36">
        <v>-28.630000000000003</v>
      </c>
      <c r="D36">
        <v>-26.6</v>
      </c>
      <c r="E36">
        <v>-30.53</v>
      </c>
      <c r="F36">
        <v>-28.48</v>
      </c>
      <c r="G36">
        <v>-29.16</v>
      </c>
      <c r="H36">
        <v>-30.16</v>
      </c>
      <c r="I36">
        <v>-29.400000000000002</v>
      </c>
      <c r="J36">
        <v>-29.72</v>
      </c>
      <c r="K36">
        <v>-29.78</v>
      </c>
      <c r="L36">
        <v>-29.45</v>
      </c>
      <c r="M36">
        <v>-28.869999999999997</v>
      </c>
    </row>
    <row r="37" spans="1:13" x14ac:dyDescent="0.3">
      <c r="A37" s="1">
        <v>0</v>
      </c>
      <c r="B37">
        <v>-31.19</v>
      </c>
      <c r="C37">
        <v>-30.060000000000002</v>
      </c>
      <c r="D37">
        <v>-29.41</v>
      </c>
      <c r="E37">
        <v>-30.4</v>
      </c>
      <c r="F37">
        <v>-27.79</v>
      </c>
      <c r="G37">
        <v>-30.5</v>
      </c>
      <c r="H37">
        <v>-31.02</v>
      </c>
      <c r="I37">
        <v>-29.82</v>
      </c>
      <c r="J37">
        <v>-31.09</v>
      </c>
      <c r="K37">
        <v>-30.5</v>
      </c>
      <c r="L37">
        <v>-29.57</v>
      </c>
      <c r="M37">
        <v>-28.869999999999997</v>
      </c>
    </row>
    <row r="38" spans="1:13" x14ac:dyDescent="0.3">
      <c r="A38" s="1">
        <v>0</v>
      </c>
      <c r="B38">
        <v>-31.76</v>
      </c>
      <c r="C38">
        <v>-30.82</v>
      </c>
      <c r="D38">
        <v>-30.41</v>
      </c>
      <c r="E38">
        <v>-30.9</v>
      </c>
      <c r="F38">
        <v>-28.53</v>
      </c>
      <c r="G38">
        <v>-31</v>
      </c>
      <c r="H38">
        <v>-32.07</v>
      </c>
      <c r="I38">
        <v>-30.43</v>
      </c>
      <c r="J38">
        <v>-31.97</v>
      </c>
      <c r="K38">
        <v>-31.48</v>
      </c>
      <c r="L38">
        <v>-30.119999999999997</v>
      </c>
      <c r="M38">
        <v>-29.549999999999997</v>
      </c>
    </row>
    <row r="39" spans="1:13" x14ac:dyDescent="0.3">
      <c r="A39" s="1">
        <v>0</v>
      </c>
      <c r="B39">
        <v>-30.02</v>
      </c>
      <c r="C39">
        <v>-29.76</v>
      </c>
      <c r="D39">
        <v>-28.64</v>
      </c>
      <c r="E39">
        <v>-30.97</v>
      </c>
      <c r="F39">
        <v>-28.26</v>
      </c>
      <c r="G39">
        <v>-30.08</v>
      </c>
      <c r="H39">
        <v>-30.919999999999998</v>
      </c>
      <c r="I39">
        <v>-28.98</v>
      </c>
      <c r="J39">
        <v>-31.459999999999997</v>
      </c>
      <c r="K39">
        <v>-30.54</v>
      </c>
      <c r="L39">
        <v>-29.97</v>
      </c>
      <c r="M39">
        <v>-29.189999999999998</v>
      </c>
    </row>
    <row r="40" spans="1:13" x14ac:dyDescent="0.3">
      <c r="A40" s="1">
        <v>0</v>
      </c>
      <c r="B40">
        <v>-30.5</v>
      </c>
      <c r="C40">
        <v>-29.990000000000002</v>
      </c>
      <c r="D40">
        <v>-28.95</v>
      </c>
      <c r="E40">
        <v>-30.49</v>
      </c>
      <c r="F40">
        <v>-29.34</v>
      </c>
      <c r="G40">
        <v>-29.98</v>
      </c>
      <c r="H40">
        <v>-28.82</v>
      </c>
      <c r="I40">
        <v>-30.07</v>
      </c>
      <c r="J40">
        <v>-30.27</v>
      </c>
      <c r="K40">
        <v>-29.45</v>
      </c>
      <c r="L40">
        <v>-28.82</v>
      </c>
      <c r="M40">
        <v>-28.779999999999998</v>
      </c>
    </row>
    <row r="41" spans="1:13" x14ac:dyDescent="0.3">
      <c r="A41" s="1">
        <v>0</v>
      </c>
      <c r="B41">
        <v>-31.9</v>
      </c>
      <c r="C41">
        <v>-31.360000000000003</v>
      </c>
      <c r="D41">
        <v>-30.38</v>
      </c>
      <c r="E41">
        <v>-31.9</v>
      </c>
      <c r="F41">
        <v>-30.8</v>
      </c>
      <c r="G41">
        <v>-31.41</v>
      </c>
      <c r="H41">
        <v>-30.189999999999998</v>
      </c>
      <c r="I41">
        <v>-31.450000000000003</v>
      </c>
      <c r="J41">
        <v>-31.59</v>
      </c>
      <c r="K41">
        <v>-30.88</v>
      </c>
      <c r="L41">
        <v>-30.25</v>
      </c>
      <c r="M41">
        <v>-30.259999999999998</v>
      </c>
    </row>
    <row r="42" spans="1:13" x14ac:dyDescent="0.3">
      <c r="A42" s="1">
        <v>0</v>
      </c>
      <c r="B42">
        <v>-31.27</v>
      </c>
      <c r="C42">
        <v>-30.69</v>
      </c>
      <c r="D42">
        <v>-29.99</v>
      </c>
      <c r="E42">
        <v>-31.58</v>
      </c>
      <c r="F42">
        <v>-28.62</v>
      </c>
      <c r="G42">
        <v>-31.259999999999998</v>
      </c>
      <c r="H42">
        <v>-31.369999999999997</v>
      </c>
      <c r="I42">
        <v>-30.43</v>
      </c>
      <c r="J42">
        <v>-31.88</v>
      </c>
      <c r="K42">
        <v>-31.14</v>
      </c>
      <c r="L42">
        <v>-30.33</v>
      </c>
      <c r="M42">
        <v>-29.689999999999998</v>
      </c>
    </row>
    <row r="43" spans="1:13" x14ac:dyDescent="0.3">
      <c r="A43" s="1">
        <v>0</v>
      </c>
      <c r="B43">
        <v>-29.35</v>
      </c>
      <c r="C43">
        <v>-29.96</v>
      </c>
      <c r="D43">
        <v>-28.66</v>
      </c>
      <c r="E43">
        <v>-30.98</v>
      </c>
      <c r="F43">
        <v>-27.09</v>
      </c>
      <c r="G43">
        <v>-30.09</v>
      </c>
      <c r="H43">
        <v>-30.54</v>
      </c>
      <c r="I43">
        <v>-29.43</v>
      </c>
      <c r="J43">
        <v>-31</v>
      </c>
      <c r="K43">
        <v>-30.32</v>
      </c>
      <c r="L43">
        <v>-29.83</v>
      </c>
      <c r="M43">
        <v>-29.02</v>
      </c>
    </row>
    <row r="44" spans="1:13" x14ac:dyDescent="0.3">
      <c r="A44" s="1">
        <v>0</v>
      </c>
      <c r="B44">
        <v>-28.72</v>
      </c>
      <c r="C44">
        <v>-29.12</v>
      </c>
      <c r="D44">
        <v>-27.99</v>
      </c>
      <c r="E44">
        <v>-31.05</v>
      </c>
      <c r="F44">
        <v>-29.93</v>
      </c>
      <c r="G44">
        <v>-29.33</v>
      </c>
      <c r="H44">
        <v>-29.86</v>
      </c>
      <c r="I44">
        <v>-30.470000000000002</v>
      </c>
      <c r="J44">
        <v>-30.2</v>
      </c>
      <c r="K44">
        <v>-29.72</v>
      </c>
      <c r="L44">
        <v>-29.889999999999997</v>
      </c>
      <c r="M44">
        <v>-29.389999999999997</v>
      </c>
    </row>
    <row r="45" spans="1:13" x14ac:dyDescent="0.3">
      <c r="A45" s="1">
        <v>0</v>
      </c>
      <c r="B45">
        <v>-28.74</v>
      </c>
      <c r="C45">
        <v>-29.14</v>
      </c>
      <c r="D45">
        <v>-29.259999999999998</v>
      </c>
      <c r="E45">
        <v>-31.84</v>
      </c>
      <c r="F45">
        <v>-30.830000000000002</v>
      </c>
      <c r="G45">
        <v>-29.77</v>
      </c>
      <c r="H45">
        <v>-30.759999999999998</v>
      </c>
      <c r="I45">
        <v>-31.580000000000002</v>
      </c>
      <c r="J45">
        <v>-31.029999999999998</v>
      </c>
      <c r="K45">
        <v>-30.37</v>
      </c>
      <c r="L45">
        <v>-30.799999999999997</v>
      </c>
      <c r="M45">
        <v>-30.29</v>
      </c>
    </row>
    <row r="46" spans="1:13" x14ac:dyDescent="0.3">
      <c r="A46" s="1">
        <v>0</v>
      </c>
      <c r="B46">
        <v>-28.55</v>
      </c>
      <c r="C46">
        <v>-28.85</v>
      </c>
      <c r="D46">
        <v>-27.33</v>
      </c>
      <c r="E46">
        <v>-30.89</v>
      </c>
      <c r="F46">
        <v>-26.37</v>
      </c>
      <c r="G46">
        <v>-29.259999999999998</v>
      </c>
      <c r="H46">
        <v>-30.2</v>
      </c>
      <c r="I46">
        <v>-29.650000000000002</v>
      </c>
      <c r="J46">
        <v>-30.02</v>
      </c>
      <c r="K46">
        <v>-29.66</v>
      </c>
      <c r="L46">
        <v>-29.83</v>
      </c>
      <c r="M46">
        <v>-29.11</v>
      </c>
    </row>
    <row r="47" spans="1:13" x14ac:dyDescent="0.3">
      <c r="A47" s="1">
        <v>0</v>
      </c>
      <c r="B47">
        <v>-31.19</v>
      </c>
      <c r="C47">
        <v>-29.92</v>
      </c>
      <c r="D47">
        <v>-29.61</v>
      </c>
      <c r="E47">
        <v>-30.6</v>
      </c>
      <c r="F47">
        <v>-27.78</v>
      </c>
      <c r="G47">
        <v>-30.39</v>
      </c>
      <c r="H47">
        <v>-30.279999999999998</v>
      </c>
      <c r="I47">
        <v>-29.950000000000003</v>
      </c>
      <c r="J47">
        <v>-31.119999999999997</v>
      </c>
      <c r="K47">
        <v>-30.41</v>
      </c>
      <c r="L47">
        <v>-29.68</v>
      </c>
      <c r="M47">
        <v>-28.979999999999997</v>
      </c>
    </row>
    <row r="48" spans="1:13" x14ac:dyDescent="0.3">
      <c r="A48" s="1">
        <v>0</v>
      </c>
      <c r="B48">
        <v>-32.08</v>
      </c>
      <c r="C48">
        <v>-30.6</v>
      </c>
      <c r="D48">
        <v>-30.69</v>
      </c>
      <c r="E48">
        <v>-31.22</v>
      </c>
      <c r="F48">
        <v>-28.21</v>
      </c>
      <c r="G48">
        <v>-31.02</v>
      </c>
      <c r="H48">
        <v>-31.2</v>
      </c>
      <c r="I48">
        <v>-30.520000000000003</v>
      </c>
      <c r="J48">
        <v>-32.01</v>
      </c>
      <c r="K48">
        <v>-31.21</v>
      </c>
      <c r="L48">
        <v>-30.25</v>
      </c>
      <c r="M48">
        <v>-29.47</v>
      </c>
    </row>
    <row r="49" spans="1:13" x14ac:dyDescent="0.3">
      <c r="A49" s="1">
        <v>0</v>
      </c>
      <c r="B49">
        <v>-30.43</v>
      </c>
      <c r="C49">
        <v>-30</v>
      </c>
      <c r="D49">
        <v>-29.45</v>
      </c>
      <c r="E49">
        <v>-31.27</v>
      </c>
      <c r="F49">
        <v>-25.57</v>
      </c>
      <c r="G49">
        <v>-30.27</v>
      </c>
      <c r="H49">
        <v>-31.119999999999997</v>
      </c>
      <c r="I49">
        <v>-29.290000000000003</v>
      </c>
      <c r="J49">
        <v>-31.52</v>
      </c>
      <c r="K49">
        <v>-30.61</v>
      </c>
      <c r="L49">
        <v>-30.2</v>
      </c>
      <c r="M49">
        <v>-29.259999999999998</v>
      </c>
    </row>
    <row r="50" spans="1:13" x14ac:dyDescent="0.3">
      <c r="A50" s="1">
        <v>0</v>
      </c>
      <c r="B50">
        <v>-29.45</v>
      </c>
      <c r="C50">
        <v>-29.26</v>
      </c>
      <c r="D50">
        <v>-28.2</v>
      </c>
      <c r="E50">
        <v>-30.66</v>
      </c>
      <c r="F50">
        <v>-23.59</v>
      </c>
      <c r="G50">
        <v>-29.59</v>
      </c>
      <c r="H50">
        <v>-30.419999999999998</v>
      </c>
      <c r="I50">
        <v>-28.09</v>
      </c>
      <c r="J50">
        <v>-31.24</v>
      </c>
      <c r="K50">
        <v>-30.03</v>
      </c>
      <c r="L50">
        <v>-29.549999999999997</v>
      </c>
      <c r="M50">
        <v>-28.56</v>
      </c>
    </row>
    <row r="51" spans="1:13" x14ac:dyDescent="0.3">
      <c r="A51" s="1">
        <v>0</v>
      </c>
      <c r="B51">
        <v>-25.17</v>
      </c>
      <c r="C51">
        <v>-26.540000000000003</v>
      </c>
      <c r="D51">
        <v>-23.04</v>
      </c>
      <c r="E51">
        <v>-29.05</v>
      </c>
      <c r="F51">
        <v>-28.02</v>
      </c>
      <c r="G51">
        <v>-25.759999999999998</v>
      </c>
      <c r="H51">
        <v>-23.88</v>
      </c>
      <c r="I51">
        <v>-28.82</v>
      </c>
      <c r="J51">
        <v>-24.72</v>
      </c>
      <c r="K51">
        <v>-24.5</v>
      </c>
      <c r="L51">
        <v>-27.759999999999998</v>
      </c>
      <c r="M51">
        <v>-27.45</v>
      </c>
    </row>
    <row r="52" spans="1:13" x14ac:dyDescent="0.3">
      <c r="A52" s="1">
        <v>0</v>
      </c>
      <c r="B52">
        <v>-29.66</v>
      </c>
      <c r="C52">
        <v>-29.73</v>
      </c>
      <c r="D52">
        <v>-27.79</v>
      </c>
      <c r="E52">
        <v>-30.96</v>
      </c>
      <c r="F52">
        <v>-29.810000000000002</v>
      </c>
      <c r="G52">
        <v>-29.689999999999998</v>
      </c>
      <c r="H52">
        <v>-28.54</v>
      </c>
      <c r="I52">
        <v>-30.64</v>
      </c>
      <c r="J52">
        <v>-29.22</v>
      </c>
      <c r="K52">
        <v>-28.84</v>
      </c>
      <c r="L52">
        <v>-29.5</v>
      </c>
      <c r="M52">
        <v>-29.34</v>
      </c>
    </row>
    <row r="53" spans="1:13" x14ac:dyDescent="0.3">
      <c r="A53" s="1">
        <v>0</v>
      </c>
      <c r="B53">
        <v>-31.69</v>
      </c>
      <c r="C53">
        <v>-30.73</v>
      </c>
      <c r="D53">
        <v>-30.15</v>
      </c>
      <c r="E53">
        <v>-31.46</v>
      </c>
      <c r="F53">
        <v>-29.73</v>
      </c>
      <c r="G53">
        <v>-31.15</v>
      </c>
      <c r="H53">
        <v>-31.24</v>
      </c>
      <c r="I53">
        <v>-31.01</v>
      </c>
      <c r="J53">
        <v>-31.529999999999998</v>
      </c>
      <c r="K53">
        <v>-30.91</v>
      </c>
      <c r="L53">
        <v>-30.59</v>
      </c>
      <c r="M53">
        <v>-30.029999999999998</v>
      </c>
    </row>
    <row r="54" spans="1:13" x14ac:dyDescent="0.3">
      <c r="A54" s="1">
        <v>0</v>
      </c>
      <c r="B54">
        <v>-31.36</v>
      </c>
      <c r="C54">
        <v>-31.05</v>
      </c>
      <c r="D54">
        <v>-30.24</v>
      </c>
      <c r="E54">
        <v>-31.54</v>
      </c>
      <c r="F54">
        <v>-29.26</v>
      </c>
      <c r="G54">
        <v>-31.25</v>
      </c>
      <c r="H54">
        <v>-32.07</v>
      </c>
      <c r="I54">
        <v>-30.82</v>
      </c>
      <c r="J54">
        <v>-32.18</v>
      </c>
      <c r="K54">
        <v>-31.67</v>
      </c>
      <c r="L54">
        <v>-30.5</v>
      </c>
      <c r="M54">
        <v>-30.02</v>
      </c>
    </row>
    <row r="55" spans="1:13" x14ac:dyDescent="0.3">
      <c r="A55" s="1">
        <v>0</v>
      </c>
      <c r="B55">
        <v>-30</v>
      </c>
      <c r="C55">
        <v>-30.19</v>
      </c>
      <c r="D55">
        <v>-28.79</v>
      </c>
      <c r="E55">
        <v>-31.21</v>
      </c>
      <c r="F55">
        <v>-28.84</v>
      </c>
      <c r="G55">
        <v>-30.55</v>
      </c>
      <c r="H55">
        <v>-31.02</v>
      </c>
      <c r="I55">
        <v>-29.770000000000003</v>
      </c>
      <c r="J55">
        <v>-31.439999999999998</v>
      </c>
      <c r="K55">
        <v>-30.71</v>
      </c>
      <c r="L55">
        <v>-30.16</v>
      </c>
      <c r="M55">
        <v>-29.49</v>
      </c>
    </row>
    <row r="56" spans="1:13" x14ac:dyDescent="0.3">
      <c r="A56" s="1">
        <v>0</v>
      </c>
      <c r="B56">
        <v>-29.4</v>
      </c>
      <c r="C56">
        <v>-29.610000000000003</v>
      </c>
      <c r="D56">
        <v>-28.16</v>
      </c>
      <c r="E56">
        <v>-30.74</v>
      </c>
      <c r="F56">
        <v>-28.42</v>
      </c>
      <c r="G56">
        <v>-29.83</v>
      </c>
      <c r="H56">
        <v>-30.4</v>
      </c>
      <c r="I56">
        <v>-29.23</v>
      </c>
      <c r="J56">
        <v>-30.56</v>
      </c>
      <c r="K56">
        <v>-29.98</v>
      </c>
      <c r="L56">
        <v>-29.72</v>
      </c>
      <c r="M56">
        <v>-28.979999999999997</v>
      </c>
    </row>
    <row r="57" spans="1:13" x14ac:dyDescent="0.3">
      <c r="A57" s="1">
        <v>0</v>
      </c>
      <c r="B57">
        <v>-28.8</v>
      </c>
      <c r="C57">
        <v>-29.14</v>
      </c>
      <c r="D57">
        <v>-27.43</v>
      </c>
      <c r="E57">
        <v>-30.17</v>
      </c>
      <c r="F57">
        <v>-27.84</v>
      </c>
      <c r="G57">
        <v>-29.25</v>
      </c>
      <c r="H57">
        <v>-29.869999999999997</v>
      </c>
      <c r="I57">
        <v>-28.78</v>
      </c>
      <c r="J57">
        <v>-30.04</v>
      </c>
      <c r="K57">
        <v>-29.46</v>
      </c>
      <c r="L57">
        <v>-29.18</v>
      </c>
      <c r="M57">
        <v>-28.5</v>
      </c>
    </row>
    <row r="58" spans="1:13" x14ac:dyDescent="0.3">
      <c r="A58" s="1">
        <v>0</v>
      </c>
      <c r="B58">
        <v>-28.87</v>
      </c>
      <c r="C58">
        <v>-29.21</v>
      </c>
      <c r="D58">
        <v>-29.23</v>
      </c>
      <c r="E58">
        <v>-31.65</v>
      </c>
      <c r="F58">
        <v>-30.64</v>
      </c>
      <c r="G58">
        <v>-29.64</v>
      </c>
      <c r="H58">
        <v>-30.75</v>
      </c>
      <c r="I58">
        <v>-31.46</v>
      </c>
      <c r="J58">
        <v>-30.889999999999997</v>
      </c>
      <c r="K58">
        <v>-30.33</v>
      </c>
      <c r="L58">
        <v>-30.599999999999998</v>
      </c>
      <c r="M58">
        <v>-30.08</v>
      </c>
    </row>
    <row r="59" spans="1:13" x14ac:dyDescent="0.3">
      <c r="A59" s="1">
        <v>0</v>
      </c>
      <c r="B59">
        <v>-28.78</v>
      </c>
      <c r="C59">
        <v>-28.990000000000002</v>
      </c>
      <c r="D59">
        <v>-27.25</v>
      </c>
      <c r="E59">
        <v>-31.24</v>
      </c>
      <c r="F59">
        <v>-29.05</v>
      </c>
      <c r="G59">
        <v>-29.4</v>
      </c>
      <c r="H59">
        <v>-30.58</v>
      </c>
      <c r="I59">
        <v>-29.990000000000002</v>
      </c>
      <c r="J59">
        <v>-30.15</v>
      </c>
      <c r="K59">
        <v>-30.19</v>
      </c>
      <c r="L59">
        <v>-30.099999999999998</v>
      </c>
      <c r="M59">
        <v>-29.36</v>
      </c>
    </row>
    <row r="60" spans="1:13" x14ac:dyDescent="0.3">
      <c r="A60" s="1">
        <v>0</v>
      </c>
      <c r="B60">
        <v>-30.42</v>
      </c>
      <c r="C60">
        <v>-29.55</v>
      </c>
      <c r="D60">
        <v>-28.64</v>
      </c>
      <c r="E60">
        <v>-30.12</v>
      </c>
      <c r="F60">
        <v>-27.990000000000002</v>
      </c>
      <c r="G60">
        <v>-29.939999999999998</v>
      </c>
      <c r="H60">
        <v>-30.33</v>
      </c>
      <c r="I60">
        <v>-29.610000000000003</v>
      </c>
      <c r="J60">
        <v>-30.349999999999998</v>
      </c>
      <c r="K60">
        <v>-29.91</v>
      </c>
      <c r="L60">
        <v>-29.259999999999998</v>
      </c>
      <c r="M60">
        <v>-28.759999999999998</v>
      </c>
    </row>
    <row r="61" spans="1:13" x14ac:dyDescent="0.3">
      <c r="A61" s="1">
        <v>0</v>
      </c>
      <c r="B61">
        <v>-31.91</v>
      </c>
      <c r="C61">
        <v>-30.69</v>
      </c>
      <c r="D61">
        <v>-30.38</v>
      </c>
      <c r="E61">
        <v>-31.01</v>
      </c>
      <c r="F61">
        <v>-28.48</v>
      </c>
      <c r="G61">
        <v>-31.02</v>
      </c>
      <c r="H61">
        <v>-31.549999999999997</v>
      </c>
      <c r="I61">
        <v>-30.310000000000002</v>
      </c>
      <c r="J61">
        <v>-31.759999999999998</v>
      </c>
      <c r="K61">
        <v>-31.11</v>
      </c>
      <c r="L61">
        <v>-30.169999999999998</v>
      </c>
      <c r="M61">
        <v>-29.31</v>
      </c>
    </row>
    <row r="62" spans="1:13" x14ac:dyDescent="0.3">
      <c r="A62" s="1">
        <v>0</v>
      </c>
      <c r="B62">
        <v>-30.58</v>
      </c>
      <c r="C62">
        <v>-30.17</v>
      </c>
      <c r="D62">
        <v>-29.28</v>
      </c>
      <c r="E62">
        <v>-31.38</v>
      </c>
      <c r="F62">
        <v>-28.67</v>
      </c>
      <c r="G62">
        <v>-30.34</v>
      </c>
      <c r="H62">
        <v>-31.41</v>
      </c>
      <c r="I62">
        <v>-29.700000000000003</v>
      </c>
      <c r="J62">
        <v>-31.709999999999997</v>
      </c>
      <c r="K62">
        <v>-31.06</v>
      </c>
      <c r="L62">
        <v>-30.29</v>
      </c>
      <c r="M62">
        <v>-29.43</v>
      </c>
    </row>
    <row r="63" spans="1:13" x14ac:dyDescent="0.3">
      <c r="A63" s="1">
        <v>0</v>
      </c>
      <c r="B63">
        <v>-29.72</v>
      </c>
      <c r="C63">
        <v>-29.520000000000003</v>
      </c>
      <c r="D63">
        <v>-28.23</v>
      </c>
      <c r="E63">
        <v>-30.77</v>
      </c>
      <c r="F63">
        <v>-28.04</v>
      </c>
      <c r="G63">
        <v>-29.77</v>
      </c>
      <c r="H63">
        <v>-30.549999999999997</v>
      </c>
      <c r="I63">
        <v>-28.580000000000002</v>
      </c>
      <c r="J63">
        <v>-31.099999999999998</v>
      </c>
      <c r="K63">
        <v>-30.23</v>
      </c>
      <c r="L63">
        <v>-29.74</v>
      </c>
      <c r="M63">
        <v>-28.93</v>
      </c>
    </row>
    <row r="64" spans="1:13" x14ac:dyDescent="0.3">
      <c r="A64" s="1">
        <v>0</v>
      </c>
      <c r="B64">
        <v>-29.16</v>
      </c>
      <c r="C64">
        <v>-29.040000000000003</v>
      </c>
      <c r="D64">
        <v>-27.52</v>
      </c>
      <c r="E64">
        <v>-30.25</v>
      </c>
      <c r="F64">
        <v>-27.52</v>
      </c>
      <c r="G64">
        <v>-29.25</v>
      </c>
      <c r="H64">
        <v>-29.99</v>
      </c>
      <c r="I64">
        <v>-27.900000000000002</v>
      </c>
      <c r="J64">
        <v>-30.279999999999998</v>
      </c>
      <c r="K64">
        <v>-29.66</v>
      </c>
      <c r="L64">
        <v>-29.22</v>
      </c>
      <c r="M64">
        <v>-28.41</v>
      </c>
    </row>
    <row r="65" spans="1:13" x14ac:dyDescent="0.3">
      <c r="A65" s="1">
        <v>0</v>
      </c>
      <c r="B65">
        <v>-28.77</v>
      </c>
      <c r="C65">
        <v>-29.42</v>
      </c>
      <c r="D65">
        <v>-29.3</v>
      </c>
      <c r="E65">
        <v>-31.56</v>
      </c>
      <c r="F65">
        <v>-30.45</v>
      </c>
      <c r="G65">
        <v>-29.74</v>
      </c>
      <c r="H65">
        <v>-30.81</v>
      </c>
      <c r="I65">
        <v>-31.310000000000002</v>
      </c>
      <c r="J65">
        <v>-30.95</v>
      </c>
      <c r="K65">
        <v>-30.37</v>
      </c>
      <c r="L65">
        <v>-30.52</v>
      </c>
      <c r="M65">
        <v>-29.95</v>
      </c>
    </row>
    <row r="66" spans="1:13" x14ac:dyDescent="0.3">
      <c r="A66" s="1">
        <v>0</v>
      </c>
      <c r="B66">
        <v>-29</v>
      </c>
      <c r="C66">
        <v>-29.3</v>
      </c>
      <c r="D66">
        <v>-27.63</v>
      </c>
      <c r="E66">
        <v>-31.39</v>
      </c>
      <c r="F66">
        <v>-29.240000000000002</v>
      </c>
      <c r="G66">
        <v>-29.669999999999998</v>
      </c>
      <c r="H66">
        <v>-30.72</v>
      </c>
      <c r="I66">
        <v>-30.25</v>
      </c>
      <c r="J66">
        <v>-30.419999999999998</v>
      </c>
      <c r="K66">
        <v>-30.4</v>
      </c>
      <c r="L66">
        <v>-30.349999999999998</v>
      </c>
      <c r="M66">
        <v>-29.63</v>
      </c>
    </row>
    <row r="67" spans="1:13" x14ac:dyDescent="0.3">
      <c r="A67" s="1">
        <v>0</v>
      </c>
      <c r="B67">
        <v>-28.24</v>
      </c>
      <c r="C67">
        <v>-28.580000000000002</v>
      </c>
      <c r="D67">
        <v>-26.71</v>
      </c>
      <c r="E67">
        <v>-30.63</v>
      </c>
      <c r="F67">
        <v>-28.55</v>
      </c>
      <c r="G67">
        <v>-29.12</v>
      </c>
      <c r="H67">
        <v>-30.09</v>
      </c>
      <c r="I67">
        <v>-29.3</v>
      </c>
      <c r="J67">
        <v>-29.77</v>
      </c>
      <c r="K67">
        <v>-29.73</v>
      </c>
      <c r="L67">
        <v>-29.479999999999997</v>
      </c>
      <c r="M67">
        <v>-28.86</v>
      </c>
    </row>
    <row r="68" spans="1:13" x14ac:dyDescent="0.3">
      <c r="A68" s="1">
        <v>0</v>
      </c>
      <c r="B68">
        <v>-31.21</v>
      </c>
      <c r="C68">
        <v>-30</v>
      </c>
      <c r="D68">
        <v>-29.57</v>
      </c>
      <c r="E68">
        <v>-30.46</v>
      </c>
      <c r="F68">
        <v>-27.87</v>
      </c>
      <c r="G68">
        <v>-30.4</v>
      </c>
      <c r="H68">
        <v>-30.88</v>
      </c>
      <c r="I68">
        <v>-29.91</v>
      </c>
      <c r="J68">
        <v>-31.08</v>
      </c>
      <c r="K68">
        <v>-30.43</v>
      </c>
      <c r="L68">
        <v>-29.689999999999998</v>
      </c>
      <c r="M68">
        <v>-28.959999999999997</v>
      </c>
    </row>
    <row r="69" spans="1:13" x14ac:dyDescent="0.3">
      <c r="A69" s="1">
        <v>0</v>
      </c>
      <c r="B69">
        <v>-31.7</v>
      </c>
      <c r="C69">
        <v>-30.57</v>
      </c>
      <c r="D69">
        <v>-30.29</v>
      </c>
      <c r="E69">
        <v>-31.1</v>
      </c>
      <c r="F69">
        <v>-28.73</v>
      </c>
      <c r="G69">
        <v>-30.93</v>
      </c>
      <c r="H69">
        <v>-31.939999999999998</v>
      </c>
      <c r="I69">
        <v>-30.23</v>
      </c>
      <c r="J69">
        <v>-31.959999999999997</v>
      </c>
      <c r="K69">
        <v>-31.37</v>
      </c>
      <c r="L69">
        <v>-30.25</v>
      </c>
      <c r="M69">
        <v>-29.4</v>
      </c>
    </row>
    <row r="70" spans="1:13" x14ac:dyDescent="0.3">
      <c r="A70" s="1">
        <v>0</v>
      </c>
      <c r="B70">
        <v>-29.94</v>
      </c>
      <c r="C70">
        <v>-29.810000000000002</v>
      </c>
      <c r="D70">
        <v>-28.68</v>
      </c>
      <c r="E70">
        <v>-31.07</v>
      </c>
      <c r="F70">
        <v>-28.26</v>
      </c>
      <c r="G70">
        <v>-29.97</v>
      </c>
      <c r="H70">
        <v>-30.91</v>
      </c>
      <c r="I70">
        <v>-28.94</v>
      </c>
      <c r="J70">
        <v>-31.549999999999997</v>
      </c>
      <c r="K70">
        <v>-30.49</v>
      </c>
      <c r="L70">
        <v>-29.91</v>
      </c>
      <c r="M70">
        <v>-29.119999999999997</v>
      </c>
    </row>
    <row r="71" spans="1:13" x14ac:dyDescent="0.3">
      <c r="A71" s="1">
        <v>0</v>
      </c>
      <c r="B71">
        <v>-29.39</v>
      </c>
      <c r="C71">
        <v>-29.25</v>
      </c>
      <c r="D71">
        <v>-27.96</v>
      </c>
      <c r="E71">
        <v>-30.5</v>
      </c>
      <c r="F71">
        <v>-27.57</v>
      </c>
      <c r="G71">
        <v>-29.509999999999998</v>
      </c>
      <c r="H71">
        <v>-30.29</v>
      </c>
      <c r="I71">
        <v>-28.240000000000002</v>
      </c>
      <c r="J71">
        <v>-30.63</v>
      </c>
      <c r="K71">
        <v>-29.97</v>
      </c>
      <c r="L71">
        <v>-29.419999999999998</v>
      </c>
      <c r="M71">
        <v>-28.65</v>
      </c>
    </row>
    <row r="72" spans="1:13" x14ac:dyDescent="0.3">
      <c r="A72" s="1">
        <v>0</v>
      </c>
      <c r="B72">
        <v>-28.88</v>
      </c>
      <c r="C72">
        <v>-29.040000000000003</v>
      </c>
      <c r="D72">
        <v>-28.94</v>
      </c>
      <c r="E72">
        <v>-31.06</v>
      </c>
      <c r="F72">
        <v>-29.96</v>
      </c>
      <c r="G72">
        <v>-29.509999999999998</v>
      </c>
      <c r="H72">
        <v>-30.369999999999997</v>
      </c>
      <c r="I72">
        <v>-30.8</v>
      </c>
      <c r="J72">
        <v>-30.599999999999998</v>
      </c>
      <c r="K72">
        <v>-29.99</v>
      </c>
      <c r="L72">
        <v>-29.9</v>
      </c>
      <c r="M72">
        <v>-29.279999999999998</v>
      </c>
    </row>
    <row r="73" spans="1:13" x14ac:dyDescent="0.3">
      <c r="A73" s="1">
        <v>0</v>
      </c>
      <c r="B73">
        <v>-29.23</v>
      </c>
      <c r="C73">
        <v>-29.6</v>
      </c>
      <c r="D73">
        <v>-28.37</v>
      </c>
      <c r="E73">
        <v>-31.66</v>
      </c>
      <c r="F73">
        <v>-29.46</v>
      </c>
      <c r="G73">
        <v>-29.88</v>
      </c>
      <c r="H73">
        <v>-30.959999999999997</v>
      </c>
      <c r="I73">
        <v>-30.580000000000002</v>
      </c>
      <c r="J73">
        <v>-31.009999999999998</v>
      </c>
      <c r="K73">
        <v>-30.6</v>
      </c>
      <c r="L73">
        <v>-30.669999999999998</v>
      </c>
      <c r="M73">
        <v>-30.009999999999998</v>
      </c>
    </row>
    <row r="74" spans="1:13" x14ac:dyDescent="0.3">
      <c r="A74" s="1">
        <v>0</v>
      </c>
      <c r="B74">
        <v>-28.58</v>
      </c>
      <c r="C74">
        <v>-28.84</v>
      </c>
      <c r="D74">
        <v>-26.94</v>
      </c>
      <c r="E74">
        <v>-30.86</v>
      </c>
      <c r="F74">
        <v>-28.830000000000002</v>
      </c>
      <c r="G74">
        <v>-29.45</v>
      </c>
      <c r="H74">
        <v>-30.45</v>
      </c>
      <c r="I74">
        <v>-29.73</v>
      </c>
      <c r="J74">
        <v>-30.07</v>
      </c>
      <c r="K74">
        <v>-30.09</v>
      </c>
      <c r="L74">
        <v>-29.759999999999998</v>
      </c>
      <c r="M74">
        <v>-29.22</v>
      </c>
    </row>
    <row r="75" spans="1:13" x14ac:dyDescent="0.3">
      <c r="A75" s="1">
        <v>0</v>
      </c>
      <c r="B75">
        <v>-30.13</v>
      </c>
      <c r="C75">
        <v>-29.41</v>
      </c>
      <c r="D75">
        <v>-28.28</v>
      </c>
      <c r="E75">
        <v>-30.03</v>
      </c>
      <c r="F75">
        <v>-27.84</v>
      </c>
      <c r="G75">
        <v>-29.79</v>
      </c>
      <c r="H75">
        <v>-30.22</v>
      </c>
      <c r="I75">
        <v>-29.44</v>
      </c>
      <c r="J75">
        <v>-30.229999999999997</v>
      </c>
      <c r="K75">
        <v>-29.82</v>
      </c>
      <c r="L75">
        <v>-29.139999999999997</v>
      </c>
      <c r="M75">
        <v>-28.669999999999998</v>
      </c>
    </row>
    <row r="76" spans="1:13" x14ac:dyDescent="0.3">
      <c r="A76" s="1">
        <v>0</v>
      </c>
      <c r="B76">
        <v>-31.81</v>
      </c>
      <c r="C76">
        <v>-30.560000000000002</v>
      </c>
      <c r="D76">
        <v>-30.21</v>
      </c>
      <c r="E76">
        <v>-30.77</v>
      </c>
      <c r="F76">
        <v>-28.18</v>
      </c>
      <c r="G76">
        <v>-30.89</v>
      </c>
      <c r="H76">
        <v>-31.61</v>
      </c>
      <c r="I76">
        <v>-30.330000000000002</v>
      </c>
      <c r="J76">
        <v>-31.759999999999998</v>
      </c>
      <c r="K76">
        <v>-31.11</v>
      </c>
      <c r="L76">
        <v>-30.04</v>
      </c>
      <c r="M76">
        <v>-29.369999999999997</v>
      </c>
    </row>
    <row r="77" spans="1:13" x14ac:dyDescent="0.3">
      <c r="A77" s="1">
        <v>0</v>
      </c>
      <c r="B77">
        <v>-30.53</v>
      </c>
      <c r="C77">
        <v>-30.09</v>
      </c>
      <c r="D77">
        <v>-29.16</v>
      </c>
      <c r="E77">
        <v>-31.15</v>
      </c>
      <c r="F77">
        <v>-28.54</v>
      </c>
      <c r="G77">
        <v>-30.32</v>
      </c>
      <c r="H77">
        <v>-31.45</v>
      </c>
      <c r="I77">
        <v>-29.46</v>
      </c>
      <c r="J77">
        <v>-31.599999999999998</v>
      </c>
      <c r="K77">
        <v>-30.93</v>
      </c>
      <c r="L77">
        <v>-30.16</v>
      </c>
      <c r="M77">
        <v>-29.41</v>
      </c>
    </row>
    <row r="78" spans="1:13" x14ac:dyDescent="0.3">
      <c r="A78" s="1">
        <v>0</v>
      </c>
      <c r="B78">
        <v>-29.66</v>
      </c>
      <c r="C78">
        <v>-29.470000000000002</v>
      </c>
      <c r="D78">
        <v>-28.32</v>
      </c>
      <c r="E78">
        <v>-30.78</v>
      </c>
      <c r="F78">
        <v>-28.1</v>
      </c>
      <c r="G78">
        <v>-29.71</v>
      </c>
      <c r="H78">
        <v>-30.549999999999997</v>
      </c>
      <c r="I78">
        <v>-28.41</v>
      </c>
      <c r="J78">
        <v>-31.2</v>
      </c>
      <c r="K78">
        <v>-30.34</v>
      </c>
      <c r="L78">
        <v>-29.74</v>
      </c>
      <c r="M78">
        <v>-28.95</v>
      </c>
    </row>
    <row r="79" spans="1:13" x14ac:dyDescent="0.3">
      <c r="A79" s="1"/>
    </row>
    <row r="80" spans="1:13" x14ac:dyDescent="0.3">
      <c r="A80" s="1"/>
    </row>
    <row r="81" spans="1:1" x14ac:dyDescent="0.3">
      <c r="A81" s="1"/>
    </row>
    <row r="82" spans="1:1" x14ac:dyDescent="0.3">
      <c r="A82" s="1"/>
    </row>
    <row r="84" spans="1:1" x14ac:dyDescent="0.3">
      <c r="A84" s="1"/>
    </row>
    <row r="86" spans="1:1" x14ac:dyDescent="0.3">
      <c r="A86" s="1"/>
    </row>
    <row r="88" spans="1:1" x14ac:dyDescent="0.3">
      <c r="A88" s="1"/>
    </row>
    <row r="90" spans="1:1" x14ac:dyDescent="0.3">
      <c r="A90" s="1"/>
    </row>
    <row r="92" spans="1:1" x14ac:dyDescent="0.3">
      <c r="A92" s="1"/>
    </row>
    <row r="94" spans="1:1" x14ac:dyDescent="0.3">
      <c r="A94" s="1"/>
    </row>
    <row r="96" spans="1:1" x14ac:dyDescent="0.3">
      <c r="A96" s="1"/>
    </row>
    <row r="98" spans="1:1" x14ac:dyDescent="0.3">
      <c r="A98" s="1"/>
    </row>
    <row r="100" spans="1:1" x14ac:dyDescent="0.3">
      <c r="A100" s="1"/>
    </row>
    <row r="102" spans="1:1" x14ac:dyDescent="0.3">
      <c r="A102" s="1"/>
    </row>
    <row r="104" spans="1:1" x14ac:dyDescent="0.3">
      <c r="A104" s="1"/>
    </row>
    <row r="106" spans="1:1" x14ac:dyDescent="0.3">
      <c r="A106" s="1"/>
    </row>
    <row r="108" spans="1:1" x14ac:dyDescent="0.3">
      <c r="A108" s="1"/>
    </row>
    <row r="110" spans="1:1" x14ac:dyDescent="0.3">
      <c r="A110" s="1"/>
    </row>
    <row r="112" spans="1:1" x14ac:dyDescent="0.3">
      <c r="A112" s="1"/>
    </row>
    <row r="114" spans="1:1" x14ac:dyDescent="0.3">
      <c r="A114" s="1"/>
    </row>
    <row r="116" spans="1:1" x14ac:dyDescent="0.3">
      <c r="A116" s="1"/>
    </row>
    <row r="118" spans="1:1" x14ac:dyDescent="0.3">
      <c r="A118" s="1"/>
    </row>
    <row r="120" spans="1:1" x14ac:dyDescent="0.3">
      <c r="A120" s="1"/>
    </row>
    <row r="122" spans="1:1" x14ac:dyDescent="0.3">
      <c r="A122" s="1"/>
    </row>
    <row r="124" spans="1:1" x14ac:dyDescent="0.3">
      <c r="A124" s="1"/>
    </row>
    <row r="126" spans="1:1" x14ac:dyDescent="0.3">
      <c r="A126" s="1"/>
    </row>
    <row r="128" spans="1:1" x14ac:dyDescent="0.3">
      <c r="A128" s="1"/>
    </row>
    <row r="130" spans="1:1" x14ac:dyDescent="0.3">
      <c r="A130" s="1"/>
    </row>
    <row r="132" spans="1:1" x14ac:dyDescent="0.3">
      <c r="A132" s="1"/>
    </row>
    <row r="134" spans="1:1" x14ac:dyDescent="0.3">
      <c r="A134" s="1"/>
    </row>
    <row r="136" spans="1:1" x14ac:dyDescent="0.3">
      <c r="A136" s="1"/>
    </row>
    <row r="138" spans="1:1" x14ac:dyDescent="0.3">
      <c r="A138" s="1"/>
    </row>
    <row r="140" spans="1:1" x14ac:dyDescent="0.3">
      <c r="A140" s="1"/>
    </row>
    <row r="142" spans="1:1" x14ac:dyDescent="0.3">
      <c r="A142" s="1"/>
    </row>
    <row r="144" spans="1:1" x14ac:dyDescent="0.3">
      <c r="A144" s="1"/>
    </row>
    <row r="146" spans="1:1" x14ac:dyDescent="0.3">
      <c r="A146" s="1"/>
    </row>
    <row r="148" spans="1:1" x14ac:dyDescent="0.3">
      <c r="A148" s="1"/>
    </row>
    <row r="150" spans="1:1" x14ac:dyDescent="0.3">
      <c r="A150" s="1"/>
    </row>
    <row r="152" spans="1:1" x14ac:dyDescent="0.3">
      <c r="A152" s="1"/>
    </row>
    <row r="154" spans="1:1" x14ac:dyDescent="0.3">
      <c r="A154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E971A-A4D9-4389-8750-3C25DED1C047}">
  <sheetPr codeName="Feuil4"/>
  <dimension ref="A1:N29"/>
  <sheetViews>
    <sheetView workbookViewId="0">
      <selection activeCell="B24" sqref="B24"/>
    </sheetView>
  </sheetViews>
  <sheetFormatPr baseColWidth="10" defaultRowHeight="14.4" x14ac:dyDescent="0.3"/>
  <cols>
    <col min="1" max="1" width="13.77734375" bestFit="1" customWidth="1"/>
    <col min="5" max="5" width="14.88671875" bestFit="1" customWidth="1"/>
  </cols>
  <sheetData>
    <row r="1" spans="1:6" x14ac:dyDescent="0.3">
      <c r="A1" s="16"/>
      <c r="B1" s="15" t="s">
        <v>83</v>
      </c>
      <c r="C1" s="15" t="s">
        <v>15</v>
      </c>
      <c r="E1" s="18" t="s">
        <v>16</v>
      </c>
      <c r="F1">
        <f>Mesures!B7</f>
        <v>-30</v>
      </c>
    </row>
    <row r="2" spans="1:6" x14ac:dyDescent="0.3">
      <c r="A2" s="16"/>
      <c r="B2">
        <f>Mesures!D11</f>
        <v>-0.13</v>
      </c>
      <c r="C2">
        <f>Mesures!E11</f>
        <v>-0.05</v>
      </c>
      <c r="E2" s="18" t="s">
        <v>84</v>
      </c>
      <c r="F2" s="19" t="str">
        <f>"+" &amp; Mesures!B8 &amp; "°C"</f>
        <v>+5°C</v>
      </c>
    </row>
    <row r="3" spans="1:6" x14ac:dyDescent="0.3">
      <c r="A3" s="17"/>
      <c r="B3">
        <f>Mesures!D12</f>
        <v>-0.15</v>
      </c>
      <c r="C3">
        <f>Mesures!E12</f>
        <v>-0.15000000000000002</v>
      </c>
      <c r="E3" s="18" t="s">
        <v>85</v>
      </c>
      <c r="F3" s="19" t="str">
        <f>"-" &amp; Mesures!B8 &amp; "°C"</f>
        <v>-5°C</v>
      </c>
    </row>
    <row r="4" spans="1:6" x14ac:dyDescent="0.3">
      <c r="B4">
        <f>Mesures!D13</f>
        <v>-0.44999999999999996</v>
      </c>
      <c r="C4">
        <f>Mesures!E13</f>
        <v>-0.25</v>
      </c>
    </row>
    <row r="5" spans="1:6" x14ac:dyDescent="0.3">
      <c r="B5">
        <f>Mesures!D14</f>
        <v>-0.75</v>
      </c>
      <c r="C5">
        <f>Mesures!E14</f>
        <v>-0.35</v>
      </c>
    </row>
    <row r="6" spans="1:6" x14ac:dyDescent="0.3">
      <c r="B6">
        <f>Mesures!D15</f>
        <v>-0.3</v>
      </c>
      <c r="C6">
        <f>Mesures!E15</f>
        <v>-0.44999999999999996</v>
      </c>
    </row>
    <row r="7" spans="1:6" x14ac:dyDescent="0.3">
      <c r="B7">
        <f>Mesures!D16</f>
        <v>-0.3</v>
      </c>
      <c r="C7">
        <f>Mesures!E16</f>
        <v>-0.54999999999999993</v>
      </c>
    </row>
    <row r="8" spans="1:6" x14ac:dyDescent="0.3">
      <c r="B8">
        <f>Mesures!D17</f>
        <v>-0.6</v>
      </c>
      <c r="C8">
        <f>Mesures!E17</f>
        <v>-0.64999999999999991</v>
      </c>
    </row>
    <row r="9" spans="1:6" x14ac:dyDescent="0.3">
      <c r="B9">
        <f>Mesures!D18</f>
        <v>-0.89999999999999991</v>
      </c>
      <c r="C9">
        <f>Mesures!E18</f>
        <v>-0.74999999999999989</v>
      </c>
    </row>
    <row r="10" spans="1:6" x14ac:dyDescent="0.3">
      <c r="B10">
        <f>Mesures!D19</f>
        <v>-0.3</v>
      </c>
      <c r="C10">
        <f>Mesures!E19</f>
        <v>-0.84999999999999987</v>
      </c>
    </row>
    <row r="11" spans="1:6" x14ac:dyDescent="0.3">
      <c r="B11">
        <f>Mesures!D20</f>
        <v>-0.3</v>
      </c>
      <c r="C11">
        <f>Mesures!E20</f>
        <v>-0.94999999999999984</v>
      </c>
    </row>
    <row r="12" spans="1:6" x14ac:dyDescent="0.3">
      <c r="B12">
        <f>Mesures!D21</f>
        <v>-0.3</v>
      </c>
      <c r="C12">
        <f>Mesures!E21</f>
        <v>-0.1</v>
      </c>
    </row>
    <row r="13" spans="1:6" x14ac:dyDescent="0.3">
      <c r="B13">
        <f>Mesures!D22</f>
        <v>-0.3</v>
      </c>
      <c r="C13">
        <f>Mesures!E22</f>
        <v>-0.1</v>
      </c>
    </row>
    <row r="22" spans="1:14" x14ac:dyDescent="0.3">
      <c r="B22" s="14" t="str">
        <f>Valeurs_Corrigées[#Headers]</f>
        <v xml:space="preserve">TC1 </v>
      </c>
      <c r="C22" s="14" t="str">
        <f>Valeurs_Corrigées[#Headers]</f>
        <v xml:space="preserve">TC2    </v>
      </c>
      <c r="D22" s="14" t="str">
        <f>Valeurs_Corrigées[#Headers]</f>
        <v xml:space="preserve">TC3       </v>
      </c>
      <c r="E22" s="14" t="str">
        <f>Valeurs_Corrigées[#Headers]</f>
        <v xml:space="preserve">TC4           </v>
      </c>
      <c r="F22" s="14" t="str">
        <f>Valeurs_Corrigées[#Headers]</f>
        <v xml:space="preserve">TC5 </v>
      </c>
      <c r="G22" s="14" t="str">
        <f>Valeurs_Corrigées[#Headers]</f>
        <v xml:space="preserve">TC6     </v>
      </c>
      <c r="H22" s="14" t="str">
        <f>Valeurs_Corrigées[#Headers]</f>
        <v xml:space="preserve">TC7        </v>
      </c>
      <c r="I22" s="14" t="str">
        <f>Valeurs_Corrigées[#Headers]</f>
        <v xml:space="preserve">TC8         </v>
      </c>
      <c r="J22" s="14" t="str">
        <f>Valeurs_Corrigées[#Headers]</f>
        <v xml:space="preserve">TC9           </v>
      </c>
      <c r="K22" s="14" t="str">
        <f>Valeurs_Corrigées[#Headers]</f>
        <v xml:space="preserve">TC10               </v>
      </c>
      <c r="L22" s="14" t="str">
        <f>Valeurs_Corrigées[#Headers]</f>
        <v>TC11</v>
      </c>
      <c r="M22" s="14" t="str">
        <f>Valeurs_Corrigées[#Headers]</f>
        <v>TC12</v>
      </c>
    </row>
    <row r="23" spans="1:14" x14ac:dyDescent="0.3">
      <c r="A23" s="14" t="s">
        <v>76</v>
      </c>
      <c r="B23">
        <f>MAX(Valeurs_Corrigées[[TC1 ]])</f>
        <v>-15.71</v>
      </c>
      <c r="C23">
        <f>MAX(Valeurs_Corrigées[[TC2    ]])</f>
        <v>-22.34</v>
      </c>
      <c r="D23">
        <f>MAX(Valeurs_Corrigées[[TC3       ]])</f>
        <v>7.45</v>
      </c>
      <c r="E23">
        <f>MAX(Valeurs_Corrigées[[TC4           ]])</f>
        <v>-28.09</v>
      </c>
      <c r="F23">
        <f>MAX(Valeurs_Corrigées[[TC5 ]])</f>
        <v>-24.34</v>
      </c>
      <c r="G23">
        <f>MAX(Valeurs_Corrigées[[TC6     ]])</f>
        <v>-20.71</v>
      </c>
      <c r="H23">
        <f>MAX(Valeurs_Corrigées[[TC7        ]])</f>
        <v>-22.65</v>
      </c>
      <c r="I23">
        <f>MAX(Valeurs_Corrigées[[TC8         ]])</f>
        <v>-28.09</v>
      </c>
      <c r="J23">
        <f>MAX(Valeurs_Corrigées[[TC9           ]])</f>
        <v>-13.24</v>
      </c>
      <c r="K23">
        <f>MAX(Valeurs_Corrigées[[TC10               ]])</f>
        <v>-22.58</v>
      </c>
      <c r="L23">
        <f>MAX(Valeurs_Corrigées[TC11])</f>
        <v>-27.5</v>
      </c>
      <c r="M23">
        <f>MAX(Valeurs_Corrigées[TC12])</f>
        <v>-27.029999999999998</v>
      </c>
      <c r="N23">
        <f>F1+ Mesures!B8</f>
        <v>-25</v>
      </c>
    </row>
    <row r="24" spans="1:14" x14ac:dyDescent="0.3">
      <c r="A24" s="14" t="s">
        <v>77</v>
      </c>
      <c r="N24">
        <f>F1+ Mesures!B8</f>
        <v>-25</v>
      </c>
    </row>
    <row r="25" spans="1:14" x14ac:dyDescent="0.3">
      <c r="A25" s="14" t="s">
        <v>78</v>
      </c>
      <c r="N25">
        <f>F1+ Mesures!B9</f>
        <v>-30</v>
      </c>
    </row>
    <row r="26" spans="1:14" x14ac:dyDescent="0.3">
      <c r="A26" s="14" t="s">
        <v>79</v>
      </c>
    </row>
    <row r="27" spans="1:14" x14ac:dyDescent="0.3">
      <c r="A27" s="14" t="s">
        <v>80</v>
      </c>
      <c r="B27">
        <f>B24-B25</f>
        <v>0</v>
      </c>
      <c r="C27">
        <f>C24-C25</f>
        <v>0</v>
      </c>
      <c r="D27">
        <f t="shared" ref="D27:M27" si="0">D24-D25</f>
        <v>0</v>
      </c>
      <c r="E27">
        <f t="shared" si="0"/>
        <v>0</v>
      </c>
      <c r="F27">
        <f t="shared" si="0"/>
        <v>0</v>
      </c>
      <c r="G27">
        <f t="shared" si="0"/>
        <v>0</v>
      </c>
      <c r="H27">
        <f t="shared" si="0"/>
        <v>0</v>
      </c>
      <c r="I27">
        <f t="shared" si="0"/>
        <v>0</v>
      </c>
      <c r="J27">
        <f t="shared" si="0"/>
        <v>0</v>
      </c>
      <c r="K27">
        <f t="shared" si="0"/>
        <v>0</v>
      </c>
      <c r="L27">
        <f t="shared" si="0"/>
        <v>0</v>
      </c>
      <c r="M27">
        <f t="shared" si="0"/>
        <v>0</v>
      </c>
    </row>
    <row r="28" spans="1:14" x14ac:dyDescent="0.3">
      <c r="A28" s="14" t="s">
        <v>81</v>
      </c>
      <c r="B28" s="20">
        <f>(MAX(B24:M24)-MIN(B25:M25))</f>
        <v>0</v>
      </c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</row>
    <row r="29" spans="1:14" x14ac:dyDescent="0.3">
      <c r="A29" s="14" t="s">
        <v>82</v>
      </c>
      <c r="B29" s="20" t="e">
        <f>AVERAGE(B26:M26)</f>
        <v>#DIV/0!</v>
      </c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</row>
  </sheetData>
  <mergeCells count="2">
    <mergeCell ref="B28:N28"/>
    <mergeCell ref="B29:N29"/>
  </mergeCells>
  <pageMargins left="0.7" right="0.7" top="0.75" bottom="0.75" header="0.3" footer="0.3"/>
  <ignoredErrors>
    <ignoredError sqref="B29" evalError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A5452-AC68-48A8-A5F1-E8236A5E324C}">
  <sheetPr codeName="Feuil5"/>
  <dimension ref="A1"/>
  <sheetViews>
    <sheetView workbookViewId="0">
      <selection activeCell="E32" sqref="E32"/>
    </sheetView>
  </sheetViews>
  <sheetFormatPr baseColWidth="10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Mesures</vt:lpstr>
      <vt:lpstr>Entete</vt:lpstr>
      <vt:lpstr>Valeurs Corrigées</vt:lpstr>
      <vt:lpstr>-30°C</vt:lpstr>
      <vt:lpstr>PV</vt:lpstr>
      <vt:lpstr>Les_Entetes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BERNE</dc:creator>
  <cp:lastModifiedBy>Paul BERNE</cp:lastModifiedBy>
  <dcterms:created xsi:type="dcterms:W3CDTF">2024-01-09T12:15:38Z</dcterms:created>
  <dcterms:modified xsi:type="dcterms:W3CDTF">2024-01-11T12:32:35Z</dcterms:modified>
</cp:coreProperties>
</file>