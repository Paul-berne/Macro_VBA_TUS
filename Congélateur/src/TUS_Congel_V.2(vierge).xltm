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pberne\Desktop\projet_git\Macro_VBA_TUS\Congélateur\src\"/>
    </mc:Choice>
  </mc:AlternateContent>
  <xr:revisionPtr revIDLastSave="0" documentId="13_ncr:1_{1F2DD6ED-3DBE-4392-8B3A-16E24757A64C}" xr6:coauthVersionLast="47" xr6:coauthVersionMax="47" xr10:uidLastSave="{00000000-0000-0000-0000-000000000000}"/>
  <workbookProtection workbookAlgorithmName="SHA-512" workbookHashValue="83X3ayiTZP+Rd1NCtkZrOqq0xnq4v2LI255q7oHqFomoUvWUTB7MWAK/pd7jOZHUr/CDoyg8h+XQq6sSRmo9Sg==" workbookSaltValue="srvhticlTOYTa0uH+lxGig==" workbookSpinCount="100000" lockStructure="1"/>
  <bookViews>
    <workbookView xWindow="4980" yWindow="2955" windowWidth="21600" windowHeight="11385" xr2:uid="{BDF04682-C56A-4C37-BAA6-B5F857B225CE}"/>
  </bookViews>
  <sheets>
    <sheet name="Mesures" sheetId="1" r:id="rId1"/>
    <sheet name="Entete" sheetId="3" state="hidden" r:id="rId2"/>
    <sheet name="Valeurs brutes" sheetId="2" r:id="rId3"/>
    <sheet name="-30°C" sheetId="4" r:id="rId4"/>
    <sheet name="PV" sheetId="5" r:id="rId5"/>
  </sheets>
  <functionGroups builtInGroupCount="19"/>
  <definedNames>
    <definedName name="Consigne_tolerance">Mesures!$A$19:$B$20</definedName>
    <definedName name="Les_Entetes">Entete!$A$1:$N$20</definedName>
    <definedName name="maintien">'Valeurs brutes'!#REF!</definedName>
    <definedName name="MT1_30">'-30°C'!$A$11</definedName>
    <definedName name="MT2_30">'-30°C'!$A$12</definedName>
    <definedName name="Positions_TC_Enreg">Mesures!$A$22:$C$34</definedName>
    <definedName name="test">'-30°C'!$B$11</definedName>
    <definedName name="test1">'-30°C'!$B$10:$B$11</definedName>
    <definedName name="verif_propagation_30">'-30°C'!$B$10:$N$11</definedName>
    <definedName name="_xlnm.Print_Area" localSheetId="4">PV!$A$1:$J$318</definedName>
    <definedName name="Zone_info_TUS">Mesures!$A$10:$C$15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0" i="5" l="1"/>
  <c r="G18" i="5"/>
  <c r="D19" i="5"/>
  <c r="D18" i="5"/>
  <c r="G16" i="5"/>
  <c r="G15" i="5"/>
  <c r="D16" i="5"/>
  <c r="D15" i="5"/>
  <c r="G13" i="5"/>
  <c r="G12" i="5"/>
  <c r="D13" i="5"/>
  <c r="D12" i="5"/>
  <c r="C97" i="5"/>
  <c r="C98" i="5"/>
  <c r="C99" i="5"/>
  <c r="C100" i="5"/>
  <c r="C101" i="5"/>
  <c r="C102" i="5"/>
  <c r="C103" i="5"/>
  <c r="C104" i="5"/>
  <c r="C105" i="5"/>
  <c r="C106" i="5"/>
  <c r="C107" i="5"/>
  <c r="C96" i="5"/>
  <c r="A43" i="1"/>
  <c r="A44" i="1"/>
  <c r="A45" i="1"/>
  <c r="A46" i="1"/>
  <c r="A47" i="1"/>
  <c r="A48" i="1"/>
  <c r="A49" i="1"/>
  <c r="A50" i="1"/>
  <c r="A51" i="1"/>
  <c r="A52" i="1"/>
  <c r="A53" i="1"/>
  <c r="A42" i="1"/>
  <c r="D96" i="5" a="1"/>
  <c r="D96" i="5" s="1"/>
  <c r="G121" i="5"/>
  <c r="G120" i="5"/>
  <c r="G119" i="5"/>
  <c r="A1" i="4"/>
  <c r="E306" i="5"/>
  <c r="E303" i="5"/>
  <c r="C234" i="5" a="1"/>
  <c r="C234" i="5" s="1"/>
  <c r="C210" i="5" l="1"/>
  <c r="C209" i="5"/>
  <c r="H202" i="5" a="1"/>
  <c r="H202" i="5" s="1"/>
  <c r="G202" i="5" a="1"/>
  <c r="G202" i="5" s="1"/>
  <c r="A200" i="5" a="1"/>
  <c r="A200" i="5" s="1"/>
  <c r="A167" i="5" a="1"/>
  <c r="A167" i="5" s="1"/>
  <c r="I202" i="5" l="1"/>
  <c r="G122" i="5"/>
  <c r="O17" i="4"/>
  <c r="C10" i="4" a="1"/>
  <c r="C10" i="4" s="1"/>
  <c r="B10" i="4"/>
  <c r="O18" i="4" l="1"/>
  <c r="O16" i="4"/>
  <c r="C15" i="4" l="1" a="1"/>
  <c r="C15" i="4" s="1"/>
  <c r="B11" i="4" a="1"/>
  <c r="B11" i="4" s="1"/>
  <c r="B5" i="4"/>
  <c r="C6" i="4"/>
  <c r="B6" i="4"/>
  <c r="C23" i="4" l="1"/>
  <c r="C18" i="4"/>
  <c r="C16" i="4"/>
  <c r="C19" i="4"/>
  <c r="C17" i="4"/>
  <c r="M5" i="4"/>
  <c r="K6" i="4"/>
  <c r="M6" i="4"/>
  <c r="J6" i="4"/>
  <c r="F6" i="4"/>
  <c r="G6" i="4"/>
  <c r="G234" i="5" l="1" a="1"/>
  <c r="G234" i="5" s="1"/>
  <c r="F234" i="5" a="1"/>
  <c r="F234" i="5" s="1"/>
  <c r="N19" i="4"/>
  <c r="H245" i="5" s="1" a="1"/>
  <c r="H245" i="5" s="1"/>
  <c r="N16" i="4"/>
  <c r="N23" i="4"/>
  <c r="L6" i="4"/>
  <c r="L5" i="4"/>
  <c r="N18" i="4"/>
  <c r="F245" i="5" s="1" a="1"/>
  <c r="F245" i="5" s="1"/>
  <c r="N17" i="4"/>
  <c r="G245" i="5" s="1" a="1"/>
  <c r="G245" i="5" s="1"/>
  <c r="C20" i="4"/>
  <c r="D6" i="4"/>
  <c r="R18" i="4"/>
  <c r="R17" i="4"/>
  <c r="R16" i="4"/>
  <c r="E304" i="5" s="1"/>
  <c r="I234" i="5" l="1" a="1"/>
  <c r="I234" i="5" s="1"/>
  <c r="M23" i="4"/>
  <c r="N20" i="4"/>
  <c r="I245" i="5" s="1" a="1"/>
  <c r="I245" i="5" s="1"/>
  <c r="M16" i="4"/>
  <c r="M17" i="4"/>
  <c r="G244" i="5" s="1" a="1"/>
  <c r="G244" i="5" s="1"/>
  <c r="M18" i="4"/>
  <c r="F244" i="5" s="1" a="1"/>
  <c r="F244" i="5" s="1"/>
  <c r="M19" i="4"/>
  <c r="H244" i="5" s="1" a="1"/>
  <c r="H244" i="5" s="1"/>
  <c r="C5" i="4"/>
  <c r="D23" i="4" s="1"/>
  <c r="M20" i="4" l="1"/>
  <c r="I244" i="5" s="1" a="1"/>
  <c r="I244" i="5" s="1"/>
  <c r="D19" i="4"/>
  <c r="D17" i="4"/>
  <c r="D18" i="4"/>
  <c r="D16" i="4"/>
  <c r="D5" i="4"/>
  <c r="E23" i="4" s="1"/>
  <c r="E6" i="4"/>
  <c r="G235" i="5" l="1" a="1"/>
  <c r="G235" i="5" s="1"/>
  <c r="H234" i="5" a="1"/>
  <c r="H234" i="5" s="1"/>
  <c r="F235" i="5" a="1"/>
  <c r="F235" i="5" s="1"/>
  <c r="D20" i="4"/>
  <c r="I235" i="5" s="1" a="1"/>
  <c r="I235" i="5" s="1"/>
  <c r="E16" i="4"/>
  <c r="E18" i="4"/>
  <c r="E17" i="4"/>
  <c r="G236" i="5" s="1" a="1"/>
  <c r="G236" i="5" s="1"/>
  <c r="E19" i="4"/>
  <c r="H235" i="5" s="1" a="1"/>
  <c r="H235" i="5" s="1"/>
  <c r="E5" i="4"/>
  <c r="F23" i="4" s="1"/>
  <c r="F236" i="5" l="1" a="1"/>
  <c r="F236" i="5" s="1"/>
  <c r="E20" i="4"/>
  <c r="I236" i="5" s="1" a="1"/>
  <c r="I236" i="5" s="1"/>
  <c r="F16" i="4"/>
  <c r="F19" i="4"/>
  <c r="F17" i="4"/>
  <c r="G237" i="5" s="1" a="1"/>
  <c r="G237" i="5" s="1"/>
  <c r="F18" i="4"/>
  <c r="F237" i="5" s="1" a="1"/>
  <c r="F237" i="5" s="1"/>
  <c r="F5" i="4"/>
  <c r="G23" i="4" s="1"/>
  <c r="H236" i="5" l="1" a="1"/>
  <c r="H236" i="5" s="1"/>
  <c r="G16" i="4"/>
  <c r="G19" i="4"/>
  <c r="H237" i="5" s="1" a="1"/>
  <c r="H237" i="5" s="1"/>
  <c r="G18" i="4"/>
  <c r="F238" i="5" s="1" a="1"/>
  <c r="F238" i="5" s="1"/>
  <c r="G17" i="4"/>
  <c r="G238" i="5" s="1" a="1"/>
  <c r="G238" i="5" s="1"/>
  <c r="F20" i="4"/>
  <c r="I237" i="5" s="1" a="1"/>
  <c r="I237" i="5" s="1"/>
  <c r="G5" i="4"/>
  <c r="H23" i="4" s="1"/>
  <c r="H6" i="4"/>
  <c r="G20" i="4" l="1"/>
  <c r="I238" i="5" s="1" a="1"/>
  <c r="I238" i="5" s="1"/>
  <c r="H18" i="4"/>
  <c r="F239" i="5" s="1" a="1"/>
  <c r="F239" i="5" s="1"/>
  <c r="H16" i="4"/>
  <c r="H17" i="4"/>
  <c r="G239" i="5" s="1" a="1"/>
  <c r="G239" i="5" s="1"/>
  <c r="H19" i="4"/>
  <c r="H5" i="4"/>
  <c r="I23" i="4" s="1"/>
  <c r="I6" i="4"/>
  <c r="H238" i="5" l="1" a="1"/>
  <c r="H238" i="5" s="1"/>
  <c r="H239" i="5" a="1"/>
  <c r="H239" i="5" s="1"/>
  <c r="I18" i="4"/>
  <c r="F240" i="5" s="1" a="1"/>
  <c r="F240" i="5" s="1"/>
  <c r="I16" i="4"/>
  <c r="I17" i="4"/>
  <c r="I19" i="4"/>
  <c r="H20" i="4"/>
  <c r="I239" i="5" s="1" a="1"/>
  <c r="I239" i="5" s="1"/>
  <c r="I5" i="4"/>
  <c r="J23" i="4" s="1"/>
  <c r="H240" i="5" l="1" a="1"/>
  <c r="H240" i="5" s="1"/>
  <c r="G240" i="5" a="1"/>
  <c r="G240" i="5" s="1"/>
  <c r="I20" i="4"/>
  <c r="J18" i="4"/>
  <c r="J19" i="4"/>
  <c r="H241" i="5" s="1" a="1"/>
  <c r="H241" i="5" s="1"/>
  <c r="J16" i="4"/>
  <c r="J17" i="4"/>
  <c r="G241" i="5" s="1" a="1"/>
  <c r="G241" i="5" s="1"/>
  <c r="J5" i="4"/>
  <c r="K23" i="4" s="1"/>
  <c r="I240" i="5" l="1" a="1"/>
  <c r="I240" i="5" s="1"/>
  <c r="F241" i="5" a="1"/>
  <c r="F241" i="5" s="1"/>
  <c r="J20" i="4"/>
  <c r="I241" i="5" s="1" a="1"/>
  <c r="I241" i="5" s="1"/>
  <c r="K18" i="4"/>
  <c r="F242" i="5" s="1" a="1"/>
  <c r="F242" i="5" s="1"/>
  <c r="K16" i="4"/>
  <c r="K19" i="4"/>
  <c r="H242" i="5" s="1" a="1"/>
  <c r="H242" i="5" s="1"/>
  <c r="K17" i="4"/>
  <c r="G242" i="5" s="1" a="1"/>
  <c r="G242" i="5" s="1"/>
  <c r="K5" i="4"/>
  <c r="L23" i="4" s="1"/>
  <c r="L19" i="4" l="1"/>
  <c r="F297" i="5" s="1"/>
  <c r="L17" i="4"/>
  <c r="L18" i="4"/>
  <c r="F243" i="5" s="1" a="1"/>
  <c r="F243" i="5" s="1"/>
  <c r="L16" i="4"/>
  <c r="C11" i="4" a="1"/>
  <c r="C11" i="4" s="1"/>
  <c r="K20" i="4"/>
  <c r="I242" i="5" s="1" a="1"/>
  <c r="I242" i="5" s="1"/>
  <c r="E307" i="5" l="1"/>
  <c r="C22" i="4"/>
  <c r="H243" i="5" a="1"/>
  <c r="H243" i="5" s="1"/>
  <c r="C21" i="4"/>
  <c r="E305" i="5"/>
  <c r="E212" i="5" a="1"/>
  <c r="E212" i="5" s="1"/>
  <c r="D212" i="5" s="1"/>
  <c r="G243" i="5" a="1"/>
  <c r="G243" i="5" s="1"/>
  <c r="C213" i="5"/>
  <c r="E213" i="5" a="1"/>
  <c r="E213" i="5" s="1"/>
  <c r="E211" i="5" a="1"/>
  <c r="E211" i="5" s="1"/>
  <c r="F211" i="5" s="1"/>
  <c r="C212" i="5"/>
  <c r="C211" i="5"/>
  <c r="L20" i="4"/>
  <c r="I243" i="5" s="1" a="1"/>
  <c r="I243" i="5" s="1"/>
  <c r="F212" i="5" l="1"/>
  <c r="C214" i="5"/>
  <c r="D213" i="5"/>
  <c r="F213" i="5"/>
  <c r="D211"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<sst xmlns="http://schemas.openxmlformats.org/spreadsheetml/2006/main" count="290" uniqueCount="185">
  <si>
    <t>Date/Heure</t>
  </si>
  <si>
    <t>Thermocouples</t>
  </si>
  <si>
    <t>Positions</t>
  </si>
  <si>
    <t>N° voie Enregistreur</t>
  </si>
  <si>
    <t>Décalage Enregistreur</t>
  </si>
  <si>
    <t>Décalage TC</t>
  </si>
  <si>
    <t>Consignes</t>
  </si>
  <si>
    <t>TC11</t>
  </si>
  <si>
    <t>TC12</t>
  </si>
  <si>
    <t>Tolérances +/-</t>
  </si>
  <si>
    <t>Appareil</t>
  </si>
  <si>
    <t>Nom=</t>
  </si>
  <si>
    <t>6100 PORTABLE</t>
  </si>
  <si>
    <t>Numéro de série=</t>
  </si>
  <si>
    <t>Version de logiciel=</t>
  </si>
  <si>
    <t>5.7</t>
  </si>
  <si>
    <t>Adresse MAC=</t>
  </si>
  <si>
    <t>00:0A:8D:81:66:7D</t>
  </si>
  <si>
    <t>Langue=</t>
  </si>
  <si>
    <t>fr</t>
  </si>
  <si>
    <t>Pays=</t>
  </si>
  <si>
    <t>FR</t>
  </si>
  <si>
    <t>Fuseau horaire=</t>
  </si>
  <si>
    <t>GMT</t>
  </si>
  <si>
    <t>Groupe</t>
  </si>
  <si>
    <t>Group 1</t>
  </si>
  <si>
    <t>TC1</t>
  </si>
  <si>
    <t>Bas=</t>
  </si>
  <si>
    <t>Haut=</t>
  </si>
  <si>
    <t>Unités=</t>
  </si>
  <si>
    <t>°C</t>
  </si>
  <si>
    <t>TC2</t>
  </si>
  <si>
    <t>TC3</t>
  </si>
  <si>
    <t>TC4</t>
  </si>
  <si>
    <t>TC5</t>
  </si>
  <si>
    <t>TC6</t>
  </si>
  <si>
    <t>TC7</t>
  </si>
  <si>
    <t>TC8</t>
  </si>
  <si>
    <t>TC9</t>
  </si>
  <si>
    <t>TC10</t>
  </si>
  <si>
    <t>TC13</t>
  </si>
  <si>
    <t>TC14</t>
  </si>
  <si>
    <t>TC15</t>
  </si>
  <si>
    <t>DEPASSEMENT</t>
  </si>
  <si>
    <t>MAX 30</t>
  </si>
  <si>
    <t>MIN 30</t>
  </si>
  <si>
    <t>MOYENNE 30</t>
  </si>
  <si>
    <t>AMPLITUDE</t>
  </si>
  <si>
    <t>HOMOGENEITE</t>
  </si>
  <si>
    <t>MOY</t>
  </si>
  <si>
    <t>Décalage Enreg.</t>
  </si>
  <si>
    <t>Tolérance haute</t>
  </si>
  <si>
    <t>Tolérance basse</t>
  </si>
  <si>
    <t>Valeurs corrigées</t>
  </si>
  <si>
    <t>Connecteur 1</t>
  </si>
  <si>
    <t>Connecteur 2</t>
  </si>
  <si>
    <t>Connecteur 3</t>
  </si>
  <si>
    <t>Connecteur 4</t>
  </si>
  <si>
    <t>Connecteur 11</t>
  </si>
  <si>
    <t>Connecteur 12</t>
  </si>
  <si>
    <t>Enregistreur Portable</t>
  </si>
  <si>
    <t>Ecartype 30</t>
  </si>
  <si>
    <t>Site</t>
  </si>
  <si>
    <t>Contrôleur -Technicien</t>
  </si>
  <si>
    <t>Rédacteur</t>
  </si>
  <si>
    <t>Date d'émission du PV</t>
  </si>
  <si>
    <t>Numéro de série</t>
  </si>
  <si>
    <t>Temps de maintien</t>
  </si>
  <si>
    <t>Constat de vérification N°</t>
  </si>
  <si>
    <t>RAPPORT D'HOMOGENEITE (T.U.S.) FREGATE AERO CONGÉLATEUR "Maturation retardée" POLE FROID</t>
  </si>
  <si>
    <t>Date de début d'essai :</t>
  </si>
  <si>
    <t>Heure de début :</t>
  </si>
  <si>
    <t>Date d'émission :</t>
  </si>
  <si>
    <t>Nombres de pages :</t>
  </si>
  <si>
    <t>Rédacteur :</t>
  </si>
  <si>
    <t>Date de fin d'essai :</t>
  </si>
  <si>
    <t>Heure de fin :</t>
  </si>
  <si>
    <t>Périodicité :</t>
  </si>
  <si>
    <t>Validité du contrôle :</t>
  </si>
  <si>
    <t>Technicien (s) :</t>
  </si>
  <si>
    <t>1 – Informations générales</t>
  </si>
  <si>
    <t>Type : Enceinte frigorifique</t>
  </si>
  <si>
    <t>Marque : POLE FROID</t>
  </si>
  <si>
    <t>Identification interne : Congélateur POLE FROID</t>
  </si>
  <si>
    <t>Identification fabricant : SCS ZF 09</t>
  </si>
  <si>
    <t>Températures (mini et maxi) d’utilisation : -35°C à ambiante</t>
  </si>
  <si>
    <t>Atmosphère : Air</t>
  </si>
  <si>
    <t>2 – Instrumentation</t>
  </si>
  <si>
    <t>Régulateur du groupe froid de devant : PROCOLD2 - CAREL</t>
  </si>
  <si>
    <t>Régulateur du groupe froid de derrière : PROCOLD2 – CAREL</t>
  </si>
  <si>
    <t>Enregistreur : MEMO200 - ELIWELL</t>
  </si>
  <si>
    <t>3 – Installation</t>
  </si>
  <si>
    <t>Le congélateur dispose de 3 sondes de température résidentes.</t>
  </si>
  <si>
    <t>-1 TC REGULATEUR GROUPE FROID DEVANT TYPE PT 100</t>
  </si>
  <si>
    <t>-1 TC REGULATEUR GROUPE FROID DERRIERE TYPE PT 100</t>
  </si>
  <si>
    <t>-1 TC ENREGISTREUR TYPE N</t>
  </si>
  <si>
    <t>Dimensions intérieures du congélateur (L*P*H) : 950*3200*1800mm</t>
  </si>
  <si>
    <r>
      <t>Volume intérieur : 5,5 m</t>
    </r>
    <r>
      <rPr>
        <vertAlign val="superscript"/>
        <sz val="16"/>
        <color rgb="FF000000"/>
        <rFont val="Calibri"/>
        <family val="2"/>
        <scheme val="minor"/>
      </rPr>
      <t>3</t>
    </r>
  </si>
  <si>
    <t xml:space="preserve">Dimensions utiles du congélateur (L*P*H) : 950*3200*1200mm </t>
  </si>
  <si>
    <r>
      <t>Volume utile : 3,6 m</t>
    </r>
    <r>
      <rPr>
        <vertAlign val="superscript"/>
        <sz val="16"/>
        <color rgb="FF000000"/>
        <rFont val="Calibri"/>
        <family val="2"/>
        <scheme val="minor"/>
      </rPr>
      <t>3</t>
    </r>
  </si>
  <si>
    <t>La sonde du REGULATEUR GROUPE FROID DEVANT est située à l’arrière du congélateur et celle du REGULATEUR GROUPE FROID DERRIERE est située à l’avant.</t>
  </si>
  <si>
    <t>4. Déroulement de la vérification</t>
  </si>
  <si>
    <t xml:space="preserve">5. Implantation des thermocouples dans le congélateur </t>
  </si>
  <si>
    <r>
      <t xml:space="preserve">6. Résultats et exploitation des résultats à </t>
    </r>
    <r>
      <rPr>
        <b/>
        <sz val="28"/>
        <color rgb="FF000000"/>
        <rFont val="Calibri"/>
        <family val="2"/>
        <scheme val="minor"/>
      </rPr>
      <t>-30°C</t>
    </r>
    <r>
      <rPr>
        <sz val="28"/>
        <color rgb="FF000000"/>
        <rFont val="Calibri"/>
        <family val="2"/>
        <scheme val="minor"/>
      </rPr>
      <t xml:space="preserve"> </t>
    </r>
  </si>
  <si>
    <t>Régime d'équilibre</t>
  </si>
  <si>
    <t>Début</t>
  </si>
  <si>
    <t>Fin</t>
  </si>
  <si>
    <t>Durée</t>
  </si>
  <si>
    <t>1 – Relevés de mesure du matériel de vérification</t>
  </si>
  <si>
    <t>Désignation</t>
  </si>
  <si>
    <t>Valeur</t>
  </si>
  <si>
    <t>N° THERMOCOUPLE</t>
  </si>
  <si>
    <t>Position</t>
  </si>
  <si>
    <t>Température de stockage désirée</t>
  </si>
  <si>
    <t>Température de consigne</t>
  </si>
  <si>
    <t>Température maximale du point le plus chaud</t>
  </si>
  <si>
    <t>Régime
 d'équilibre</t>
  </si>
  <si>
    <t>Température minimale du point le plus chaud</t>
  </si>
  <si>
    <t>Température minimale du point le plus froid</t>
  </si>
  <si>
    <t>Température moyenne</t>
  </si>
  <si>
    <t>X</t>
  </si>
  <si>
    <r>
      <t xml:space="preserve">7. Résultats et exploitation des résultats à </t>
    </r>
    <r>
      <rPr>
        <b/>
        <sz val="28"/>
        <color rgb="FF000000"/>
        <rFont val="Calibri"/>
        <family val="2"/>
        <scheme val="minor"/>
      </rPr>
      <t>-30°C</t>
    </r>
    <r>
      <rPr>
        <sz val="28"/>
        <color rgb="FF000000"/>
        <rFont val="Calibri"/>
        <family val="2"/>
        <scheme val="minor"/>
      </rPr>
      <t xml:space="preserve"> </t>
    </r>
  </si>
  <si>
    <t>2 – Relevés corrigés de chaque thermocouple de vérification</t>
  </si>
  <si>
    <t>N°Voie
enregistreur</t>
  </si>
  <si>
    <t>MIN (°C)</t>
  </si>
  <si>
    <t>Max(°C)</t>
  </si>
  <si>
    <t>Moyenne (°C)</t>
  </si>
  <si>
    <t>Amplitude (°C)</t>
  </si>
  <si>
    <t>voie/
Connecteur</t>
  </si>
  <si>
    <t>Connecteur 5</t>
  </si>
  <si>
    <t>Connecteur 6</t>
  </si>
  <si>
    <t>Connecteur 7</t>
  </si>
  <si>
    <t>Connecteur 8</t>
  </si>
  <si>
    <t>Connecteur 9</t>
  </si>
  <si>
    <t>Connecteur 10</t>
  </si>
  <si>
    <t>3 – Courbe</t>
  </si>
  <si>
    <t>9. Conclusions</t>
  </si>
  <si>
    <r>
      <t xml:space="preserve">8. Résultats et exploitation des résultats à </t>
    </r>
    <r>
      <rPr>
        <b/>
        <sz val="28"/>
        <color rgb="FF000000"/>
        <rFont val="Calibri"/>
        <family val="2"/>
        <scheme val="minor"/>
      </rPr>
      <t>-30°C</t>
    </r>
    <r>
      <rPr>
        <sz val="28"/>
        <color rgb="FF000000"/>
        <rFont val="Calibri"/>
        <family val="2"/>
        <scheme val="minor"/>
      </rPr>
      <t xml:space="preserve"> </t>
    </r>
  </si>
  <si>
    <t>Température nominale de traitement désiré</t>
  </si>
  <si>
    <t>Température de Consigne</t>
  </si>
  <si>
    <t>Homogénéité en régime d'équilibre</t>
  </si>
  <si>
    <t>Tolérance requise</t>
  </si>
  <si>
    <t>Classe de l'installation</t>
  </si>
  <si>
    <t>Conformité avec la tolérance requise</t>
  </si>
  <si>
    <t>3. Désignation du matériel de vérification</t>
  </si>
  <si>
    <t>1 – Thermocouples</t>
  </si>
  <si>
    <t>Nombre de thermocouples : 9</t>
  </si>
  <si>
    <t>Type : N</t>
  </si>
  <si>
    <t>Diamètre : 1,5 mm</t>
  </si>
  <si>
    <t>Longueur : 5000 mm</t>
  </si>
  <si>
    <t>2 – Enregistreur</t>
  </si>
  <si>
    <t>Aucune défaillance des thermocouples n’a été relevée durant le test d’homogénéité.</t>
  </si>
  <si>
    <r>
      <t xml:space="preserve">Le congélateur « maturation retardée » POLE FROID est déclaré </t>
    </r>
    <r>
      <rPr>
        <b/>
        <sz val="18"/>
        <color rgb="FF70AD47"/>
        <rFont val="Calibri"/>
        <family val="2"/>
        <scheme val="minor"/>
      </rPr>
      <t xml:space="preserve">
</t>
    </r>
    <r>
      <rPr>
        <b/>
        <sz val="18"/>
        <color rgb="FF000000"/>
        <rFont val="Calibri"/>
        <family val="2"/>
        <scheme val="minor"/>
      </rPr>
      <t xml:space="preserve"> aux tolérances requises, à savoir : 
Classe 2 (± 5°C) à -30°C</t>
    </r>
  </si>
  <si>
    <t>2. Désignation du matériel à vérifier</t>
  </si>
  <si>
    <t xml:space="preserve">
Ce rapport présente les résultats et les conclusions de l’essai du contrôle d’homogénéité thermique du congélateur « maturation retardée » POLE FROID.
Pour la réalisation de cet essai, l’exploitation des enregistrements et l’interprétation des résultats, nous avons appliqué les recommandations des référentiels suivants :
 - DGQT 0.8.3.0016 (Conservation au froid après trempe des alliages d’aluminium) indice B
 - IGC 04.63.105 (Vérification périodique des installations de traitement thermique et de polymérisation) indice C4</t>
  </si>
  <si>
    <t>1. Objet</t>
  </si>
  <si>
    <t>Site :</t>
  </si>
  <si>
    <t>Équipement de contrôle</t>
  </si>
  <si>
    <t>Certificat
d'étalonnage</t>
  </si>
  <si>
    <t>Date d'étalonnage</t>
  </si>
  <si>
    <t>Périodicité</t>
  </si>
  <si>
    <t>Nombres de pages</t>
  </si>
  <si>
    <t>Validité du contrôle</t>
  </si>
  <si>
    <t>SONDES</t>
  </si>
  <si>
    <t>ENREGISTREUR</t>
  </si>
  <si>
    <t>Matériel de vérification</t>
  </si>
  <si>
    <t>Certificat d'étalonnage</t>
  </si>
  <si>
    <t>Fin de validité d'étalonnage</t>
  </si>
  <si>
    <t>Rapport d’homogénéité (T.U.S.)
Congélateur « maturation retardée » POLE FROID</t>
  </si>
  <si>
    <t>Constat de niveau de vérification :</t>
  </si>
  <si>
    <t xml:space="preserve">N° certificat étalonnage : </t>
  </si>
  <si>
    <t>Date d’étalonnage :</t>
  </si>
  <si>
    <t>Fin de validité d’étalonnage :</t>
  </si>
  <si>
    <t xml:space="preserve">Tolérance : </t>
  </si>
  <si>
    <t xml:space="preserve">N° série : </t>
  </si>
  <si>
    <t>PL1707000191-0817-PL3 Z19</t>
  </si>
  <si>
    <t xml:space="preserve">Modèle : </t>
  </si>
  <si>
    <t>6100 Portable</t>
  </si>
  <si>
    <t xml:space="preserve">Marque : </t>
  </si>
  <si>
    <t>EUROTHERM</t>
  </si>
  <si>
    <t>CONSTAT DE 
VERIFICATION</t>
  </si>
  <si>
    <t>validité
jusqu'au</t>
  </si>
  <si>
    <t>Trimestrielle</t>
  </si>
  <si>
    <t>Mensuelle</t>
  </si>
  <si>
    <t>Annuelle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</si>
</sst>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0" x14ac:knownFonts="1">
    <font>
      <sz val="11"/>
      <color theme="1"/>
      <name val="Calibri"/>
      <family val="2"/>
      <scheme val="minor"/>
    </font>
    <font>
      <sz val="8"/>
      <name val="Calibri"/>
      <family val="2"/>
      <scheme val="minor"/>
    </font>
    <font>
      <sz val="10"/>
      <name val="Arial"/>
      <family val="2"/>
    </font>
    <font>
      <b/>
      <u/>
      <sz val="20"/>
      <color theme="1"/>
      <name val="Calibri"/>
      <family val="2"/>
      <scheme val="minor"/>
    </font>
    <font>
      <sz val="16"/>
      <color theme="1"/>
      <name val="Calibri"/>
      <family val="2"/>
      <scheme val="minor"/>
    </font>
    <font>
      <b/>
      <i/>
      <sz val="16"/>
      <color theme="1"/>
      <name val="Calibri"/>
      <family val="2"/>
      <scheme val="minor"/>
    </font>
    <font>
      <sz val="12"/>
      <color rgb="FF000000"/>
      <name val="Calibri"/>
      <family val="2"/>
      <scheme val="minor"/>
    </font>
    <font>
      <i/>
      <sz val="12"/>
      <color theme="1"/>
      <name val="Calibri"/>
      <family val="2"/>
      <scheme val="minor"/>
    </font>
    <font>
      <sz val="12"/>
      <color theme="1"/>
      <name val="Calibri"/>
      <family val="2"/>
      <scheme val="minor"/>
    </font>
    <font>
      <i/>
      <sz val="11"/>
      <color theme="1"/>
      <name val="Calibri"/>
      <family val="2"/>
      <scheme val="minor"/>
    </font>
    <font>
      <u/>
      <sz val="13"/>
      <color theme="1"/>
      <name val="Calibri"/>
      <family val="2"/>
      <scheme val="minor"/>
    </font>
    <font>
      <sz val="18"/>
      <color rgb="FF000000"/>
      <name val="Calibri"/>
      <family val="2"/>
      <scheme val="minor"/>
    </font>
    <font>
      <sz val="16"/>
      <color rgb="FF000000"/>
      <name val="Calibri"/>
      <family val="2"/>
      <scheme val="minor"/>
    </font>
    <font>
      <vertAlign val="superscript"/>
      <sz val="16"/>
      <color rgb="FF000000"/>
      <name val="Calibri"/>
      <family val="2"/>
      <scheme val="minor"/>
    </font>
    <font>
      <sz val="28"/>
      <color rgb="FF000000"/>
      <name val="Calibri"/>
      <family val="2"/>
      <scheme val="minor"/>
    </font>
    <font>
      <b/>
      <sz val="28"/>
      <color rgb="FF000000"/>
      <name val="Calibri"/>
      <family val="2"/>
      <scheme val="minor"/>
    </font>
    <font>
      <sz val="15"/>
      <color theme="1"/>
      <name val="Calibri"/>
      <family val="2"/>
      <scheme val="minor"/>
    </font>
    <font>
      <sz val="20"/>
      <color rgb="FF000000"/>
      <name val="Calibri"/>
      <family val="2"/>
      <scheme val="minor"/>
    </font>
    <font>
      <sz val="28"/>
      <color rgb="FF000000"/>
      <name val="Calibri Light"/>
      <family val="2"/>
    </font>
    <font>
      <b/>
      <sz val="18"/>
      <color rgb="FF000000"/>
      <name val="Calibri"/>
      <family val="2"/>
      <scheme val="minor"/>
    </font>
    <font>
      <b/>
      <sz val="18"/>
      <color rgb="FF70AD47"/>
      <name val="Calibri"/>
      <family val="2"/>
      <scheme val="minor"/>
    </font>
    <font>
      <sz val="16"/>
      <color rgb="FF7F7F7F"/>
      <name val="Calibri"/>
      <family val="2"/>
      <scheme val="minor"/>
    </font>
    <font>
      <b/>
      <sz val="30"/>
      <color theme="1"/>
      <name val="Calibri"/>
      <family val="2"/>
      <scheme val="minor"/>
    </font>
    <font>
      <b/>
      <sz val="20"/>
      <color theme="1"/>
      <name val="Calibri"/>
      <family val="2"/>
      <scheme val="minor"/>
    </font>
    <font>
      <sz val="44"/>
      <color rgb="FF000000"/>
      <name val="Calibri Light"/>
      <family val="2"/>
    </font>
    <font>
      <sz val="35"/>
      <color rgb="FF000000"/>
      <name val="Calibri Light"/>
      <family val="2"/>
    </font>
    <font>
      <sz val="15"/>
      <color rgb="FF000000"/>
      <name val="Calibri"/>
      <family val="2"/>
      <scheme val="minor"/>
    </font>
    <font>
      <sz val="13"/>
      <color theme="1"/>
      <name val="Calibri"/>
      <family val="2"/>
      <scheme val="minor"/>
    </font>
    <font>
      <sz val="11"/>
      <color rgb="FF000000"/>
      <name val="Calibri"/>
      <family val="2"/>
    </font>
    <font>
      <sz val="11"/>
      <color theme="0"/>
      <name val="Calibri"/>
      <family val="2"/>
      <scheme val="minor"/>
    </font>
  </fonts>
  <fills count="11">
    <fill>
      <patternFill patternType="none"/>
    </fill>
    <fill>
      <patternFill patternType="gray125"/>
    </fill>
    <fill>
      <patternFill patternType="solid">
        <fgColor theme="9"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0" tint="-0.249977111117893"/>
        <bgColor indexed="64"/>
      </patternFill>
    </fill>
    <fill>
      <patternFill patternType="solid">
        <fgColor rgb="FFDAEEF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theme="0" tint="-0.149998474074526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1">
    <xf numFmtId="0" fontId="0" fillId="0" borderId="0"/>
  </cellStyleXfs>
  <cellXfs count="131">
    <xf numFmtId="0" fontId="0" fillId="0" borderId="0" xfId="0"/>
    <xf numFmtId="22" fontId="0" fillId="0" borderId="0" xfId="0" applyNumberFormat="1"/>
    <xf numFmtId="0" fontId="0" fillId="3" borderId="1" xfId="0" applyFill="1" applyBorder="1"/>
    <xf numFmtId="0" fontId="0" fillId="2" borderId="1" xfId="0" applyFill="1" applyBorder="1"/>
    <xf numFmtId="0" fontId="0" fillId="0" borderId="0" xfId="0" applyAlignment="1">
      <alignment horizontal="center"/>
    </xf>
    <xf numFmtId="14" fontId="0" fillId="0" borderId="0" xfId="0" applyNumberFormat="1" applyAlignment="1">
      <alignment horizontal="center"/>
    </xf>
    <xf numFmtId="0" fontId="0" fillId="0" borderId="1" xfId="0" applyBorder="1" applyAlignment="1">
      <alignment horizontal="center"/>
    </xf>
    <xf numFmtId="0" fontId="0" fillId="5" borderId="1" xfId="0" applyFill="1" applyBorder="1" applyAlignment="1">
      <alignment horizontal="center" vertical="center"/>
    </xf>
    <xf numFmtId="0" fontId="0" fillId="6" borderId="1" xfId="0" applyFill="1" applyBorder="1"/>
    <xf numFmtId="14" fontId="0" fillId="7" borderId="1" xfId="0" applyNumberFormat="1" applyFill="1" applyBorder="1" applyAlignment="1">
      <alignment horizontal="center"/>
    </xf>
    <xf numFmtId="0" fontId="0" fillId="7" borderId="1" xfId="0" applyFill="1" applyBorder="1" applyAlignment="1">
      <alignment horizontal="center"/>
    </xf>
    <xf numFmtId="0" fontId="4" fillId="0" borderId="0" xfId="0" applyFont="1" applyAlignment="1">
      <alignment horizontal="center" vertical="center"/>
    </xf>
    <xf numFmtId="0" fontId="5" fillId="0" borderId="0" xfId="0" applyFont="1" applyAlignment="1">
      <alignment horizontal="center" vertical="center"/>
    </xf>
    <xf numFmtId="0" fontId="7" fillId="0" borderId="0" xfId="0" applyFont="1" applyAlignment="1">
      <alignment horizontal="center" vertical="center"/>
    </xf>
    <xf numFmtId="0" fontId="8" fillId="0" borderId="0" xfId="0" applyFont="1"/>
    <xf numFmtId="0" fontId="0" fillId="0" borderId="0" xfId="0" applyAlignment="1">
      <alignment vertical="center"/>
    </xf>
    <xf numFmtId="0" fontId="0" fillId="0" borderId="0" xfId="0" applyAlignment="1">
      <alignment horizontal="left"/>
    </xf>
    <xf numFmtId="0" fontId="0" fillId="0" borderId="0" xfId="0" applyAlignment="1">
      <alignment horizontal="center" vertical="center"/>
    </xf>
    <xf numFmtId="0" fontId="3" fillId="0" borderId="0" xfId="0" applyFont="1" applyAlignment="1">
      <alignment vertical="center"/>
    </xf>
    <xf numFmtId="0" fontId="9" fillId="0" borderId="0" xfId="0" applyFont="1" applyAlignment="1">
      <alignment horizontal="center" vertical="center"/>
    </xf>
    <xf numFmtId="0" fontId="0" fillId="0" borderId="1" xfId="0" applyBorder="1"/>
    <xf numFmtId="0" fontId="6" fillId="0" borderId="1" xfId="0" applyFont="1" applyBorder="1"/>
    <xf numFmtId="0" fontId="8" fillId="0" borderId="1" xfId="0" applyFont="1" applyBorder="1"/>
    <xf numFmtId="14" fontId="7" fillId="3" borderId="1" xfId="0" applyNumberFormat="1" applyFont="1" applyFill="1" applyBorder="1" applyAlignment="1">
      <alignment horizontal="center" vertical="center"/>
    </xf>
    <xf numFmtId="0" fontId="7" fillId="3" borderId="1" xfId="0" applyFont="1" applyFill="1" applyBorder="1" applyAlignment="1">
      <alignment horizontal="center" vertical="center"/>
    </xf>
    <xf numFmtId="0" fontId="8" fillId="0" borderId="1" xfId="0" applyFont="1" applyBorder="1" applyAlignment="1">
      <alignment horizontal="left" vertical="center"/>
    </xf>
    <xf numFmtId="0" fontId="10" fillId="0" borderId="0" xfId="0" applyFont="1" applyAlignment="1">
      <alignment horizontal="center" vertical="center"/>
    </xf>
    <xf numFmtId="0" fontId="11" fillId="0" borderId="0" xfId="0" applyFont="1" applyAlignment="1">
      <alignment horizontal="left" vertical="center" readingOrder="1"/>
    </xf>
    <xf numFmtId="0" fontId="12" fillId="0" borderId="0" xfId="0" applyFont="1" applyAlignment="1">
      <alignment horizontal="left" vertical="center" readingOrder="1"/>
    </xf>
    <xf numFmtId="0" fontId="14" fillId="0" borderId="0" xfId="0" applyFont="1" applyAlignment="1">
      <alignment horizontal="center" vertical="center" readingOrder="1"/>
    </xf>
    <xf numFmtId="0" fontId="0" fillId="9" borderId="1" xfId="0" applyFill="1" applyBorder="1"/>
    <xf numFmtId="0" fontId="0" fillId="6" borderId="1" xfId="0" applyFill="1" applyBorder="1" applyAlignment="1">
      <alignment horizontal="center"/>
    </xf>
    <xf numFmtId="0" fontId="0" fillId="10" borderId="1" xfId="0" applyFill="1" applyBorder="1" applyAlignment="1">
      <alignment horizontal="center" vertical="center"/>
    </xf>
    <xf numFmtId="22" fontId="0" fillId="10" borderId="1" xfId="0" applyNumberFormat="1" applyFill="1" applyBorder="1" applyAlignment="1">
      <alignment horizontal="center"/>
    </xf>
    <xf numFmtId="0" fontId="0" fillId="10" borderId="1" xfId="0" applyFill="1" applyBorder="1" applyAlignment="1">
      <alignment horizontal="center"/>
    </xf>
    <xf numFmtId="0" fontId="0" fillId="10" borderId="10" xfId="0" applyFill="1" applyBorder="1" applyAlignment="1">
      <alignment horizontal="center"/>
    </xf>
    <xf numFmtId="0" fontId="0" fillId="10" borderId="11" xfId="0" applyFill="1" applyBorder="1" applyAlignment="1">
      <alignment horizontal="center"/>
    </xf>
    <xf numFmtId="14" fontId="0" fillId="2" borderId="1" xfId="0" applyNumberFormat="1" applyFill="1" applyBorder="1" applyAlignment="1">
      <alignment horizontal="center"/>
    </xf>
    <xf numFmtId="0" fontId="0" fillId="2" borderId="1" xfId="0" applyFill="1" applyBorder="1" applyAlignment="1">
      <alignment horizontal="center"/>
    </xf>
    <xf numFmtId="0" fontId="0" fillId="7" borderId="11" xfId="0" applyFill="1" applyBorder="1" applyAlignment="1">
      <alignment horizontal="center" vertical="center" textRotation="90"/>
    </xf>
    <xf numFmtId="164" fontId="0" fillId="2" borderId="1" xfId="0" applyNumberFormat="1" applyFill="1" applyBorder="1" applyAlignment="1">
      <alignment horizontal="center"/>
    </xf>
    <xf numFmtId="0" fontId="0" fillId="10" borderId="1" xfId="0" applyFill="1" applyBorder="1"/>
    <xf numFmtId="0" fontId="0" fillId="2" borderId="1" xfId="0" applyFill="1" applyBorder="1" applyAlignment="1">
      <alignment horizontal="center" vertical="center"/>
    </xf>
    <xf numFmtId="2" fontId="0" fillId="2" borderId="1" xfId="0" applyNumberFormat="1" applyFill="1" applyBorder="1" applyAlignment="1">
      <alignment horizontal="center" vertical="center"/>
    </xf>
    <xf numFmtId="2" fontId="0" fillId="0" borderId="1" xfId="0" applyNumberFormat="1" applyBorder="1" applyAlignment="1">
      <alignment horizontal="center"/>
    </xf>
    <xf numFmtId="0" fontId="14" fillId="0" borderId="0" xfId="0" applyFont="1" applyAlignment="1">
      <alignment horizontal="left" vertical="center" readingOrder="1"/>
    </xf>
    <xf numFmtId="0" fontId="0" fillId="10" borderId="1" xfId="0" applyFill="1" applyBorder="1" applyAlignment="1">
      <alignment horizontal="center" wrapText="1"/>
    </xf>
    <xf numFmtId="0" fontId="0" fillId="2" borderId="3" xfId="0" applyFill="1" applyBorder="1" applyAlignment="1">
      <alignment horizontal="center" vertical="center"/>
    </xf>
    <xf numFmtId="0" fontId="0" fillId="6" borderId="1" xfId="0" applyFill="1" applyBorder="1" applyAlignment="1">
      <alignment horizontal="center" vertical="center"/>
    </xf>
    <xf numFmtId="0" fontId="0" fillId="6" borderId="1" xfId="0" applyFill="1" applyBorder="1" applyAlignment="1">
      <alignment horizontal="center" vertical="center" wrapText="1"/>
    </xf>
    <xf numFmtId="2" fontId="0" fillId="0" borderId="0" xfId="0" applyNumberFormat="1"/>
    <xf numFmtId="2" fontId="0" fillId="2" borderId="1" xfId="0" applyNumberFormat="1" applyFill="1" applyBorder="1" applyAlignment="1">
      <alignment horizontal="center"/>
    </xf>
    <xf numFmtId="0" fontId="17" fillId="0" borderId="0" xfId="0" applyFont="1" applyAlignment="1">
      <alignment horizontal="left" vertical="center" readingOrder="1"/>
    </xf>
    <xf numFmtId="0" fontId="16" fillId="0" borderId="0" xfId="0" applyFont="1"/>
    <xf numFmtId="0" fontId="19" fillId="0" borderId="0" xfId="0" applyFont="1" applyAlignment="1">
      <alignment horizontal="left" vertical="center" readingOrder="1"/>
    </xf>
    <xf numFmtId="0" fontId="19" fillId="0" borderId="0" xfId="0" applyFont="1" applyAlignment="1">
      <alignment horizontal="center" vertical="center" readingOrder="1"/>
    </xf>
    <xf numFmtId="2" fontId="0" fillId="0" borderId="2" xfId="0" applyNumberFormat="1" applyBorder="1" applyAlignment="1">
      <alignment horizontal="center"/>
    </xf>
    <xf numFmtId="2" fontId="0" fillId="0" borderId="0" xfId="0" applyNumberFormat="1" applyAlignment="1">
      <alignment horizontal="center"/>
    </xf>
    <xf numFmtId="2" fontId="0" fillId="0" borderId="11" xfId="0" applyNumberFormat="1" applyBorder="1" applyAlignment="1">
      <alignment horizontal="center"/>
    </xf>
    <xf numFmtId="0" fontId="0" fillId="5" borderId="1" xfId="0" applyFill="1" applyBorder="1" applyAlignment="1">
      <alignment horizontal="center" vertical="center" wrapText="1"/>
    </xf>
    <xf numFmtId="0" fontId="24" fillId="0" borderId="0" xfId="0" applyFont="1" applyAlignment="1">
      <alignment horizontal="center" vertical="center"/>
    </xf>
    <xf numFmtId="0" fontId="0" fillId="4" borderId="7" xfId="0" applyFill="1" applyBorder="1" applyAlignment="1">
      <alignment horizontal="center" vertical="center"/>
    </xf>
    <xf numFmtId="0" fontId="0" fillId="4" borderId="8" xfId="0" applyFill="1" applyBorder="1" applyAlignment="1">
      <alignment horizontal="center" vertical="center"/>
    </xf>
    <xf numFmtId="0" fontId="0" fillId="4" borderId="9" xfId="0" applyFill="1" applyBorder="1" applyAlignment="1">
      <alignment horizontal="center" vertical="center"/>
    </xf>
    <xf numFmtId="0" fontId="0" fillId="4" borderId="6" xfId="0" applyFill="1" applyBorder="1" applyAlignment="1">
      <alignment horizontal="center" vertical="center"/>
    </xf>
    <xf numFmtId="0" fontId="0" fillId="4" borderId="5" xfId="0" applyFill="1" applyBorder="1" applyAlignment="1">
      <alignment horizontal="center" vertical="center"/>
    </xf>
    <xf numFmtId="0" fontId="2" fillId="3" borderId="1" xfId="0" applyFont="1" applyFill="1" applyBorder="1" applyAlignment="1" applyProtection="1">
      <alignment horizontal="center" vertical="center"/>
      <protection locked="0"/>
    </xf>
    <xf numFmtId="14" fontId="16" fillId="0" borderId="0" xfId="0" applyNumberFormat="1" applyFont="1" applyAlignment="1">
      <alignment horizontal="left"/>
    </xf>
    <xf numFmtId="14" fontId="26" fillId="0" borderId="0" xfId="0" applyNumberFormat="1" applyFont="1" applyAlignment="1">
      <alignment horizontal="left" vertical="center" readingOrder="1"/>
    </xf>
    <xf numFmtId="0" fontId="12" fillId="0" borderId="0" xfId="0" applyFont="1" applyAlignment="1">
      <alignment vertical="center" readingOrder="1"/>
    </xf>
    <xf numFmtId="0" fontId="12" fillId="0" borderId="0" xfId="0" applyFont="1" applyAlignment="1">
      <alignment horizontal="left"/>
    </xf>
    <xf numFmtId="0" fontId="12" fillId="0" borderId="0" xfId="0" applyFont="1" applyAlignment="1">
      <alignment horizontal="right" vertical="center" readingOrder="1"/>
    </xf>
    <xf numFmtId="0" fontId="12" fillId="0" borderId="0" xfId="0" applyFont="1" applyAlignment="1">
      <alignment horizontal="right"/>
    </xf>
    <xf numFmtId="0" fontId="16" fillId="0" borderId="0" xfId="0" applyFont="1" applyAlignment="1">
      <alignment horizontal="left"/>
    </xf>
    <xf numFmtId="0" fontId="27" fillId="5" borderId="1" xfId="0" applyFont="1" applyFill="1" applyBorder="1" applyAlignment="1">
      <alignment horizontal="center" vertical="center"/>
    </xf>
    <xf numFmtId="0" fontId="27" fillId="5" borderId="1" xfId="0" applyFont="1" applyFill="1" applyBorder="1" applyAlignment="1">
      <alignment horizontal="center" vertical="center" wrapText="1"/>
    </xf>
    <xf numFmtId="0" fontId="27" fillId="3" borderId="1" xfId="0" applyFont="1" applyFill="1" applyBorder="1" applyAlignment="1">
      <alignment horizontal="center" vertical="center"/>
    </xf>
    <xf numFmtId="0" fontId="27" fillId="0" borderId="0" xfId="0" applyFont="1" applyAlignment="1">
      <alignment horizontal="center" vertical="center"/>
    </xf>
    <xf numFmtId="0" fontId="27" fillId="0" borderId="0" xfId="0" applyFont="1" applyAlignment="1">
      <alignment horizontal="center" vertical="center" wrapText="1"/>
    </xf>
    <xf numFmtId="0" fontId="0" fillId="3" borderId="1" xfId="0" applyFill="1" applyBorder="1" applyAlignment="1" applyProtection="1">
      <alignment horizontal="center" vertical="center"/>
      <protection locked="0"/>
    </xf>
    <xf numFmtId="0" fontId="0" fillId="3" borderId="1" xfId="0" applyFill="1" applyBorder="1" applyAlignment="1">
      <alignment horizontal="center" vertical="center"/>
    </xf>
    <xf numFmtId="14" fontId="0" fillId="3" borderId="1" xfId="0" applyNumberFormat="1" applyFill="1" applyBorder="1" applyAlignment="1" applyProtection="1">
      <alignment horizontal="center" vertical="center"/>
      <protection locked="0"/>
    </xf>
    <xf numFmtId="164" fontId="0" fillId="3" borderId="1" xfId="0" applyNumberFormat="1" applyFill="1" applyBorder="1" applyAlignment="1" applyProtection="1">
      <alignment horizontal="center" vertical="center"/>
      <protection locked="0"/>
    </xf>
    <xf numFmtId="2" fontId="0" fillId="3" borderId="2" xfId="0" applyNumberFormat="1" applyFill="1" applyBorder="1" applyAlignment="1" applyProtection="1">
      <alignment horizontal="center" vertical="center"/>
      <protection locked="0"/>
    </xf>
    <xf numFmtId="2" fontId="0" fillId="2" borderId="2" xfId="0" applyNumberFormat="1" applyFill="1" applyBorder="1" applyAlignment="1" applyProtection="1">
      <alignment horizontal="center" vertical="center"/>
      <protection locked="0"/>
    </xf>
    <xf numFmtId="2" fontId="0" fillId="3" borderId="1" xfId="0" applyNumberFormat="1" applyFill="1" applyBorder="1" applyAlignment="1" applyProtection="1">
      <alignment horizontal="center" vertical="center"/>
      <protection locked="0"/>
    </xf>
    <xf numFmtId="2" fontId="0" fillId="2" borderId="1" xfId="0" applyNumberFormat="1" applyFill="1" applyBorder="1" applyAlignment="1" applyProtection="1">
      <alignment horizontal="center" vertical="center"/>
      <protection locked="0"/>
    </xf>
    <xf numFmtId="0" fontId="0" fillId="2" borderId="11" xfId="0" applyFill="1" applyBorder="1" applyAlignment="1">
      <alignment horizontal="center" vertical="center" textRotation="90"/>
    </xf>
    <xf numFmtId="14" fontId="0" fillId="3" borderId="1" xfId="0" applyNumberFormat="1" applyFill="1" applyBorder="1"/>
    <xf numFmtId="164" fontId="7" fillId="3" borderId="1" xfId="0" applyNumberFormat="1" applyFont="1" applyFill="1" applyBorder="1" applyAlignment="1">
      <alignment horizontal="center" vertical="center"/>
    </xf>
    <xf numFmtId="49" fontId="0" fillId="3" borderId="1" xfId="0" applyNumberFormat="1" applyFill="1" applyBorder="1" applyAlignment="1" applyProtection="1">
      <alignment horizontal="center" vertical="center"/>
      <protection locked="0"/>
    </xf>
    <xf numFmtId="0" fontId="29" fillId="0" borderId="0" xfId="0" applyFont="1" applyAlignment="1">
      <alignment horizontal="center" vertical="center"/>
    </xf>
    <xf numFmtId="1" fontId="0" fillId="9" borderId="1" xfId="0" applyNumberFormat="1" applyFill="1" applyBorder="1" applyAlignment="1" applyProtection="1">
      <alignment horizontal="center" vertical="center"/>
      <protection locked="0"/>
    </xf>
    <xf numFmtId="1" fontId="0" fillId="3" borderId="2" xfId="0" applyNumberFormat="1" applyFill="1" applyBorder="1" applyAlignment="1" applyProtection="1">
      <alignment horizontal="center" vertical="center"/>
      <protection locked="0"/>
    </xf>
    <xf numFmtId="1" fontId="0" fillId="3" borderId="1" xfId="0" applyNumberFormat="1" applyFill="1" applyBorder="1" applyAlignment="1" applyProtection="1">
      <alignment horizontal="center" vertical="center"/>
      <protection locked="0"/>
    </xf>
    <xf numFmtId="0" fontId="23" fillId="0" borderId="0" xfId="0" applyFont="1" applyAlignment="1">
      <alignment horizontal="center" vertical="center"/>
    </xf>
    <xf numFmtId="0" fontId="0" fillId="5" borderId="1" xfId="0" applyFill="1" applyBorder="1" applyAlignment="1">
      <alignment horizontal="center" vertical="center"/>
    </xf>
    <xf numFmtId="0" fontId="0" fillId="5" borderId="10" xfId="0" applyFill="1" applyBorder="1" applyAlignment="1">
      <alignment horizontal="center" vertical="center"/>
    </xf>
    <xf numFmtId="0" fontId="0" fillId="5" borderId="3" xfId="0" applyFill="1" applyBorder="1" applyAlignment="1">
      <alignment horizontal="center" vertical="center"/>
    </xf>
    <xf numFmtId="0" fontId="0" fillId="5" borderId="14" xfId="0" applyFill="1" applyBorder="1" applyAlignment="1">
      <alignment horizontal="center" vertical="center"/>
    </xf>
    <xf numFmtId="0" fontId="0" fillId="5" borderId="15" xfId="0" applyFill="1" applyBorder="1" applyAlignment="1">
      <alignment horizontal="center" vertical="center"/>
    </xf>
    <xf numFmtId="0" fontId="25" fillId="0" borderId="0" xfId="0" applyFont="1" applyAlignment="1">
      <alignment horizontal="center" vertical="center" wrapText="1"/>
    </xf>
    <xf numFmtId="0" fontId="24" fillId="0" borderId="0" xfId="0" applyFont="1" applyAlignment="1">
      <alignment horizontal="center" vertical="center"/>
    </xf>
    <xf numFmtId="0" fontId="0" fillId="2" borderId="10" xfId="0"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5" borderId="2" xfId="0" applyFill="1" applyBorder="1" applyAlignment="1">
      <alignment horizontal="center" vertical="center"/>
    </xf>
    <xf numFmtId="0" fontId="0" fillId="5" borderId="12" xfId="0" applyFill="1" applyBorder="1" applyAlignment="1">
      <alignment horizontal="center" vertical="center"/>
    </xf>
    <xf numFmtId="0" fontId="0" fillId="5" borderId="4" xfId="0" applyFill="1" applyBorder="1" applyAlignment="1">
      <alignment horizontal="center" vertical="center"/>
    </xf>
    <xf numFmtId="22" fontId="22" fillId="0" borderId="0" xfId="0" applyNumberFormat="1" applyFont="1" applyAlignment="1">
      <alignment horizontal="center" vertical="center"/>
    </xf>
    <xf numFmtId="2" fontId="0" fillId="0" borderId="1" xfId="0" applyNumberFormat="1" applyBorder="1" applyAlignment="1">
      <alignment horizontal="center"/>
    </xf>
    <xf numFmtId="0" fontId="0" fillId="0" borderId="0" xfId="0" applyAlignment="1">
      <alignment horizontal="center"/>
    </xf>
    <xf numFmtId="14" fontId="0" fillId="0" borderId="0" xfId="0" applyNumberFormat="1" applyAlignment="1">
      <alignment horizontal="center"/>
    </xf>
    <xf numFmtId="0" fontId="4" fillId="0" borderId="0" xfId="0" applyFont="1" applyAlignment="1">
      <alignment horizontal="center" vertical="center"/>
    </xf>
    <xf numFmtId="0" fontId="5" fillId="8" borderId="0" xfId="0" applyFont="1" applyFill="1" applyAlignment="1">
      <alignment horizontal="center" vertical="center"/>
    </xf>
    <xf numFmtId="0" fontId="6" fillId="0" borderId="0" xfId="0" applyFont="1" applyAlignment="1">
      <alignment horizontal="left" vertical="top" wrapText="1" readingOrder="1"/>
    </xf>
    <xf numFmtId="0" fontId="18" fillId="0" borderId="0" xfId="0" applyFont="1" applyAlignment="1">
      <alignment horizontal="center"/>
    </xf>
    <xf numFmtId="0" fontId="12" fillId="0" borderId="0" xfId="0" applyFont="1" applyAlignment="1">
      <alignment horizontal="left" vertical="center" readingOrder="1"/>
    </xf>
    <xf numFmtId="0" fontId="14" fillId="0" borderId="0" xfId="0" applyFont="1" applyAlignment="1">
      <alignment horizontal="center" vertical="center" readingOrder="1"/>
    </xf>
    <xf numFmtId="0" fontId="0" fillId="10" borderId="1" xfId="0" applyFill="1" applyBorder="1" applyAlignment="1">
      <alignment horizontal="center" vertical="center" textRotation="90" wrapText="1"/>
    </xf>
    <xf numFmtId="0" fontId="0" fillId="6" borderId="10" xfId="0" applyFill="1" applyBorder="1" applyAlignment="1">
      <alignment horizontal="center"/>
    </xf>
    <xf numFmtId="0" fontId="0" fillId="6" borderId="13" xfId="0" applyFill="1" applyBorder="1" applyAlignment="1">
      <alignment horizontal="center"/>
    </xf>
    <xf numFmtId="0" fontId="0" fillId="6" borderId="3" xfId="0" applyFill="1" applyBorder="1" applyAlignment="1">
      <alignment horizontal="center"/>
    </xf>
    <xf numFmtId="0" fontId="12" fillId="0" borderId="0" xfId="0" applyFont="1" applyAlignment="1">
      <alignment horizontal="center" vertical="center" readingOrder="1"/>
    </xf>
    <xf numFmtId="0" fontId="0" fillId="10" borderId="1" xfId="0" applyFill="1" applyBorder="1" applyAlignment="1">
      <alignment horizontal="center"/>
    </xf>
    <xf numFmtId="0" fontId="0" fillId="10" borderId="10" xfId="0" applyFill="1" applyBorder="1" applyAlignment="1">
      <alignment horizontal="center"/>
    </xf>
    <xf numFmtId="0" fontId="0" fillId="10" borderId="3" xfId="0" applyFill="1" applyBorder="1" applyAlignment="1">
      <alignment horizontal="center"/>
    </xf>
    <xf numFmtId="0" fontId="0" fillId="10" borderId="13" xfId="0" applyFill="1" applyBorder="1" applyAlignment="1">
      <alignment horizontal="center"/>
    </xf>
    <xf numFmtId="0" fontId="11" fillId="0" borderId="0" xfId="0" applyFont="1" applyAlignment="1">
      <alignment horizontal="center" vertical="center" readingOrder="1"/>
    </xf>
    <xf numFmtId="0" fontId="27" fillId="5" borderId="1" xfId="0" applyFont="1" applyFill="1" applyBorder="1" applyAlignment="1">
      <alignment horizontal="center" vertical="center"/>
    </xf>
    <xf numFmtId="0" fontId="21" fillId="0" borderId="0" xfId="0" applyFont="1" applyAlignment="1">
      <alignment horizontal="center" vertical="center" readingOrder="1"/>
    </xf>
    <xf numFmtId="0" fontId="19" fillId="0" borderId="0" xfId="0" applyFont="1" applyAlignment="1">
      <alignment horizontal="center" vertical="center" wrapText="1" readingOrder="1"/>
    </xf>
  </cellXfs>
  <cellStyles count="1">
    <cellStyle name="Normal" xfId="0" builtinId="0"/>
  </cellStyles>
  <dxfs count="5">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DAE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Témpératures</a:t>
            </a:r>
            <a:r>
              <a:rPr lang="fr-FR" baseline="0"/>
              <a:t> enregistrées au cours de la 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1.9070079068881265E-2"/>
          <c:y val="7.7972205167934142E-2"/>
          <c:w val="0.97277530045427718"/>
          <c:h val="0.84361124252694719"/>
        </c:manualLayout>
      </c:layout>
      <c:lineChart>
        <c:grouping val="standard"/>
        <c:varyColors val="0"/>
        <c:ser>
          <c:idx val="0"/>
          <c:order val="0"/>
          <c:spPr>
            <a:ln w="28575" cap="rnd">
              <a:solidFill>
                <a:schemeClr val="accent1"/>
              </a:solidFill>
              <a:round/>
            </a:ln>
            <a:effectLst/>
          </c:spPr>
          <c:marker>
            <c:symbol val="none"/>
          </c:marker>
          <c:val>
            <c:numRef>
              <c:f>'Valeurs brutes'!$B$2:$B$2</c:f>
              <c:numCache>
                <c:formatCode>General</c:formatCode>
                <c:ptCount val="1"/>
              </c:numCache>
            </c:numRef>
          </c:val>
          <c:smooth val="0"/>
          <c:extLst>
            <c:ext xmlns:c16="http://schemas.microsoft.com/office/drawing/2014/chart" uri="{C3380CC4-5D6E-409C-BE32-E72D297353CC}">
              <c16:uniqueId val="{00000000-22AB-4908-8DDC-1492455C2BDF}"/>
            </c:ext>
          </c:extLst>
        </c:ser>
        <c:ser>
          <c:idx val="1"/>
          <c:order val="1"/>
          <c:spPr>
            <a:ln w="28575" cap="rnd">
              <a:solidFill>
                <a:schemeClr val="accent2"/>
              </a:solidFill>
              <a:round/>
            </a:ln>
            <a:effectLst/>
          </c:spPr>
          <c:marker>
            <c:symbol val="none"/>
          </c:marker>
          <c:val>
            <c:numRef>
              <c:f>'Valeurs brutes'!$C$2:$C$2</c:f>
              <c:numCache>
                <c:formatCode>General</c:formatCode>
                <c:ptCount val="1"/>
              </c:numCache>
            </c:numRef>
          </c:val>
          <c:smooth val="0"/>
          <c:extLst>
            <c:ext xmlns:c16="http://schemas.microsoft.com/office/drawing/2014/chart" uri="{C3380CC4-5D6E-409C-BE32-E72D297353CC}">
              <c16:uniqueId val="{00000001-22AB-4908-8DDC-1492455C2BDF}"/>
            </c:ext>
          </c:extLst>
        </c:ser>
        <c:ser>
          <c:idx val="2"/>
          <c:order val="2"/>
          <c:spPr>
            <a:ln w="28575" cap="rnd">
              <a:solidFill>
                <a:schemeClr val="accent3"/>
              </a:solidFill>
              <a:round/>
            </a:ln>
            <a:effectLst/>
          </c:spPr>
          <c:marker>
            <c:symbol val="none"/>
          </c:marker>
          <c:val>
            <c:numRef>
              <c:f>'Valeurs brutes'!$D$2:$D$2</c:f>
              <c:numCache>
                <c:formatCode>General</c:formatCode>
                <c:ptCount val="1"/>
              </c:numCache>
            </c:numRef>
          </c:val>
          <c:smooth val="0"/>
          <c:extLst>
            <c:ext xmlns:c16="http://schemas.microsoft.com/office/drawing/2014/chart" uri="{C3380CC4-5D6E-409C-BE32-E72D297353CC}">
              <c16:uniqueId val="{00000002-22AB-4908-8DDC-1492455C2BDF}"/>
            </c:ext>
          </c:extLst>
        </c:ser>
        <c:ser>
          <c:idx val="3"/>
          <c:order val="3"/>
          <c:spPr>
            <a:ln w="28575" cap="rnd">
              <a:solidFill>
                <a:schemeClr val="accent4"/>
              </a:solidFill>
              <a:round/>
            </a:ln>
            <a:effectLst/>
          </c:spPr>
          <c:marker>
            <c:symbol val="none"/>
          </c:marker>
          <c:val>
            <c:numRef>
              <c:f>'Valeurs brutes'!$E$2:$E$2</c:f>
              <c:numCache>
                <c:formatCode>General</c:formatCode>
                <c:ptCount val="1"/>
              </c:numCache>
            </c:numRef>
          </c:val>
          <c:smooth val="0"/>
          <c:extLst>
            <c:ext xmlns:c16="http://schemas.microsoft.com/office/drawing/2014/chart" uri="{C3380CC4-5D6E-409C-BE32-E72D297353CC}">
              <c16:uniqueId val="{00000003-22AB-4908-8DDC-1492455C2BDF}"/>
            </c:ext>
          </c:extLst>
        </c:ser>
        <c:ser>
          <c:idx val="4"/>
          <c:order val="4"/>
          <c:spPr>
            <a:ln w="28575" cap="rnd">
              <a:solidFill>
                <a:schemeClr val="accent5"/>
              </a:solidFill>
              <a:round/>
            </a:ln>
            <a:effectLst/>
          </c:spPr>
          <c:marker>
            <c:symbol val="none"/>
          </c:marker>
          <c:val>
            <c:numRef>
              <c:f>'Valeurs brutes'!$F$2:$F$2</c:f>
              <c:numCache>
                <c:formatCode>General</c:formatCode>
                <c:ptCount val="1"/>
              </c:numCache>
            </c:numRef>
          </c:val>
          <c:smooth val="0"/>
          <c:extLst>
            <c:ext xmlns:c16="http://schemas.microsoft.com/office/drawing/2014/chart" uri="{C3380CC4-5D6E-409C-BE32-E72D297353CC}">
              <c16:uniqueId val="{00000004-22AB-4908-8DDC-1492455C2BDF}"/>
            </c:ext>
          </c:extLst>
        </c:ser>
        <c:ser>
          <c:idx val="5"/>
          <c:order val="5"/>
          <c:spPr>
            <a:ln w="28575" cap="rnd">
              <a:solidFill>
                <a:schemeClr val="accent6"/>
              </a:solidFill>
              <a:round/>
            </a:ln>
            <a:effectLst/>
          </c:spPr>
          <c:marker>
            <c:symbol val="none"/>
          </c:marker>
          <c:val>
            <c:numRef>
              <c:f>'Valeurs brutes'!$G$2:$G$2</c:f>
              <c:numCache>
                <c:formatCode>General</c:formatCode>
                <c:ptCount val="1"/>
              </c:numCache>
            </c:numRef>
          </c:val>
          <c:smooth val="0"/>
          <c:extLst>
            <c:ext xmlns:c16="http://schemas.microsoft.com/office/drawing/2014/chart" uri="{C3380CC4-5D6E-409C-BE32-E72D297353CC}">
              <c16:uniqueId val="{00000005-22AB-4908-8DDC-1492455C2BDF}"/>
            </c:ext>
          </c:extLst>
        </c:ser>
        <c:ser>
          <c:idx val="6"/>
          <c:order val="6"/>
          <c:spPr>
            <a:ln w="28575" cap="rnd">
              <a:solidFill>
                <a:schemeClr val="accent1">
                  <a:lumMod val="60000"/>
                </a:schemeClr>
              </a:solidFill>
              <a:round/>
            </a:ln>
            <a:effectLst/>
          </c:spPr>
          <c:marker>
            <c:symbol val="none"/>
          </c:marker>
          <c:val>
            <c:numRef>
              <c:f>'Valeurs brutes'!$H$2:$H$2</c:f>
              <c:numCache>
                <c:formatCode>General</c:formatCode>
                <c:ptCount val="1"/>
              </c:numCache>
            </c:numRef>
          </c:val>
          <c:smooth val="0"/>
          <c:extLst>
            <c:ext xmlns:c16="http://schemas.microsoft.com/office/drawing/2014/chart" uri="{C3380CC4-5D6E-409C-BE32-E72D297353CC}">
              <c16:uniqueId val="{00000006-22AB-4908-8DDC-1492455C2BDF}"/>
            </c:ext>
          </c:extLst>
        </c:ser>
        <c:ser>
          <c:idx val="7"/>
          <c:order val="7"/>
          <c:spPr>
            <a:ln w="28575" cap="rnd">
              <a:solidFill>
                <a:schemeClr val="accent2">
                  <a:lumMod val="60000"/>
                </a:schemeClr>
              </a:solidFill>
              <a:round/>
            </a:ln>
            <a:effectLst/>
          </c:spPr>
          <c:marker>
            <c:symbol val="none"/>
          </c:marker>
          <c:val>
            <c:numRef>
              <c:f>'Valeurs brutes'!$I$2:$I$2</c:f>
              <c:numCache>
                <c:formatCode>General</c:formatCode>
                <c:ptCount val="1"/>
              </c:numCache>
            </c:numRef>
          </c:val>
          <c:smooth val="0"/>
          <c:extLst>
            <c:ext xmlns:c16="http://schemas.microsoft.com/office/drawing/2014/chart" uri="{C3380CC4-5D6E-409C-BE32-E72D297353CC}">
              <c16:uniqueId val="{00000007-22AB-4908-8DDC-1492455C2BDF}"/>
            </c:ext>
          </c:extLst>
        </c:ser>
        <c:ser>
          <c:idx val="8"/>
          <c:order val="8"/>
          <c:spPr>
            <a:ln w="28575" cap="rnd">
              <a:solidFill>
                <a:schemeClr val="accent3">
                  <a:lumMod val="60000"/>
                </a:schemeClr>
              </a:solidFill>
              <a:round/>
            </a:ln>
            <a:effectLst/>
          </c:spPr>
          <c:marker>
            <c:symbol val="none"/>
          </c:marker>
          <c:val>
            <c:numRef>
              <c:f>'Valeurs brutes'!$J$2:$J$2</c:f>
              <c:numCache>
                <c:formatCode>General</c:formatCode>
                <c:ptCount val="1"/>
              </c:numCache>
            </c:numRef>
          </c:val>
          <c:smooth val="0"/>
          <c:extLst>
            <c:ext xmlns:c16="http://schemas.microsoft.com/office/drawing/2014/chart" uri="{C3380CC4-5D6E-409C-BE32-E72D297353CC}">
              <c16:uniqueId val="{00000008-22AB-4908-8DDC-1492455C2BDF}"/>
            </c:ext>
          </c:extLst>
        </c:ser>
        <c:ser>
          <c:idx val="9"/>
          <c:order val="9"/>
          <c:spPr>
            <a:ln w="28575" cap="rnd">
              <a:solidFill>
                <a:schemeClr val="accent4">
                  <a:lumMod val="60000"/>
                </a:schemeClr>
              </a:solidFill>
              <a:round/>
            </a:ln>
            <a:effectLst/>
          </c:spPr>
          <c:marker>
            <c:symbol val="none"/>
          </c:marker>
          <c:val>
            <c:numRef>
              <c:f>'Valeurs brutes'!$K$2:$K$2</c:f>
              <c:numCache>
                <c:formatCode>General</c:formatCode>
                <c:ptCount val="1"/>
              </c:numCache>
            </c:numRef>
          </c:val>
          <c:smooth val="0"/>
          <c:extLst>
            <c:ext xmlns:c16="http://schemas.microsoft.com/office/drawing/2014/chart" uri="{C3380CC4-5D6E-409C-BE32-E72D297353CC}">
              <c16:uniqueId val="{00000009-22AB-4908-8DDC-1492455C2BDF}"/>
            </c:ext>
          </c:extLst>
        </c:ser>
        <c:ser>
          <c:idx val="10"/>
          <c:order val="10"/>
          <c:spPr>
            <a:ln w="28575" cap="rnd">
              <a:solidFill>
                <a:schemeClr val="accent5">
                  <a:lumMod val="60000"/>
                </a:schemeClr>
              </a:solidFill>
              <a:round/>
            </a:ln>
            <a:effectLst/>
          </c:spPr>
          <c:marker>
            <c:symbol val="none"/>
          </c:marker>
          <c:val>
            <c:numRef>
              <c:f>'Valeurs brutes'!$L$2:$L$2</c:f>
              <c:numCache>
                <c:formatCode>General</c:formatCode>
                <c:ptCount val="1"/>
              </c:numCache>
            </c:numRef>
          </c:val>
          <c:smooth val="0"/>
          <c:extLst>
            <c:ext xmlns:c16="http://schemas.microsoft.com/office/drawing/2014/chart" uri="{C3380CC4-5D6E-409C-BE32-E72D297353CC}">
              <c16:uniqueId val="{0000000A-22AB-4908-8DDC-1492455C2BDF}"/>
            </c:ext>
          </c:extLst>
        </c:ser>
        <c:ser>
          <c:idx val="11"/>
          <c:order val="11"/>
          <c:spPr>
            <a:ln w="28575" cap="rnd">
              <a:solidFill>
                <a:schemeClr val="accent6">
                  <a:lumMod val="60000"/>
                </a:schemeClr>
              </a:solidFill>
              <a:round/>
            </a:ln>
            <a:effectLst/>
          </c:spPr>
          <c:marker>
            <c:symbol val="none"/>
          </c:marker>
          <c:val>
            <c:numRef>
              <c:f>'Valeurs brutes'!$M$2:$M$2</c:f>
              <c:numCache>
                <c:formatCode>General</c:formatCode>
                <c:ptCount val="1"/>
              </c:numCache>
            </c:numRef>
          </c:val>
          <c:smooth val="0"/>
          <c:extLst>
            <c:ext xmlns:c16="http://schemas.microsoft.com/office/drawing/2014/chart" uri="{C3380CC4-5D6E-409C-BE32-E72D297353CC}">
              <c16:uniqueId val="{0000000B-22AB-4908-8DDC-1492455C2BDF}"/>
            </c:ext>
          </c:extLst>
        </c:ser>
        <c:dLbls>
          <c:showLegendKey val="0"/>
          <c:showVal val="0"/>
          <c:showCatName val="0"/>
          <c:showSerName val="0"/>
          <c:showPercent val="0"/>
          <c:showBubbleSize val="0"/>
        </c:dLbls>
        <c:smooth val="0"/>
        <c:axId val="906205600"/>
        <c:axId val="906207040"/>
      </c:lineChart>
      <c:catAx>
        <c:axId val="906205600"/>
        <c:scaling>
          <c:orientation val="minMax"/>
        </c:scaling>
        <c:delete val="1"/>
        <c:axPos val="b"/>
        <c:majorTickMark val="none"/>
        <c:minorTickMark val="none"/>
        <c:tickLblPos val="nextTo"/>
        <c:crossAx val="906207040"/>
        <c:crosses val="autoZero"/>
        <c:auto val="1"/>
        <c:lblAlgn val="ctr"/>
        <c:lblOffset val="100"/>
        <c:noMultiLvlLbl val="0"/>
      </c:catAx>
      <c:valAx>
        <c:axId val="906207040"/>
        <c:scaling>
          <c:orientation val="minMax"/>
          <c:max val="-23"/>
          <c:min val="-37"/>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crossAx val="906205600"/>
        <c:crosses val="autoZero"/>
        <c:crossBetween val="between"/>
      </c:valAx>
      <c:spPr>
        <a:noFill/>
        <a:ln>
          <a:noFill/>
        </a:ln>
        <a:effectLst/>
      </c:spPr>
    </c:plotArea>
    <c:legend>
      <c:legendPos val="b"/>
      <c:layout>
        <c:manualLayout>
          <c:xMode val="edge"/>
          <c:yMode val="edge"/>
          <c:x val="0.19044094631911856"/>
          <c:y val="0.90520809889003373"/>
          <c:w val="0.61911810736176287"/>
          <c:h val="8.1828940982296358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Témpératures</a:t>
            </a:r>
            <a:r>
              <a:rPr lang="fr-FR" baseline="0"/>
              <a:t> enregistrées au cours de la 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1.9070079068881265E-2"/>
          <c:y val="7.7972205167934142E-2"/>
          <c:w val="0.97277530045427718"/>
          <c:h val="0.84361124252694719"/>
        </c:manualLayout>
      </c:layout>
      <c:lineChart>
        <c:grouping val="standard"/>
        <c:varyColors val="0"/>
        <c:ser>
          <c:idx val="0"/>
          <c:order val="0"/>
          <c:spPr>
            <a:ln w="28575" cap="rnd">
              <a:solidFill>
                <a:schemeClr val="accent1"/>
              </a:solidFill>
              <a:round/>
            </a:ln>
            <a:effectLst/>
          </c:spPr>
          <c:marker>
            <c:symbol val="none"/>
          </c:marker>
          <c:val>
            <c:numRef>
              <c:f>'Valeurs brutes'!$B$2:$B$2</c:f>
              <c:numCache>
                <c:formatCode>General</c:formatCode>
                <c:ptCount val="1"/>
              </c:numCache>
            </c:numRef>
          </c:val>
          <c:smooth val="0"/>
          <c:extLst>
            <c:ext xmlns:c16="http://schemas.microsoft.com/office/drawing/2014/chart" uri="{C3380CC4-5D6E-409C-BE32-E72D297353CC}">
              <c16:uniqueId val="{00000000-8018-48EC-B7E4-95E0E2C61508}"/>
            </c:ext>
          </c:extLst>
        </c:ser>
        <c:ser>
          <c:idx val="1"/>
          <c:order val="1"/>
          <c:spPr>
            <a:ln w="28575" cap="rnd">
              <a:solidFill>
                <a:schemeClr val="accent2"/>
              </a:solidFill>
              <a:round/>
            </a:ln>
            <a:effectLst/>
          </c:spPr>
          <c:marker>
            <c:symbol val="none"/>
          </c:marker>
          <c:val>
            <c:numRef>
              <c:f>'Valeurs brutes'!$C$2:$C$2</c:f>
              <c:numCache>
                <c:formatCode>General</c:formatCode>
                <c:ptCount val="1"/>
              </c:numCache>
            </c:numRef>
          </c:val>
          <c:smooth val="0"/>
          <c:extLst>
            <c:ext xmlns:c16="http://schemas.microsoft.com/office/drawing/2014/chart" uri="{C3380CC4-5D6E-409C-BE32-E72D297353CC}">
              <c16:uniqueId val="{00000001-8018-48EC-B7E4-95E0E2C61508}"/>
            </c:ext>
          </c:extLst>
        </c:ser>
        <c:ser>
          <c:idx val="2"/>
          <c:order val="2"/>
          <c:spPr>
            <a:ln w="28575" cap="rnd">
              <a:solidFill>
                <a:schemeClr val="accent3"/>
              </a:solidFill>
              <a:round/>
            </a:ln>
            <a:effectLst/>
          </c:spPr>
          <c:marker>
            <c:symbol val="none"/>
          </c:marker>
          <c:val>
            <c:numRef>
              <c:f>'Valeurs brutes'!$D$2:$D$2</c:f>
              <c:numCache>
                <c:formatCode>General</c:formatCode>
                <c:ptCount val="1"/>
              </c:numCache>
            </c:numRef>
          </c:val>
          <c:smooth val="0"/>
          <c:extLst>
            <c:ext xmlns:c16="http://schemas.microsoft.com/office/drawing/2014/chart" uri="{C3380CC4-5D6E-409C-BE32-E72D297353CC}">
              <c16:uniqueId val="{00000002-8018-48EC-B7E4-95E0E2C61508}"/>
            </c:ext>
          </c:extLst>
        </c:ser>
        <c:ser>
          <c:idx val="3"/>
          <c:order val="3"/>
          <c:spPr>
            <a:ln w="28575" cap="rnd">
              <a:solidFill>
                <a:schemeClr val="accent4"/>
              </a:solidFill>
              <a:round/>
            </a:ln>
            <a:effectLst/>
          </c:spPr>
          <c:marker>
            <c:symbol val="none"/>
          </c:marker>
          <c:val>
            <c:numRef>
              <c:f>'Valeurs brutes'!$E$2:$E$2</c:f>
              <c:numCache>
                <c:formatCode>General</c:formatCode>
                <c:ptCount val="1"/>
              </c:numCache>
            </c:numRef>
          </c:val>
          <c:smooth val="0"/>
          <c:extLst>
            <c:ext xmlns:c16="http://schemas.microsoft.com/office/drawing/2014/chart" uri="{C3380CC4-5D6E-409C-BE32-E72D297353CC}">
              <c16:uniqueId val="{00000003-8018-48EC-B7E4-95E0E2C61508}"/>
            </c:ext>
          </c:extLst>
        </c:ser>
        <c:ser>
          <c:idx val="4"/>
          <c:order val="4"/>
          <c:spPr>
            <a:ln w="28575" cap="rnd">
              <a:solidFill>
                <a:schemeClr val="accent5"/>
              </a:solidFill>
              <a:round/>
            </a:ln>
            <a:effectLst/>
          </c:spPr>
          <c:marker>
            <c:symbol val="none"/>
          </c:marker>
          <c:val>
            <c:numRef>
              <c:f>'Valeurs brutes'!$F$2:$F$2</c:f>
              <c:numCache>
                <c:formatCode>General</c:formatCode>
                <c:ptCount val="1"/>
              </c:numCache>
            </c:numRef>
          </c:val>
          <c:smooth val="0"/>
          <c:extLst>
            <c:ext xmlns:c16="http://schemas.microsoft.com/office/drawing/2014/chart" uri="{C3380CC4-5D6E-409C-BE32-E72D297353CC}">
              <c16:uniqueId val="{00000004-8018-48EC-B7E4-95E0E2C61508}"/>
            </c:ext>
          </c:extLst>
        </c:ser>
        <c:ser>
          <c:idx val="5"/>
          <c:order val="5"/>
          <c:spPr>
            <a:ln w="28575" cap="rnd">
              <a:solidFill>
                <a:schemeClr val="accent6"/>
              </a:solidFill>
              <a:round/>
            </a:ln>
            <a:effectLst/>
          </c:spPr>
          <c:marker>
            <c:symbol val="none"/>
          </c:marker>
          <c:val>
            <c:numRef>
              <c:f>'Valeurs brutes'!$G$2:$G$2</c:f>
              <c:numCache>
                <c:formatCode>General</c:formatCode>
                <c:ptCount val="1"/>
              </c:numCache>
            </c:numRef>
          </c:val>
          <c:smooth val="0"/>
          <c:extLst>
            <c:ext xmlns:c16="http://schemas.microsoft.com/office/drawing/2014/chart" uri="{C3380CC4-5D6E-409C-BE32-E72D297353CC}">
              <c16:uniqueId val="{00000005-8018-48EC-B7E4-95E0E2C61508}"/>
            </c:ext>
          </c:extLst>
        </c:ser>
        <c:ser>
          <c:idx val="6"/>
          <c:order val="6"/>
          <c:spPr>
            <a:ln w="28575" cap="rnd">
              <a:solidFill>
                <a:schemeClr val="accent1">
                  <a:lumMod val="60000"/>
                </a:schemeClr>
              </a:solidFill>
              <a:round/>
            </a:ln>
            <a:effectLst/>
          </c:spPr>
          <c:marker>
            <c:symbol val="none"/>
          </c:marker>
          <c:val>
            <c:numRef>
              <c:f>'Valeurs brutes'!$H$2:$H$2</c:f>
              <c:numCache>
                <c:formatCode>General</c:formatCode>
                <c:ptCount val="1"/>
              </c:numCache>
            </c:numRef>
          </c:val>
          <c:smooth val="0"/>
          <c:extLst>
            <c:ext xmlns:c16="http://schemas.microsoft.com/office/drawing/2014/chart" uri="{C3380CC4-5D6E-409C-BE32-E72D297353CC}">
              <c16:uniqueId val="{00000006-8018-48EC-B7E4-95E0E2C61508}"/>
            </c:ext>
          </c:extLst>
        </c:ser>
        <c:ser>
          <c:idx val="7"/>
          <c:order val="7"/>
          <c:spPr>
            <a:ln w="28575" cap="rnd">
              <a:solidFill>
                <a:schemeClr val="accent2">
                  <a:lumMod val="60000"/>
                </a:schemeClr>
              </a:solidFill>
              <a:round/>
            </a:ln>
            <a:effectLst/>
          </c:spPr>
          <c:marker>
            <c:symbol val="none"/>
          </c:marker>
          <c:val>
            <c:numRef>
              <c:f>'Valeurs brutes'!$I$2:$I$2</c:f>
              <c:numCache>
                <c:formatCode>General</c:formatCode>
                <c:ptCount val="1"/>
              </c:numCache>
            </c:numRef>
          </c:val>
          <c:smooth val="0"/>
          <c:extLst>
            <c:ext xmlns:c16="http://schemas.microsoft.com/office/drawing/2014/chart" uri="{C3380CC4-5D6E-409C-BE32-E72D297353CC}">
              <c16:uniqueId val="{00000007-8018-48EC-B7E4-95E0E2C61508}"/>
            </c:ext>
          </c:extLst>
        </c:ser>
        <c:ser>
          <c:idx val="8"/>
          <c:order val="8"/>
          <c:spPr>
            <a:ln w="28575" cap="rnd">
              <a:solidFill>
                <a:schemeClr val="accent3">
                  <a:lumMod val="60000"/>
                </a:schemeClr>
              </a:solidFill>
              <a:round/>
            </a:ln>
            <a:effectLst/>
          </c:spPr>
          <c:marker>
            <c:symbol val="none"/>
          </c:marker>
          <c:val>
            <c:numRef>
              <c:f>'Valeurs brutes'!$J$2:$J$2</c:f>
              <c:numCache>
                <c:formatCode>General</c:formatCode>
                <c:ptCount val="1"/>
              </c:numCache>
            </c:numRef>
          </c:val>
          <c:smooth val="0"/>
          <c:extLst>
            <c:ext xmlns:c16="http://schemas.microsoft.com/office/drawing/2014/chart" uri="{C3380CC4-5D6E-409C-BE32-E72D297353CC}">
              <c16:uniqueId val="{00000008-8018-48EC-B7E4-95E0E2C61508}"/>
            </c:ext>
          </c:extLst>
        </c:ser>
        <c:ser>
          <c:idx val="9"/>
          <c:order val="9"/>
          <c:spPr>
            <a:ln w="28575" cap="rnd">
              <a:solidFill>
                <a:schemeClr val="accent4">
                  <a:lumMod val="60000"/>
                </a:schemeClr>
              </a:solidFill>
              <a:round/>
            </a:ln>
            <a:effectLst/>
          </c:spPr>
          <c:marker>
            <c:symbol val="none"/>
          </c:marker>
          <c:val>
            <c:numRef>
              <c:f>'Valeurs brutes'!$K$2:$K$2</c:f>
              <c:numCache>
                <c:formatCode>General</c:formatCode>
                <c:ptCount val="1"/>
              </c:numCache>
            </c:numRef>
          </c:val>
          <c:smooth val="0"/>
          <c:extLst>
            <c:ext xmlns:c16="http://schemas.microsoft.com/office/drawing/2014/chart" uri="{C3380CC4-5D6E-409C-BE32-E72D297353CC}">
              <c16:uniqueId val="{00000009-8018-48EC-B7E4-95E0E2C61508}"/>
            </c:ext>
          </c:extLst>
        </c:ser>
        <c:ser>
          <c:idx val="10"/>
          <c:order val="10"/>
          <c:spPr>
            <a:ln w="28575" cap="rnd">
              <a:solidFill>
                <a:schemeClr val="accent5">
                  <a:lumMod val="60000"/>
                </a:schemeClr>
              </a:solidFill>
              <a:round/>
            </a:ln>
            <a:effectLst/>
          </c:spPr>
          <c:marker>
            <c:symbol val="none"/>
          </c:marker>
          <c:val>
            <c:numRef>
              <c:f>'Valeurs brutes'!$L$2:$L$2</c:f>
              <c:numCache>
                <c:formatCode>General</c:formatCode>
                <c:ptCount val="1"/>
              </c:numCache>
            </c:numRef>
          </c:val>
          <c:smooth val="0"/>
          <c:extLst>
            <c:ext xmlns:c16="http://schemas.microsoft.com/office/drawing/2014/chart" uri="{C3380CC4-5D6E-409C-BE32-E72D297353CC}">
              <c16:uniqueId val="{0000000A-8018-48EC-B7E4-95E0E2C61508}"/>
            </c:ext>
          </c:extLst>
        </c:ser>
        <c:ser>
          <c:idx val="11"/>
          <c:order val="11"/>
          <c:spPr>
            <a:ln w="28575" cap="rnd">
              <a:solidFill>
                <a:schemeClr val="accent6">
                  <a:lumMod val="60000"/>
                </a:schemeClr>
              </a:solidFill>
              <a:round/>
            </a:ln>
            <a:effectLst/>
          </c:spPr>
          <c:marker>
            <c:symbol val="none"/>
          </c:marker>
          <c:val>
            <c:numRef>
              <c:f>'Valeurs brutes'!$M$2:$M$2</c:f>
              <c:numCache>
                <c:formatCode>General</c:formatCode>
                <c:ptCount val="1"/>
              </c:numCache>
            </c:numRef>
          </c:val>
          <c:smooth val="0"/>
          <c:extLst>
            <c:ext xmlns:c16="http://schemas.microsoft.com/office/drawing/2014/chart" uri="{C3380CC4-5D6E-409C-BE32-E72D297353CC}">
              <c16:uniqueId val="{0000000B-8018-48EC-B7E4-95E0E2C61508}"/>
            </c:ext>
          </c:extLst>
        </c:ser>
        <c:dLbls>
          <c:showLegendKey val="0"/>
          <c:showVal val="0"/>
          <c:showCatName val="0"/>
          <c:showSerName val="0"/>
          <c:showPercent val="0"/>
          <c:showBubbleSize val="0"/>
        </c:dLbls>
        <c:smooth val="0"/>
        <c:axId val="906205600"/>
        <c:axId val="906207040"/>
      </c:lineChart>
      <c:catAx>
        <c:axId val="906205600"/>
        <c:scaling>
          <c:orientation val="minMax"/>
        </c:scaling>
        <c:delete val="1"/>
        <c:axPos val="b"/>
        <c:majorTickMark val="none"/>
        <c:minorTickMark val="none"/>
        <c:tickLblPos val="nextTo"/>
        <c:crossAx val="906207040"/>
        <c:crosses val="autoZero"/>
        <c:auto val="1"/>
        <c:lblAlgn val="ctr"/>
        <c:lblOffset val="100"/>
        <c:noMultiLvlLbl val="0"/>
      </c:catAx>
      <c:valAx>
        <c:axId val="906207040"/>
        <c:scaling>
          <c:orientation val="minMax"/>
          <c:max val="-23"/>
          <c:min val="-37"/>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crossAx val="906205600"/>
        <c:crosses val="autoZero"/>
        <c:crossBetween val="between"/>
      </c:valAx>
      <c:spPr>
        <a:noFill/>
        <a:ln>
          <a:noFill/>
        </a:ln>
        <a:effectLst/>
      </c:spPr>
    </c:plotArea>
    <c:legend>
      <c:legendPos val="b"/>
      <c:layout>
        <c:manualLayout>
          <c:xMode val="edge"/>
          <c:yMode val="edge"/>
          <c:x val="0.19044094631911856"/>
          <c:y val="0.90520809889003373"/>
          <c:w val="0.61911810736176287"/>
          <c:h val="8.1828940982296358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jpg"/><Relationship Id="rId1" Type="http://schemas.openxmlformats.org/officeDocument/2006/relationships/image" Target="../media/image2.jpeg"/><Relationship Id="rId5" Type="http://schemas.microsoft.com/office/2007/relationships/hdphoto" Target="../media/hdphoto1.wdp"/><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49529</xdr:colOff>
      <xdr:row>15</xdr:row>
      <xdr:rowOff>171450</xdr:rowOff>
    </xdr:from>
    <xdr:to>
      <xdr:col>12</xdr:col>
      <xdr:colOff>714374</xdr:colOff>
      <xdr:row>35</xdr:row>
      <xdr:rowOff>40285</xdr:rowOff>
    </xdr:to>
    <xdr:grpSp>
      <xdr:nvGrpSpPr>
        <xdr:cNvPr id="24" name="Groupe 23">
          <a:extLst>
            <a:ext uri="{FF2B5EF4-FFF2-40B4-BE49-F238E27FC236}">
              <a16:creationId xmlns:a16="http://schemas.microsoft.com/office/drawing/2014/main" id="{00000000-0008-0000-0000-000018000000}"/>
            </a:ext>
          </a:extLst>
        </xdr:cNvPr>
        <xdr:cNvGrpSpPr/>
      </xdr:nvGrpSpPr>
      <xdr:grpSpPr>
        <a:xfrm>
          <a:off x="7378176" y="4295215"/>
          <a:ext cx="6222963" cy="3701246"/>
          <a:chOff x="6545579" y="1943100"/>
          <a:chExt cx="6151245" cy="4078885"/>
        </a:xfrm>
      </xdr:grpSpPr>
      <xdr:grpSp>
        <xdr:nvGrpSpPr>
          <xdr:cNvPr id="16" name="Groupe 15">
            <a:extLst>
              <a:ext uri="{FF2B5EF4-FFF2-40B4-BE49-F238E27FC236}">
                <a16:creationId xmlns:a16="http://schemas.microsoft.com/office/drawing/2014/main" id="{00000000-0008-0000-0000-000010000000}"/>
              </a:ext>
            </a:extLst>
          </xdr:cNvPr>
          <xdr:cNvGrpSpPr/>
        </xdr:nvGrpSpPr>
        <xdr:grpSpPr>
          <a:xfrm>
            <a:off x="6545579" y="1943100"/>
            <a:ext cx="6151245" cy="4078885"/>
            <a:chOff x="6497954" y="1828800"/>
            <a:chExt cx="6151245" cy="4078885"/>
          </a:xfrm>
        </xdr:grpSpPr>
        <xdr:grpSp>
          <xdr:nvGrpSpPr>
            <xdr:cNvPr id="8" name="Groupe 7">
              <a:extLst>
                <a:ext uri="{FF2B5EF4-FFF2-40B4-BE49-F238E27FC236}">
                  <a16:creationId xmlns:a16="http://schemas.microsoft.com/office/drawing/2014/main" id="{00000000-0008-0000-0000-000008000000}"/>
                </a:ext>
              </a:extLst>
            </xdr:cNvPr>
            <xdr:cNvGrpSpPr/>
          </xdr:nvGrpSpPr>
          <xdr:grpSpPr>
            <a:xfrm>
              <a:off x="6497954" y="1828800"/>
              <a:ext cx="6151245" cy="4078885"/>
              <a:chOff x="6097904" y="1828800"/>
              <a:chExt cx="6151245" cy="4078885"/>
            </a:xfrm>
          </xdr:grpSpPr>
          <xdr:grpSp>
            <xdr:nvGrpSpPr>
              <xdr:cNvPr id="2" name="Groupe 1">
                <a:extLst>
                  <a:ext uri="{FF2B5EF4-FFF2-40B4-BE49-F238E27FC236}">
                    <a16:creationId xmlns:a16="http://schemas.microsoft.com/office/drawing/2014/main" id="{00000000-0008-0000-0000-000002000000}"/>
                  </a:ext>
                </a:extLst>
              </xdr:cNvPr>
              <xdr:cNvGrpSpPr/>
            </xdr:nvGrpSpPr>
            <xdr:grpSpPr>
              <a:xfrm>
                <a:off x="6097904" y="2282190"/>
                <a:ext cx="6151245" cy="3625495"/>
                <a:chOff x="6097904" y="2282190"/>
                <a:chExt cx="6151245" cy="3625495"/>
              </a:xfrm>
            </xdr:grpSpPr>
            <xdr:pic>
              <xdr:nvPicPr>
                <xdr:cNvPr id="1072" name="Image 1071">
                  <a:extLst>
                    <a:ext uri="{FF2B5EF4-FFF2-40B4-BE49-F238E27FC236}">
                      <a16:creationId xmlns:a16="http://schemas.microsoft.com/office/drawing/2014/main" id="{00000000-0008-0000-0000-00003004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3">
              <xdr:nvSpPr>
                <xdr:cNvPr id="1073" name="Ellipse 1072">
                  <a:extLst>
                    <a:ext uri="{FF2B5EF4-FFF2-40B4-BE49-F238E27FC236}">
                      <a16:creationId xmlns:a16="http://schemas.microsoft.com/office/drawing/2014/main" id="{00000000-0008-0000-0000-00003104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3">
              <xdr:nvSpPr>
                <xdr:cNvPr id="1074" name="Ellipse 1073">
                  <a:extLst>
                    <a:ext uri="{FF2B5EF4-FFF2-40B4-BE49-F238E27FC236}">
                      <a16:creationId xmlns:a16="http://schemas.microsoft.com/office/drawing/2014/main" id="{00000000-0008-0000-0000-00003204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8">
            <xdr:nvSpPr>
              <xdr:cNvPr id="1075" name="Ellipse 1074">
                <a:extLst>
                  <a:ext uri="{FF2B5EF4-FFF2-40B4-BE49-F238E27FC236}">
                    <a16:creationId xmlns:a16="http://schemas.microsoft.com/office/drawing/2014/main" id="{00000000-0008-0000-0000-00003304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1077" name="Ellipse 1076">
                <a:extLst>
                  <a:ext uri="{FF2B5EF4-FFF2-40B4-BE49-F238E27FC236}">
                    <a16:creationId xmlns:a16="http://schemas.microsoft.com/office/drawing/2014/main" id="{00000000-0008-0000-0000-00003504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1078" name="Ellipse 1077">
                <a:extLst>
                  <a:ext uri="{FF2B5EF4-FFF2-40B4-BE49-F238E27FC236}">
                    <a16:creationId xmlns:a16="http://schemas.microsoft.com/office/drawing/2014/main" id="{00000000-0008-0000-0000-00003604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4">
            <xdr:nvSpPr>
              <xdr:cNvPr id="1079" name="Ellipse 1078">
                <a:extLst>
                  <a:ext uri="{FF2B5EF4-FFF2-40B4-BE49-F238E27FC236}">
                    <a16:creationId xmlns:a16="http://schemas.microsoft.com/office/drawing/2014/main" id="{00000000-0008-0000-0000-00003704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1080" name="Ellipse 1079">
                <a:extLst>
                  <a:ext uri="{FF2B5EF4-FFF2-40B4-BE49-F238E27FC236}">
                    <a16:creationId xmlns:a16="http://schemas.microsoft.com/office/drawing/2014/main" id="{00000000-0008-0000-0000-00003804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1081" name="Ellipse 1080">
                <a:extLst>
                  <a:ext uri="{FF2B5EF4-FFF2-40B4-BE49-F238E27FC236}">
                    <a16:creationId xmlns:a16="http://schemas.microsoft.com/office/drawing/2014/main" id="{00000000-0008-0000-0000-00003904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1082" name="Ellipse 1081">
                <a:extLst>
                  <a:ext uri="{FF2B5EF4-FFF2-40B4-BE49-F238E27FC236}">
                    <a16:creationId xmlns:a16="http://schemas.microsoft.com/office/drawing/2014/main" id="{00000000-0008-0000-0000-00003A04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1083" name="Ellipse 1082">
                <a:extLst>
                  <a:ext uri="{FF2B5EF4-FFF2-40B4-BE49-F238E27FC236}">
                    <a16:creationId xmlns:a16="http://schemas.microsoft.com/office/drawing/2014/main" id="{00000000-0008-0000-0000-00003B04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1084" name="Ellipse 1083">
                <a:extLst>
                  <a:ext uri="{FF2B5EF4-FFF2-40B4-BE49-F238E27FC236}">
                    <a16:creationId xmlns:a16="http://schemas.microsoft.com/office/drawing/2014/main" id="{00000000-0008-0000-0000-00003C04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9">
            <xdr:nvSpPr>
              <xdr:cNvPr id="1085" name="Ellipse 1084">
                <a:extLst>
                  <a:ext uri="{FF2B5EF4-FFF2-40B4-BE49-F238E27FC236}">
                    <a16:creationId xmlns:a16="http://schemas.microsoft.com/office/drawing/2014/main" id="{00000000-0008-0000-0000-00003D04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1086" name="Ellipse 1085">
                <a:extLst>
                  <a:ext uri="{FF2B5EF4-FFF2-40B4-BE49-F238E27FC236}">
                    <a16:creationId xmlns:a16="http://schemas.microsoft.com/office/drawing/2014/main" id="{00000000-0008-0000-0000-00003E04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1087" name="Ellipse 1086">
                <a:extLst>
                  <a:ext uri="{FF2B5EF4-FFF2-40B4-BE49-F238E27FC236}">
                    <a16:creationId xmlns:a16="http://schemas.microsoft.com/office/drawing/2014/main" id="{00000000-0008-0000-0000-00003F04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1088" name="Ellipse 1087">
                <a:extLst>
                  <a:ext uri="{FF2B5EF4-FFF2-40B4-BE49-F238E27FC236}">
                    <a16:creationId xmlns:a16="http://schemas.microsoft.com/office/drawing/2014/main" id="{00000000-0008-0000-0000-00004004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1089" name="Ellipse 1088">
                <a:extLst>
                  <a:ext uri="{FF2B5EF4-FFF2-40B4-BE49-F238E27FC236}">
                    <a16:creationId xmlns:a16="http://schemas.microsoft.com/office/drawing/2014/main" id="{00000000-0008-0000-0000-00004104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1090" name="Ellipse 1089">
                <a:extLst>
                  <a:ext uri="{FF2B5EF4-FFF2-40B4-BE49-F238E27FC236}">
                    <a16:creationId xmlns:a16="http://schemas.microsoft.com/office/drawing/2014/main" id="{00000000-0008-0000-0000-00004204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4">
            <xdr:nvSpPr>
              <xdr:cNvPr id="1091" name="Ellipse 1090">
                <a:extLst>
                  <a:ext uri="{FF2B5EF4-FFF2-40B4-BE49-F238E27FC236}">
                    <a16:creationId xmlns:a16="http://schemas.microsoft.com/office/drawing/2014/main" id="{00000000-0008-0000-0000-00004304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9" name="ZoneTexte 8">
              <a:extLst>
                <a:ext uri="{FF2B5EF4-FFF2-40B4-BE49-F238E27FC236}">
                  <a16:creationId xmlns:a16="http://schemas.microsoft.com/office/drawing/2014/main" id="{00000000-0008-0000-0000-00000900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13" name="ZoneTexte 12">
              <a:extLst>
                <a:ext uri="{FF2B5EF4-FFF2-40B4-BE49-F238E27FC236}">
                  <a16:creationId xmlns:a16="http://schemas.microsoft.com/office/drawing/2014/main" id="{00000000-0008-0000-0000-00000D00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14" name="ZoneTexte 13">
              <a:extLst>
                <a:ext uri="{FF2B5EF4-FFF2-40B4-BE49-F238E27FC236}">
                  <a16:creationId xmlns:a16="http://schemas.microsoft.com/office/drawing/2014/main" id="{00000000-0008-0000-0000-00000E00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4">
        <xdr:nvSpPr>
          <xdr:cNvPr id="17" name="Ellipse 16">
            <a:extLst>
              <a:ext uri="{FF2B5EF4-FFF2-40B4-BE49-F238E27FC236}">
                <a16:creationId xmlns:a16="http://schemas.microsoft.com/office/drawing/2014/main" id="{00000000-0008-0000-0000-00001100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18" name="Ellipse 17">
            <a:extLst>
              <a:ext uri="{FF2B5EF4-FFF2-40B4-BE49-F238E27FC236}">
                <a16:creationId xmlns:a16="http://schemas.microsoft.com/office/drawing/2014/main" id="{00000000-0008-0000-0000-00001200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20" name="Ellipse 19">
            <a:extLst>
              <a:ext uri="{FF2B5EF4-FFF2-40B4-BE49-F238E27FC236}">
                <a16:creationId xmlns:a16="http://schemas.microsoft.com/office/drawing/2014/main" id="{00000000-0008-0000-0000-00001400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21" name="Ellipse 20">
            <a:extLst>
              <a:ext uri="{FF2B5EF4-FFF2-40B4-BE49-F238E27FC236}">
                <a16:creationId xmlns:a16="http://schemas.microsoft.com/office/drawing/2014/main" id="{00000000-0008-0000-0000-00001500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22" name="Ellipse 21">
            <a:extLst>
              <a:ext uri="{FF2B5EF4-FFF2-40B4-BE49-F238E27FC236}">
                <a16:creationId xmlns:a16="http://schemas.microsoft.com/office/drawing/2014/main" id="{00000000-0008-0000-0000-00001600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23" name="Ellipse 22">
            <a:extLst>
              <a:ext uri="{FF2B5EF4-FFF2-40B4-BE49-F238E27FC236}">
                <a16:creationId xmlns:a16="http://schemas.microsoft.com/office/drawing/2014/main" id="{00000000-0008-0000-0000-00001700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mc:AlternateContent xmlns:mc="http://schemas.openxmlformats.org/markup-compatibility/2006">
    <mc:Choice xmlns:a14="http://schemas.microsoft.com/office/drawing/2010/main" Requires="a14">
      <xdr:twoCellAnchor>
        <xdr:from>
          <xdr:col>8</xdr:col>
          <xdr:colOff>333375</xdr:colOff>
          <xdr:row>5</xdr:row>
          <xdr:rowOff>57150</xdr:rowOff>
        </xdr:from>
        <xdr:to>
          <xdr:col>12</xdr:col>
          <xdr:colOff>409575</xdr:colOff>
          <xdr:row>10</xdr:row>
          <xdr:rowOff>57150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1209675</xdr:colOff>
          <xdr:row>5</xdr:row>
          <xdr:rowOff>180975</xdr:rowOff>
        </xdr:from>
        <xdr:to>
          <xdr:col>14</xdr:col>
          <xdr:colOff>19050</xdr:colOff>
          <xdr:row>9</xdr:row>
          <xdr:rowOff>123825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100" b="0" i="0" u="none" strike="noStrike" baseline="0">
                  <a:solidFill>
                    <a:srgbClr val="000000"/>
                  </a:solidFill>
                  <a:latin typeface="Calibri"/>
                  <a:cs typeface="Calibri"/>
                </a:rPr>
                <a:t>Supprimer les données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1020536</xdr:colOff>
      <xdr:row>28</xdr:row>
      <xdr:rowOff>108856</xdr:rowOff>
    </xdr:from>
    <xdr:to>
      <xdr:col>17</xdr:col>
      <xdr:colOff>721178</xdr:colOff>
      <xdr:row>59</xdr:row>
      <xdr:rowOff>81643</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98" name="Image 97">
          <a:extLst>
            <a:ext uri="{FF2B5EF4-FFF2-40B4-BE49-F238E27FC236}">
              <a16:creationId xmlns:a16="http://schemas.microsoft.com/office/drawing/2014/main" id="{00000000-0008-0000-0400-00006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28979"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99" name="Image 98">
          <a:extLst>
            <a:ext uri="{FF2B5EF4-FFF2-40B4-BE49-F238E27FC236}">
              <a16:creationId xmlns:a16="http://schemas.microsoft.com/office/drawing/2014/main" id="{00000000-0008-0000-0400-00006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398000"/>
          <a:ext cx="1928979"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100" name="Image 99" descr="fregate">
          <a:extLst>
            <a:ext uri="{FF2B5EF4-FFF2-40B4-BE49-F238E27FC236}">
              <a16:creationId xmlns:a16="http://schemas.microsoft.com/office/drawing/2014/main" id="{00000000-0008-0000-0400-00006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176750"/>
          <a:ext cx="1809750" cy="793750"/>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101" name="Sous-titre 2">
          <a:extLst>
            <a:ext uri="{FF2B5EF4-FFF2-40B4-BE49-F238E27FC236}">
              <a16:creationId xmlns:a16="http://schemas.microsoft.com/office/drawing/2014/main" id="{00000000-0008-0000-0400-000065000000}"/>
            </a:ext>
          </a:extLst>
        </xdr:cNvPr>
        <xdr:cNvSpPr txBox="1">
          <a:spLocks/>
        </xdr:cNvSpPr>
      </xdr:nvSpPr>
      <xdr:spPr>
        <a:xfrm>
          <a:off x="603250" y="26543000"/>
          <a:ext cx="11401425"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121" name="Image 120" descr="fregate">
          <a:extLst>
            <a:ext uri="{FF2B5EF4-FFF2-40B4-BE49-F238E27FC236}">
              <a16:creationId xmlns:a16="http://schemas.microsoft.com/office/drawing/2014/main" id="{00000000-0008-0000-04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5041890"/>
          <a:ext cx="1816765" cy="784889"/>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122" name="Image 121" descr="fregate">
          <a:extLst>
            <a:ext uri="{FF2B5EF4-FFF2-40B4-BE49-F238E27FC236}">
              <a16:creationId xmlns:a16="http://schemas.microsoft.com/office/drawing/2014/main" id="{00000000-0008-0000-0400-00007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2340698"/>
          <a:ext cx="1816765" cy="784889"/>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123" name="Image 122" descr="fregate">
          <a:extLst>
            <a:ext uri="{FF2B5EF4-FFF2-40B4-BE49-F238E27FC236}">
              <a16:creationId xmlns:a16="http://schemas.microsoft.com/office/drawing/2014/main" id="{00000000-0008-0000-0400-00007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8260812"/>
          <a:ext cx="1818203" cy="779424"/>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2" name="Image 1" descr="fregate">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4087143"/>
          <a:ext cx="1818203" cy="779424"/>
        </a:xfrm>
        <a:prstGeom prst="rect">
          <a:avLst/>
        </a:prstGeom>
        <a:noFill/>
        <a:ln>
          <a:noFill/>
        </a:ln>
      </xdr:spPr>
    </xdr:pic>
    <xdr:clientData/>
  </xdr:twoCellAnchor>
  <xdr:twoCellAnchor>
    <xdr:from>
      <xdr:col>0</xdr:col>
      <xdr:colOff>816429</xdr:colOff>
      <xdr:row>257</xdr:row>
      <xdr:rowOff>98960</xdr:rowOff>
    </xdr:from>
    <xdr:to>
      <xdr:col>9</xdr:col>
      <xdr:colOff>309254</xdr:colOff>
      <xdr:row>289</xdr:row>
      <xdr:rowOff>39585</xdr:rowOff>
    </xdr:to>
    <xdr:graphicFrame macro="">
      <xdr:nvGraphicFramePr>
        <xdr:cNvPr id="135" name="Graphique 134">
          <a:extLst>
            <a:ext uri="{FF2B5EF4-FFF2-40B4-BE49-F238E27FC236}">
              <a16:creationId xmlns:a16="http://schemas.microsoft.com/office/drawing/2014/main" id="{00000000-0008-0000-0400-00008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251</xdr:row>
      <xdr:rowOff>160812</xdr:rowOff>
    </xdr:from>
    <xdr:to>
      <xdr:col>1</xdr:col>
      <xdr:colOff>915184</xdr:colOff>
      <xdr:row>254</xdr:row>
      <xdr:rowOff>111436</xdr:rowOff>
    </xdr:to>
    <xdr:pic>
      <xdr:nvPicPr>
        <xdr:cNvPr id="136" name="Image 135" descr="fregate">
          <a:extLst>
            <a:ext uri="{FF2B5EF4-FFF2-40B4-BE49-F238E27FC236}">
              <a16:creationId xmlns:a16="http://schemas.microsoft.com/office/drawing/2014/main" id="{00000000-0008-0000-0400-00008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0668052"/>
          <a:ext cx="1818203" cy="7794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37" name="Image 136" descr="fregate">
          <a:extLst>
            <a:ext uri="{FF2B5EF4-FFF2-40B4-BE49-F238E27FC236}">
              <a16:creationId xmlns:a16="http://schemas.microsoft.com/office/drawing/2014/main" id="{00000000-0008-0000-0400-00008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7991169"/>
          <a:ext cx="1818203" cy="779424"/>
        </a:xfrm>
        <a:prstGeom prst="rect">
          <a:avLst/>
        </a:prstGeom>
        <a:noFill/>
        <a:ln>
          <a:noFill/>
        </a:ln>
      </xdr:spPr>
    </xdr:pic>
    <xdr:clientData/>
  </xdr:twoCellAnchor>
  <xdr:twoCellAnchor>
    <xdr:from>
      <xdr:col>4</xdr:col>
      <xdr:colOff>37110</xdr:colOff>
      <xdr:row>163</xdr:row>
      <xdr:rowOff>74222</xdr:rowOff>
    </xdr:from>
    <xdr:to>
      <xdr:col>9</xdr:col>
      <xdr:colOff>312965</xdr:colOff>
      <xdr:row>191</xdr:row>
      <xdr:rowOff>0</xdr:rowOff>
    </xdr:to>
    <xdr:grpSp>
      <xdr:nvGrpSpPr>
        <xdr:cNvPr id="138" name="Groupe 137">
          <a:extLst>
            <a:ext uri="{FF2B5EF4-FFF2-40B4-BE49-F238E27FC236}">
              <a16:creationId xmlns:a16="http://schemas.microsoft.com/office/drawing/2014/main" id="{00000000-0008-0000-0400-00008A000000}"/>
            </a:ext>
          </a:extLst>
        </xdr:cNvPr>
        <xdr:cNvGrpSpPr/>
      </xdr:nvGrpSpPr>
      <xdr:grpSpPr>
        <a:xfrm>
          <a:off x="7072003" y="36446115"/>
          <a:ext cx="8385712" cy="5259778"/>
          <a:chOff x="6545579" y="1943100"/>
          <a:chExt cx="6151245" cy="4078885"/>
        </a:xfrm>
      </xdr:grpSpPr>
      <xdr:grpSp>
        <xdr:nvGrpSpPr>
          <xdr:cNvPr id="139" name="Groupe 138">
            <a:extLst>
              <a:ext uri="{FF2B5EF4-FFF2-40B4-BE49-F238E27FC236}">
                <a16:creationId xmlns:a16="http://schemas.microsoft.com/office/drawing/2014/main" id="{00000000-0008-0000-0400-00008B000000}"/>
              </a:ext>
            </a:extLst>
          </xdr:cNvPr>
          <xdr:cNvGrpSpPr/>
        </xdr:nvGrpSpPr>
        <xdr:grpSpPr>
          <a:xfrm>
            <a:off x="6545579" y="1943100"/>
            <a:ext cx="6151245" cy="4078885"/>
            <a:chOff x="6497954" y="1828800"/>
            <a:chExt cx="6151245" cy="4078885"/>
          </a:xfrm>
        </xdr:grpSpPr>
        <xdr:grpSp>
          <xdr:nvGrpSpPr>
            <xdr:cNvPr id="146" name="Groupe 145">
              <a:extLst>
                <a:ext uri="{FF2B5EF4-FFF2-40B4-BE49-F238E27FC236}">
                  <a16:creationId xmlns:a16="http://schemas.microsoft.com/office/drawing/2014/main" id="{00000000-0008-0000-0400-000092000000}"/>
                </a:ext>
              </a:extLst>
            </xdr:cNvPr>
            <xdr:cNvGrpSpPr/>
          </xdr:nvGrpSpPr>
          <xdr:grpSpPr>
            <a:xfrm>
              <a:off x="6497954" y="1828800"/>
              <a:ext cx="6151245" cy="4078885"/>
              <a:chOff x="6097904" y="1828800"/>
              <a:chExt cx="6151245" cy="4078885"/>
            </a:xfrm>
          </xdr:grpSpPr>
          <xdr:grpSp>
            <xdr:nvGrpSpPr>
              <xdr:cNvPr id="150" name="Groupe 149">
                <a:extLst>
                  <a:ext uri="{FF2B5EF4-FFF2-40B4-BE49-F238E27FC236}">
                    <a16:creationId xmlns:a16="http://schemas.microsoft.com/office/drawing/2014/main" id="{00000000-0008-0000-0400-000096000000}"/>
                  </a:ext>
                </a:extLst>
              </xdr:cNvPr>
              <xdr:cNvGrpSpPr/>
            </xdr:nvGrpSpPr>
            <xdr:grpSpPr>
              <a:xfrm>
                <a:off x="6097904" y="2282190"/>
                <a:ext cx="6151245" cy="3625495"/>
                <a:chOff x="6097904" y="2282190"/>
                <a:chExt cx="6151245" cy="3625495"/>
              </a:xfrm>
            </xdr:grpSpPr>
            <xdr:pic>
              <xdr:nvPicPr>
                <xdr:cNvPr id="167" name="Image 166">
                  <a:extLst>
                    <a:ext uri="{FF2B5EF4-FFF2-40B4-BE49-F238E27FC236}">
                      <a16:creationId xmlns:a16="http://schemas.microsoft.com/office/drawing/2014/main" id="{00000000-0008-0000-0400-0000A7000000}"/>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168">
              <xdr:nvSpPr>
                <xdr:cNvPr id="168" name="Ellipse 167">
                  <a:extLst>
                    <a:ext uri="{FF2B5EF4-FFF2-40B4-BE49-F238E27FC236}">
                      <a16:creationId xmlns:a16="http://schemas.microsoft.com/office/drawing/2014/main" id="{00000000-0008-0000-0400-0000A800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E8CA509-3860-4059-BA5F-A22C35BBA7B8}" type="TxLink">
                    <a:rPr lang="en-US" sz="1100" b="0" i="0" u="none" strike="noStrike">
                      <a:solidFill>
                        <a:srgbClr val="000000"/>
                      </a:solidFill>
                      <a:latin typeface="Calibri"/>
                      <a:cs typeface="Calibri"/>
                    </a:rPr>
                    <a:pPr algn="ctr"/>
                    <a:t>0</a:t>
                  </a:fld>
                  <a:endParaRPr lang="fr-FR" sz="1100"/>
                </a:p>
              </xdr:txBody>
            </xdr:sp>
            <xdr:sp macro="" textlink="$B$168">
              <xdr:nvSpPr>
                <xdr:cNvPr id="169" name="Ellipse 168">
                  <a:extLst>
                    <a:ext uri="{FF2B5EF4-FFF2-40B4-BE49-F238E27FC236}">
                      <a16:creationId xmlns:a16="http://schemas.microsoft.com/office/drawing/2014/main" id="{00000000-0008-0000-0400-0000A900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6ED7CAC-63C3-4052-85DD-DFB7BC858CD1}" type="TxLink">
                    <a:rPr lang="en-US" sz="1100" b="0" i="0" u="none" strike="noStrike">
                      <a:solidFill>
                        <a:srgbClr val="000000"/>
                      </a:solidFill>
                      <a:latin typeface="Calibri"/>
                      <a:cs typeface="Calibri"/>
                    </a:rPr>
                    <a:pPr algn="ctr"/>
                    <a:t>0</a:t>
                  </a:fld>
                  <a:endParaRPr lang="fr-FR" sz="1100"/>
                </a:p>
              </xdr:txBody>
            </xdr:sp>
          </xdr:grpSp>
          <xdr:sp macro="" textlink="$B$173">
            <xdr:nvSpPr>
              <xdr:cNvPr id="151" name="Ellipse 150">
                <a:extLst>
                  <a:ext uri="{FF2B5EF4-FFF2-40B4-BE49-F238E27FC236}">
                    <a16:creationId xmlns:a16="http://schemas.microsoft.com/office/drawing/2014/main" id="{00000000-0008-0000-0400-00009700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D87973C-5DAC-40A1-9B3E-092506FB37E9}"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C$174">
            <xdr:nvSpPr>
              <xdr:cNvPr id="152" name="Ellipse 151">
                <a:extLst>
                  <a:ext uri="{FF2B5EF4-FFF2-40B4-BE49-F238E27FC236}">
                    <a16:creationId xmlns:a16="http://schemas.microsoft.com/office/drawing/2014/main" id="{00000000-0008-0000-0400-00009800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F110B4C-2B1D-445D-A880-71667F43DD10}"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C$175">
            <xdr:nvSpPr>
              <xdr:cNvPr id="153" name="Ellipse 152">
                <a:extLst>
                  <a:ext uri="{FF2B5EF4-FFF2-40B4-BE49-F238E27FC236}">
                    <a16:creationId xmlns:a16="http://schemas.microsoft.com/office/drawing/2014/main" id="{00000000-0008-0000-0400-00009900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0393260-8AB4-428C-8237-D8335D94D165}"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C$169">
            <xdr:nvSpPr>
              <xdr:cNvPr id="154" name="Ellipse 153">
                <a:extLst>
                  <a:ext uri="{FF2B5EF4-FFF2-40B4-BE49-F238E27FC236}">
                    <a16:creationId xmlns:a16="http://schemas.microsoft.com/office/drawing/2014/main" id="{00000000-0008-0000-0400-00009A00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A1A8430-85FC-4EC5-9BE8-A38E53FE46DD}"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C$176">
            <xdr:nvSpPr>
              <xdr:cNvPr id="155" name="Ellipse 154">
                <a:extLst>
                  <a:ext uri="{FF2B5EF4-FFF2-40B4-BE49-F238E27FC236}">
                    <a16:creationId xmlns:a16="http://schemas.microsoft.com/office/drawing/2014/main" id="{00000000-0008-0000-0400-00009B00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F0DEBB8-66C7-459E-AF22-F508D8E7EDE3}"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C$172">
            <xdr:nvSpPr>
              <xdr:cNvPr id="156" name="Ellipse 155">
                <a:extLst>
                  <a:ext uri="{FF2B5EF4-FFF2-40B4-BE49-F238E27FC236}">
                    <a16:creationId xmlns:a16="http://schemas.microsoft.com/office/drawing/2014/main" id="{00000000-0008-0000-0400-00009C000000}"/>
                  </a:ext>
                </a:extLst>
              </xdr:cNvPr>
              <xdr:cNvSpPr/>
            </xdr:nvSpPr>
            <xdr:spPr>
              <a:xfrm>
                <a:off x="8916711" y="4332298"/>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16B188B-1A2D-4901-ABB2-B151F4EAF188}"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C$170">
            <xdr:nvSpPr>
              <xdr:cNvPr id="157" name="Ellipse 156">
                <a:extLst>
                  <a:ext uri="{FF2B5EF4-FFF2-40B4-BE49-F238E27FC236}">
                    <a16:creationId xmlns:a16="http://schemas.microsoft.com/office/drawing/2014/main" id="{00000000-0008-0000-0400-00009D00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AF2B3D3-A4DF-4415-A284-965798435B12}"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C$171">
            <xdr:nvSpPr>
              <xdr:cNvPr id="158" name="Ellipse 157">
                <a:extLst>
                  <a:ext uri="{FF2B5EF4-FFF2-40B4-BE49-F238E27FC236}">
                    <a16:creationId xmlns:a16="http://schemas.microsoft.com/office/drawing/2014/main" id="{00000000-0008-0000-0400-00009E00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D8548DD-921F-462B-9C1A-3CD357BB73C6}"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C$173">
            <xdr:nvSpPr>
              <xdr:cNvPr id="159" name="Ellipse 158">
                <a:extLst>
                  <a:ext uri="{FF2B5EF4-FFF2-40B4-BE49-F238E27FC236}">
                    <a16:creationId xmlns:a16="http://schemas.microsoft.com/office/drawing/2014/main" id="{00000000-0008-0000-0400-00009F00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58061C07-06DC-4CF3-B96C-B80E20E2AFAD}"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B$174">
            <xdr:nvSpPr>
              <xdr:cNvPr id="160" name="Ellipse 159">
                <a:extLst>
                  <a:ext uri="{FF2B5EF4-FFF2-40B4-BE49-F238E27FC236}">
                    <a16:creationId xmlns:a16="http://schemas.microsoft.com/office/drawing/2014/main" id="{00000000-0008-0000-0400-0000A000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8F5D446-6DB3-4B4E-8792-A8415AB1B3B6}"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B$175">
            <xdr:nvSpPr>
              <xdr:cNvPr id="161" name="Ellipse 160">
                <a:extLst>
                  <a:ext uri="{FF2B5EF4-FFF2-40B4-BE49-F238E27FC236}">
                    <a16:creationId xmlns:a16="http://schemas.microsoft.com/office/drawing/2014/main" id="{00000000-0008-0000-0400-0000A1000000}"/>
                  </a:ext>
                </a:extLst>
              </xdr:cNvPr>
              <xdr:cNvSpPr/>
            </xdr:nvSpPr>
            <xdr:spPr>
              <a:xfrm>
                <a:off x="11174731" y="3983356"/>
                <a:ext cx="283844" cy="226694"/>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FF2710B-17AC-4639-96F0-F5E3475DD966}"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B$176">
            <xdr:nvSpPr>
              <xdr:cNvPr id="162" name="Ellipse 161">
                <a:extLst>
                  <a:ext uri="{FF2B5EF4-FFF2-40B4-BE49-F238E27FC236}">
                    <a16:creationId xmlns:a16="http://schemas.microsoft.com/office/drawing/2014/main" id="{00000000-0008-0000-0400-0000A200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C50B1F4-A8F6-4666-8209-C371B246ED9B}"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B$172">
            <xdr:nvSpPr>
              <xdr:cNvPr id="163" name="Ellipse 162">
                <a:extLst>
                  <a:ext uri="{FF2B5EF4-FFF2-40B4-BE49-F238E27FC236}">
                    <a16:creationId xmlns:a16="http://schemas.microsoft.com/office/drawing/2014/main" id="{00000000-0008-0000-0400-0000A300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D2CEC41E-FA13-44EC-A465-15024F7F5749}"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B$170">
            <xdr:nvSpPr>
              <xdr:cNvPr id="164" name="Ellipse 163">
                <a:extLst>
                  <a:ext uri="{FF2B5EF4-FFF2-40B4-BE49-F238E27FC236}">
                    <a16:creationId xmlns:a16="http://schemas.microsoft.com/office/drawing/2014/main" id="{00000000-0008-0000-0400-0000A400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05D201F-E93C-4BAC-A562-022AAEA96BD5}"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B$171">
            <xdr:nvSpPr>
              <xdr:cNvPr id="165" name="Ellipse 164">
                <a:extLst>
                  <a:ext uri="{FF2B5EF4-FFF2-40B4-BE49-F238E27FC236}">
                    <a16:creationId xmlns:a16="http://schemas.microsoft.com/office/drawing/2014/main" id="{00000000-0008-0000-0400-0000A500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A2264BC-0223-41FA-81D0-10B1B1C64463}"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B$169">
            <xdr:nvSpPr>
              <xdr:cNvPr id="166" name="Ellipse 165">
                <a:extLst>
                  <a:ext uri="{FF2B5EF4-FFF2-40B4-BE49-F238E27FC236}">
                    <a16:creationId xmlns:a16="http://schemas.microsoft.com/office/drawing/2014/main" id="{00000000-0008-0000-0400-0000A600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64C22A0-7AA7-43AD-AD0F-758221B3B0BF}" type="TxLink">
                  <a:rPr lang="en-US" sz="1100" b="0" i="0" u="none" strike="noStrike">
                    <a:solidFill>
                      <a:srgbClr val="000000"/>
                    </a:solidFill>
                    <a:latin typeface="Calibri"/>
                    <a:cs typeface="Calibri"/>
                  </a:rPr>
                  <a:pPr algn="ctr"/>
                  <a:t>0</a:t>
                </a:fld>
                <a:endParaRPr lang="fr-FR" sz="1100"/>
              </a:p>
            </xdr:txBody>
          </xdr:sp>
        </xdr:grpSp>
        <xdr:sp macro="" textlink="">
          <xdr:nvSpPr>
            <xdr:cNvPr id="147" name="ZoneTexte 146">
              <a:extLst>
                <a:ext uri="{FF2B5EF4-FFF2-40B4-BE49-F238E27FC236}">
                  <a16:creationId xmlns:a16="http://schemas.microsoft.com/office/drawing/2014/main" id="{00000000-0008-0000-0400-00009300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148" name="ZoneTexte 147">
              <a:extLst>
                <a:ext uri="{FF2B5EF4-FFF2-40B4-BE49-F238E27FC236}">
                  <a16:creationId xmlns:a16="http://schemas.microsoft.com/office/drawing/2014/main" id="{00000000-0008-0000-0400-00009400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149" name="ZoneTexte 148">
              <a:extLst>
                <a:ext uri="{FF2B5EF4-FFF2-40B4-BE49-F238E27FC236}">
                  <a16:creationId xmlns:a16="http://schemas.microsoft.com/office/drawing/2014/main" id="{00000000-0008-0000-0400-00009500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179">
        <xdr:nvSpPr>
          <xdr:cNvPr id="140" name="Ellipse 139">
            <a:extLst>
              <a:ext uri="{FF2B5EF4-FFF2-40B4-BE49-F238E27FC236}">
                <a16:creationId xmlns:a16="http://schemas.microsoft.com/office/drawing/2014/main" id="{00000000-0008-0000-0400-00008C00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9273311-FD3F-49D6-AEE9-A4FDAAF45A50}"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C$178">
        <xdr:nvSpPr>
          <xdr:cNvPr id="141" name="Ellipse 140">
            <a:extLst>
              <a:ext uri="{FF2B5EF4-FFF2-40B4-BE49-F238E27FC236}">
                <a16:creationId xmlns:a16="http://schemas.microsoft.com/office/drawing/2014/main" id="{00000000-0008-0000-0400-00008D00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5E2BFE2-700A-4E2C-8E40-699939E5C931}"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C$177">
        <xdr:nvSpPr>
          <xdr:cNvPr id="142" name="Ellipse 141">
            <a:extLst>
              <a:ext uri="{FF2B5EF4-FFF2-40B4-BE49-F238E27FC236}">
                <a16:creationId xmlns:a16="http://schemas.microsoft.com/office/drawing/2014/main" id="{00000000-0008-0000-0400-00008E00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1AE87E-8E02-4726-86D2-6172ECEE39D8}"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B$179">
        <xdr:nvSpPr>
          <xdr:cNvPr id="143" name="Ellipse 142">
            <a:extLst>
              <a:ext uri="{FF2B5EF4-FFF2-40B4-BE49-F238E27FC236}">
                <a16:creationId xmlns:a16="http://schemas.microsoft.com/office/drawing/2014/main" id="{00000000-0008-0000-0400-00008F00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174F774-D6F4-4250-AABD-02DDEEF5D90A}"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B$178">
        <xdr:nvSpPr>
          <xdr:cNvPr id="144" name="Ellipse 143">
            <a:extLst>
              <a:ext uri="{FF2B5EF4-FFF2-40B4-BE49-F238E27FC236}">
                <a16:creationId xmlns:a16="http://schemas.microsoft.com/office/drawing/2014/main" id="{00000000-0008-0000-0400-00009000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D1B42C3-A2FB-41B4-9FBF-00577682C0A7}"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B$177">
        <xdr:nvSpPr>
          <xdr:cNvPr id="145" name="Ellipse 144">
            <a:extLst>
              <a:ext uri="{FF2B5EF4-FFF2-40B4-BE49-F238E27FC236}">
                <a16:creationId xmlns:a16="http://schemas.microsoft.com/office/drawing/2014/main" id="{00000000-0008-0000-0400-00009100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BE071B0-F856-4F94-B08D-2183316A0517}"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315E69-8D0B-4AE0-AE58-5C6D560EABC1}" name="Valeurs_Brutes" displayName="Valeurs_Brutes" ref="A1:M2" totalsRowShown="0">
  <autoFilter ref="A1:M2" xr:uid="{33315E69-8D0B-4AE0-AE58-5C6D560EABC1}"/>
  <tableColumns count="13">
    <tableColumn id="1" xr3:uid="{9C602B99-10D0-494F-861F-5F4E2E2DB6AA}" name="Date/Heure"/>
    <tableColumn id="2" xr3:uid="{3BF57CB0-1C5D-4AE3-985A-F5D7D64B411A}" name="Connecteur 1"/>
    <tableColumn id="3" xr3:uid="{FB70DEF5-1262-42C5-A9F7-78FF6037131A}" name="Connecteur 2"/>
    <tableColumn id="4" xr3:uid="{C2478662-C188-43B8-8F3C-15BD4E7CEC25}" name="Connecteur 3"/>
    <tableColumn id="5" xr3:uid="{3A678CC4-7E1C-4695-BD7A-84198274B130}" name="Connecteur 4"/>
    <tableColumn id="6" xr3:uid="{E9C9272C-76DD-4C3E-924D-CFD12D40B3EE}" name="Connecteur 5"/>
    <tableColumn id="7" xr3:uid="{56B810A6-9EFE-4A5A-8585-43374E2C0C09}" name="Connecteur 6"/>
    <tableColumn id="8" xr3:uid="{12A45B99-B68F-4836-B522-86208FB65B4C}" name="Connecteur 7"/>
    <tableColumn id="9" xr3:uid="{64F8012F-5F95-4865-BFBB-BA7FDBCC46A6}" name="Connecteur 8"/>
    <tableColumn id="10" xr3:uid="{C15133D9-3A71-48E0-BAF1-24C06C984193}" name="Connecteur 9"/>
    <tableColumn id="11" xr3:uid="{CC4B189E-78CC-48A7-BEB6-2903BBE903EA}" name="Connecteur 10"/>
    <tableColumn id="12" xr3:uid="{AB94625D-3E29-47F0-A1E9-07A21D51E8C7}" name="Connecteur 11"/>
    <tableColumn id="13" xr3:uid="{50F81F8F-A022-4F4B-951C-24B9C6FFC503}" name="Connecteur 12"/>
  </tableColumns>
  <tableStyleInfo name="TableStyleLight21"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E7209-65DF-4768-8AD9-C2E7ED73A485}">
  <sheetPr codeName="Feuil1"/>
  <dimension ref="A2:O53"/>
  <sheetViews>
    <sheetView tabSelected="1" topLeftCell="A31" zoomScale="85" zoomScaleNormal="85" workbookViewId="0">
      <selection activeCell="D36" sqref="D36"/>
    </sheetView>
  </sheetViews>
  <sheetFormatPr baseColWidth="10" defaultRowHeight="15" x14ac:dyDescent="0.25"/>
  <cols>
    <col min="1" max="1" width="13.5703125" style="17" bestFit="1" customWidth="1"/>
    <col min="2" max="2" width="14.7109375" style="17" bestFit="1" customWidth="1"/>
    <col min="3" max="3" width="21.42578125" style="17" bestFit="1" customWidth="1"/>
    <col min="4" max="4" width="20.42578125" style="17" bestFit="1" customWidth="1"/>
    <col min="5" max="5" width="25.85546875" style="17" bestFit="1" customWidth="1"/>
    <col min="6" max="6" width="13.5703125" style="17" bestFit="1" customWidth="1"/>
    <col min="7" max="7" width="12.85546875" style="17" customWidth="1"/>
    <col min="8" max="8" width="21.85546875" style="17" customWidth="1"/>
    <col min="9" max="9" width="14.28515625" style="17" customWidth="1"/>
    <col min="10" max="12" width="11.42578125" style="17"/>
    <col min="13" max="13" width="21.42578125" style="17" bestFit="1" customWidth="1"/>
    <col min="14" max="14" width="17.28515625" style="17" bestFit="1" customWidth="1"/>
    <col min="15" max="15" width="25.85546875" style="17" bestFit="1" customWidth="1"/>
    <col min="16" max="16384" width="11.42578125" style="17"/>
  </cols>
  <sheetData>
    <row r="2" spans="1:15" ht="57" customHeight="1" x14ac:dyDescent="0.25">
      <c r="B2" s="101" t="s">
        <v>168</v>
      </c>
      <c r="C2" s="102"/>
      <c r="D2" s="102"/>
      <c r="E2" s="102"/>
      <c r="F2" s="102"/>
      <c r="G2" s="102"/>
      <c r="H2" s="102"/>
      <c r="I2" s="102"/>
      <c r="J2" s="102"/>
      <c r="K2" s="102"/>
    </row>
    <row r="3" spans="1:15" ht="57" customHeight="1" x14ac:dyDescent="0.25">
      <c r="B3" s="102"/>
      <c r="C3" s="102"/>
      <c r="D3" s="102"/>
      <c r="E3" s="102"/>
      <c r="F3" s="102"/>
      <c r="G3" s="102"/>
      <c r="H3" s="102"/>
      <c r="I3" s="102"/>
      <c r="J3" s="102"/>
      <c r="K3" s="102"/>
    </row>
    <row r="4" spans="1:15" ht="21.75" customHeight="1" x14ac:dyDescent="0.25">
      <c r="B4" s="60"/>
      <c r="C4" s="60"/>
      <c r="D4" s="60"/>
      <c r="E4" s="60"/>
      <c r="F4" s="60"/>
      <c r="G4" s="60"/>
      <c r="H4" s="60"/>
      <c r="I4" s="60"/>
      <c r="J4" s="60"/>
      <c r="K4" s="60"/>
    </row>
    <row r="5" spans="1:15" ht="23.25" customHeight="1" x14ac:dyDescent="0.25">
      <c r="A5" s="96" t="s">
        <v>169</v>
      </c>
      <c r="B5" s="96"/>
      <c r="C5" s="96"/>
      <c r="D5" s="103"/>
      <c r="E5" s="104"/>
    </row>
    <row r="7" spans="1:15" x14ac:dyDescent="0.25">
      <c r="A7" s="96" t="s">
        <v>70</v>
      </c>
      <c r="B7" s="96"/>
      <c r="C7" s="81"/>
      <c r="E7" s="96" t="s">
        <v>75</v>
      </c>
      <c r="F7" s="96"/>
      <c r="G7" s="81"/>
      <c r="O7" s="91" t="s">
        <v>184</v>
      </c>
    </row>
    <row r="8" spans="1:15" x14ac:dyDescent="0.25">
      <c r="A8" s="96" t="s">
        <v>71</v>
      </c>
      <c r="B8" s="96"/>
      <c r="C8" s="82"/>
      <c r="E8" s="96" t="s">
        <v>76</v>
      </c>
      <c r="F8" s="96"/>
      <c r="G8" s="82"/>
      <c r="O8" s="91" t="s">
        <v>182</v>
      </c>
    </row>
    <row r="9" spans="1:15" x14ac:dyDescent="0.25">
      <c r="O9" s="91" t="s">
        <v>183</v>
      </c>
    </row>
    <row r="10" spans="1:15" x14ac:dyDescent="0.25">
      <c r="A10" s="97" t="s">
        <v>62</v>
      </c>
      <c r="B10" s="98"/>
      <c r="C10" s="66"/>
      <c r="E10" s="97" t="s">
        <v>63</v>
      </c>
      <c r="F10" s="98"/>
      <c r="G10" s="90"/>
    </row>
    <row r="11" spans="1:15" x14ac:dyDescent="0.25">
      <c r="A11" s="97" t="s">
        <v>64</v>
      </c>
      <c r="B11" s="98"/>
      <c r="C11" s="90"/>
      <c r="E11" s="96" t="s">
        <v>161</v>
      </c>
      <c r="F11" s="96"/>
      <c r="G11" s="80">
        <v>9</v>
      </c>
    </row>
    <row r="12" spans="1:15" x14ac:dyDescent="0.25">
      <c r="E12" s="96" t="s">
        <v>162</v>
      </c>
      <c r="F12" s="96"/>
      <c r="G12" s="79"/>
    </row>
    <row r="14" spans="1:15" x14ac:dyDescent="0.25">
      <c r="A14" s="97" t="s">
        <v>65</v>
      </c>
      <c r="B14" s="98"/>
      <c r="C14" s="81"/>
    </row>
    <row r="15" spans="1:15" x14ac:dyDescent="0.25">
      <c r="A15" s="97" t="s">
        <v>160</v>
      </c>
      <c r="B15" s="98"/>
      <c r="C15" s="79" t="s">
        <v>184</v>
      </c>
    </row>
    <row r="19" spans="1:5" x14ac:dyDescent="0.25">
      <c r="A19" s="7" t="s">
        <v>6</v>
      </c>
      <c r="B19" s="94"/>
    </row>
    <row r="20" spans="1:5" x14ac:dyDescent="0.25">
      <c r="A20" s="7" t="s">
        <v>9</v>
      </c>
      <c r="B20" s="94"/>
    </row>
    <row r="21" spans="1:5" ht="15.75" thickBot="1" x14ac:dyDescent="0.3"/>
    <row r="22" spans="1:5" ht="15.75" thickBot="1" x14ac:dyDescent="0.3">
      <c r="A22" s="61" t="s">
        <v>2</v>
      </c>
      <c r="B22" s="62" t="s">
        <v>1</v>
      </c>
      <c r="C22" s="62" t="s">
        <v>3</v>
      </c>
      <c r="D22" s="62" t="s">
        <v>4</v>
      </c>
      <c r="E22" s="63" t="s">
        <v>5</v>
      </c>
    </row>
    <row r="23" spans="1:5" x14ac:dyDescent="0.25">
      <c r="A23" s="64">
        <v>1</v>
      </c>
      <c r="B23" s="92"/>
      <c r="C23" s="93"/>
      <c r="D23" s="83"/>
      <c r="E23" s="84"/>
    </row>
    <row r="24" spans="1:5" x14ac:dyDescent="0.25">
      <c r="A24" s="65">
        <v>2</v>
      </c>
      <c r="B24" s="92"/>
      <c r="C24" s="93"/>
      <c r="D24" s="85"/>
      <c r="E24" s="86"/>
    </row>
    <row r="25" spans="1:5" x14ac:dyDescent="0.25">
      <c r="A25" s="64">
        <v>3</v>
      </c>
      <c r="B25" s="92"/>
      <c r="C25" s="93"/>
      <c r="D25" s="85"/>
      <c r="E25" s="86"/>
    </row>
    <row r="26" spans="1:5" x14ac:dyDescent="0.25">
      <c r="A26" s="65">
        <v>4</v>
      </c>
      <c r="B26" s="92"/>
      <c r="C26" s="93"/>
      <c r="D26" s="85"/>
      <c r="E26" s="86"/>
    </row>
    <row r="27" spans="1:5" x14ac:dyDescent="0.25">
      <c r="A27" s="64">
        <v>5</v>
      </c>
      <c r="B27" s="92"/>
      <c r="C27" s="93"/>
      <c r="D27" s="85"/>
      <c r="E27" s="86"/>
    </row>
    <row r="28" spans="1:5" x14ac:dyDescent="0.25">
      <c r="A28" s="65">
        <v>6</v>
      </c>
      <c r="B28" s="92"/>
      <c r="C28" s="93"/>
      <c r="D28" s="85"/>
      <c r="E28" s="86"/>
    </row>
    <row r="29" spans="1:5" x14ac:dyDescent="0.25">
      <c r="A29" s="64">
        <v>7</v>
      </c>
      <c r="B29" s="92"/>
      <c r="C29" s="93"/>
      <c r="D29" s="85"/>
      <c r="E29" s="86"/>
    </row>
    <row r="30" spans="1:5" x14ac:dyDescent="0.25">
      <c r="A30" s="65">
        <v>8</v>
      </c>
      <c r="B30" s="92"/>
      <c r="C30" s="93"/>
      <c r="D30" s="85"/>
      <c r="E30" s="86"/>
    </row>
    <row r="31" spans="1:5" x14ac:dyDescent="0.25">
      <c r="A31" s="64">
        <v>9</v>
      </c>
      <c r="B31" s="92"/>
      <c r="C31" s="93"/>
      <c r="D31" s="85"/>
      <c r="E31" s="86"/>
    </row>
    <row r="32" spans="1:5" x14ac:dyDescent="0.25">
      <c r="A32" s="65">
        <v>10</v>
      </c>
      <c r="B32" s="92"/>
      <c r="C32" s="93"/>
      <c r="D32" s="85"/>
      <c r="E32" s="86"/>
    </row>
    <row r="33" spans="1:15" x14ac:dyDescent="0.25">
      <c r="A33" s="64">
        <v>11</v>
      </c>
      <c r="B33" s="92"/>
      <c r="C33" s="93"/>
      <c r="D33" s="85"/>
      <c r="E33" s="86"/>
    </row>
    <row r="34" spans="1:15" x14ac:dyDescent="0.25">
      <c r="A34" s="65">
        <v>12</v>
      </c>
      <c r="B34" s="92"/>
      <c r="C34" s="93"/>
      <c r="D34" s="85"/>
      <c r="E34" s="86"/>
    </row>
    <row r="38" spans="1:15" ht="26.25" x14ac:dyDescent="0.25">
      <c r="B38" s="95" t="s">
        <v>163</v>
      </c>
      <c r="C38" s="95"/>
      <c r="L38" s="95" t="s">
        <v>164</v>
      </c>
      <c r="M38" s="95"/>
    </row>
    <row r="40" spans="1:15" x14ac:dyDescent="0.25">
      <c r="A40" s="96" t="s">
        <v>157</v>
      </c>
      <c r="B40" s="96"/>
      <c r="C40" s="99"/>
      <c r="D40" s="99"/>
      <c r="E40" s="99"/>
      <c r="F40" s="100"/>
      <c r="K40" s="96" t="s">
        <v>165</v>
      </c>
      <c r="L40" s="96"/>
      <c r="M40" s="96"/>
      <c r="N40" s="96"/>
      <c r="O40" s="96"/>
    </row>
    <row r="41" spans="1:15" ht="30" x14ac:dyDescent="0.25">
      <c r="A41" s="96"/>
      <c r="B41" s="96"/>
      <c r="C41" s="7" t="s">
        <v>66</v>
      </c>
      <c r="D41" s="59" t="s">
        <v>180</v>
      </c>
      <c r="E41" s="59" t="s">
        <v>158</v>
      </c>
      <c r="F41" s="59" t="s">
        <v>181</v>
      </c>
      <c r="K41" s="105"/>
      <c r="L41" s="105"/>
      <c r="M41" s="7" t="s">
        <v>166</v>
      </c>
      <c r="N41" s="7" t="s">
        <v>159</v>
      </c>
      <c r="O41" s="7" t="s">
        <v>167</v>
      </c>
    </row>
    <row r="42" spans="1:15" x14ac:dyDescent="0.25">
      <c r="A42" s="97" t="str">
        <f>"Sonde " &amp; B23</f>
        <v xml:space="preserve">Sonde </v>
      </c>
      <c r="B42" s="98"/>
      <c r="C42" s="79"/>
      <c r="D42" s="79"/>
      <c r="E42" s="79"/>
      <c r="F42" s="79"/>
      <c r="K42" s="106" t="s">
        <v>60</v>
      </c>
      <c r="L42" s="107"/>
      <c r="M42" s="79"/>
      <c r="N42" s="79"/>
      <c r="O42" s="79"/>
    </row>
    <row r="43" spans="1:15" x14ac:dyDescent="0.25">
      <c r="A43" s="97" t="str">
        <f t="shared" ref="A43:A53" si="0">"Sonde " &amp; B24</f>
        <v xml:space="preserve">Sonde </v>
      </c>
      <c r="B43" s="98"/>
      <c r="C43" s="79"/>
      <c r="D43" s="79"/>
      <c r="E43" s="79"/>
      <c r="F43" s="79"/>
    </row>
    <row r="44" spans="1:15" x14ac:dyDescent="0.25">
      <c r="A44" s="97" t="str">
        <f t="shared" si="0"/>
        <v xml:space="preserve">Sonde </v>
      </c>
      <c r="B44" s="98"/>
      <c r="C44" s="79"/>
      <c r="D44" s="79"/>
      <c r="E44" s="79"/>
      <c r="F44" s="79"/>
    </row>
    <row r="45" spans="1:15" x14ac:dyDescent="0.25">
      <c r="A45" s="97" t="str">
        <f t="shared" si="0"/>
        <v xml:space="preserve">Sonde </v>
      </c>
      <c r="B45" s="98"/>
      <c r="C45" s="79"/>
      <c r="D45" s="79"/>
      <c r="E45" s="79"/>
      <c r="F45" s="79"/>
    </row>
    <row r="46" spans="1:15" x14ac:dyDescent="0.25">
      <c r="A46" s="97" t="str">
        <f t="shared" si="0"/>
        <v xml:space="preserve">Sonde </v>
      </c>
      <c r="B46" s="98"/>
      <c r="C46" s="79"/>
      <c r="D46" s="79"/>
      <c r="E46" s="79"/>
      <c r="F46" s="79"/>
    </row>
    <row r="47" spans="1:15" x14ac:dyDescent="0.25">
      <c r="A47" s="97" t="str">
        <f t="shared" si="0"/>
        <v xml:space="preserve">Sonde </v>
      </c>
      <c r="B47" s="98"/>
      <c r="C47" s="79"/>
      <c r="D47" s="79"/>
      <c r="E47" s="79"/>
      <c r="F47" s="79"/>
    </row>
    <row r="48" spans="1:15" x14ac:dyDescent="0.25">
      <c r="A48" s="97" t="str">
        <f t="shared" si="0"/>
        <v xml:space="preserve">Sonde </v>
      </c>
      <c r="B48" s="98"/>
      <c r="C48" s="79"/>
      <c r="D48" s="79"/>
      <c r="E48" s="79"/>
      <c r="F48" s="79"/>
    </row>
    <row r="49" spans="1:6" x14ac:dyDescent="0.25">
      <c r="A49" s="97" t="str">
        <f t="shared" si="0"/>
        <v xml:space="preserve">Sonde </v>
      </c>
      <c r="B49" s="98"/>
      <c r="C49" s="79"/>
      <c r="D49" s="79"/>
      <c r="E49" s="79"/>
      <c r="F49" s="79"/>
    </row>
    <row r="50" spans="1:6" x14ac:dyDescent="0.25">
      <c r="A50" s="97" t="str">
        <f t="shared" si="0"/>
        <v xml:space="preserve">Sonde </v>
      </c>
      <c r="B50" s="98"/>
      <c r="C50" s="79"/>
      <c r="D50" s="79"/>
      <c r="E50" s="79"/>
      <c r="F50" s="79"/>
    </row>
    <row r="51" spans="1:6" x14ac:dyDescent="0.25">
      <c r="A51" s="97" t="str">
        <f t="shared" si="0"/>
        <v xml:space="preserve">Sonde </v>
      </c>
      <c r="B51" s="98"/>
      <c r="C51" s="79"/>
      <c r="D51" s="79"/>
      <c r="E51" s="79"/>
      <c r="F51" s="79"/>
    </row>
    <row r="52" spans="1:6" x14ac:dyDescent="0.25">
      <c r="A52" s="97" t="str">
        <f t="shared" si="0"/>
        <v xml:space="preserve">Sonde </v>
      </c>
      <c r="B52" s="98"/>
      <c r="C52" s="79"/>
      <c r="D52" s="79"/>
      <c r="E52" s="79"/>
      <c r="F52" s="79"/>
    </row>
    <row r="53" spans="1:6" x14ac:dyDescent="0.25">
      <c r="A53" s="97" t="str">
        <f t="shared" si="0"/>
        <v xml:space="preserve">Sonde </v>
      </c>
      <c r="B53" s="98"/>
      <c r="C53" s="79"/>
      <c r="D53" s="79"/>
      <c r="E53" s="79"/>
      <c r="F53" s="79"/>
    </row>
  </sheetData>
  <sheetProtection autoFilter="0"/>
  <protectedRanges>
    <protectedRange sqref="C10" name="Donnees controleur"/>
  </protectedRanges>
  <dataConsolidate/>
  <mergeCells count="33">
    <mergeCell ref="A50:B50"/>
    <mergeCell ref="A52:B52"/>
    <mergeCell ref="A53:B53"/>
    <mergeCell ref="L38:M38"/>
    <mergeCell ref="K40:O40"/>
    <mergeCell ref="K41:L41"/>
    <mergeCell ref="A51:B51"/>
    <mergeCell ref="K42:L42"/>
    <mergeCell ref="A41:B41"/>
    <mergeCell ref="A42:B42"/>
    <mergeCell ref="A43:B43"/>
    <mergeCell ref="A44:B44"/>
    <mergeCell ref="A45:B45"/>
    <mergeCell ref="A46:B46"/>
    <mergeCell ref="A47:B47"/>
    <mergeCell ref="A48:B48"/>
    <mergeCell ref="B2:K3"/>
    <mergeCell ref="A5:C5"/>
    <mergeCell ref="D5:E5"/>
    <mergeCell ref="A7:B7"/>
    <mergeCell ref="A8:B8"/>
    <mergeCell ref="E7:F7"/>
    <mergeCell ref="E8:F8"/>
    <mergeCell ref="B38:C38"/>
    <mergeCell ref="E11:F11"/>
    <mergeCell ref="E12:F12"/>
    <mergeCell ref="A49:B49"/>
    <mergeCell ref="A10:B10"/>
    <mergeCell ref="A15:B15"/>
    <mergeCell ref="A14:B14"/>
    <mergeCell ref="E10:F10"/>
    <mergeCell ref="A11:B11"/>
    <mergeCell ref="A40:F40"/>
  </mergeCells>
  <phoneticPr fontId="1" type="noConversion"/>
  <dataValidations count="3">
    <dataValidation type="list" allowBlank="1" showInputMessage="1" showErrorMessage="1" sqref="C10" xr:uid="{885B3628-60A9-4AED-98C9-B6681BD9B636}">
      <formula1>"BCH , LV"</formula1>
    </dataValidation>
    <dataValidation type="list" showInputMessage="1" showErrorMessage="1" sqref="D16:D17" xr:uid="{22E7096F-B844-4435-B177-9CE13CA1B223}">
      <formula1>$C$15:$C$17</formula1>
    </dataValidation>
    <dataValidation type="list" showErrorMessage="1" promptTitle="Périodicité" prompt="Veuillez choisir" sqref="C15" xr:uid="{4E063C9F-BE57-4AE9-AF86-AE8CD52AB6D8}">
      <formula1>$O$7:$O$9</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alisation_TUS">
                <anchor moveWithCells="1" sizeWithCells="1">
                  <from>
                    <xdr:col>8</xdr:col>
                    <xdr:colOff>333375</xdr:colOff>
                    <xdr:row>5</xdr:row>
                    <xdr:rowOff>57150</xdr:rowOff>
                  </from>
                  <to>
                    <xdr:col>12</xdr:col>
                    <xdr:colOff>409575</xdr:colOff>
                    <xdr:row>10</xdr:row>
                    <xdr:rowOff>57150</xdr:rowOff>
                  </to>
                </anchor>
              </controlPr>
            </control>
          </mc:Choice>
        </mc:AlternateContent>
        <mc:AlternateContent xmlns:mc="http://schemas.openxmlformats.org/markup-compatibility/2006">
          <mc:Choice Requires="x14">
            <control shapeId="1027" r:id="rId5" name="Button 3">
              <controlPr defaultSize="0" print="0" autoFill="0" autoPict="0" macro="[0]!Clear_Content">
                <anchor moveWithCells="1" sizeWithCells="1">
                  <from>
                    <xdr:col>12</xdr:col>
                    <xdr:colOff>1209675</xdr:colOff>
                    <xdr:row>5</xdr:row>
                    <xdr:rowOff>180975</xdr:rowOff>
                  </from>
                  <to>
                    <xdr:col>14</xdr:col>
                    <xdr:colOff>19050</xdr:colOff>
                    <xdr:row>9</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75D3A-D9CE-45F4-93BB-CACDF88D216C}">
  <sheetPr codeName="Feuil3"/>
  <dimension ref="A1:N20"/>
  <sheetViews>
    <sheetView workbookViewId="0">
      <selection activeCell="E22" sqref="E22"/>
    </sheetView>
  </sheetViews>
  <sheetFormatPr baseColWidth="10" defaultRowHeight="15" x14ac:dyDescent="0.25"/>
  <cols>
    <col min="1" max="1" width="13.140625" customWidth="1"/>
    <col min="2" max="2" width="6.7109375" bestFit="1" customWidth="1"/>
    <col min="3" max="3" width="8.140625" bestFit="1" customWidth="1"/>
    <col min="4" max="4" width="9.42578125" bestFit="1" customWidth="1"/>
    <col min="5" max="5" width="11.28515625" bestFit="1" customWidth="1"/>
    <col min="6" max="6" width="6.7109375" bestFit="1" customWidth="1"/>
    <col min="7" max="7" width="8.5703125" bestFit="1" customWidth="1"/>
    <col min="8" max="8" width="9.85546875" bestFit="1" customWidth="1"/>
    <col min="9" max="9" width="10.28515625" bestFit="1" customWidth="1"/>
    <col min="10" max="10" width="11.28515625" bestFit="1" customWidth="1"/>
    <col min="11" max="11" width="14" bestFit="1" customWidth="1"/>
  </cols>
  <sheetData>
    <row r="1" spans="1:12" x14ac:dyDescent="0.25">
      <c r="A1" t="s">
        <v>10</v>
      </c>
      <c r="B1" t="s">
        <v>11</v>
      </c>
      <c r="C1" t="s">
        <v>12</v>
      </c>
      <c r="E1" t="s">
        <v>13</v>
      </c>
      <c r="F1">
        <v>8480381</v>
      </c>
      <c r="H1" t="s">
        <v>14</v>
      </c>
      <c r="I1" t="s">
        <v>15</v>
      </c>
    </row>
    <row r="2" spans="1:12" x14ac:dyDescent="0.25">
      <c r="B2" t="s">
        <v>16</v>
      </c>
      <c r="C2" t="s">
        <v>17</v>
      </c>
      <c r="E2" t="s">
        <v>18</v>
      </c>
      <c r="F2" t="s">
        <v>19</v>
      </c>
      <c r="H2" t="s">
        <v>20</v>
      </c>
      <c r="I2" t="s">
        <v>21</v>
      </c>
      <c r="K2" t="s">
        <v>22</v>
      </c>
      <c r="L2" t="s">
        <v>23</v>
      </c>
    </row>
    <row r="3" spans="1:12" x14ac:dyDescent="0.25">
      <c r="A3" t="s">
        <v>24</v>
      </c>
      <c r="B3" t="s">
        <v>25</v>
      </c>
    </row>
    <row r="4" spans="1:12" x14ac:dyDescent="0.25">
      <c r="A4" t="s">
        <v>26</v>
      </c>
      <c r="B4" t="s">
        <v>27</v>
      </c>
      <c r="C4">
        <v>20</v>
      </c>
      <c r="D4" t="s">
        <v>28</v>
      </c>
      <c r="E4">
        <v>550</v>
      </c>
      <c r="F4" t="s">
        <v>29</v>
      </c>
      <c r="G4" t="s">
        <v>30</v>
      </c>
    </row>
    <row r="5" spans="1:12" x14ac:dyDescent="0.25">
      <c r="A5" t="s">
        <v>31</v>
      </c>
      <c r="B5" t="s">
        <v>27</v>
      </c>
      <c r="C5">
        <v>20</v>
      </c>
      <c r="D5" t="s">
        <v>28</v>
      </c>
      <c r="E5">
        <v>550</v>
      </c>
      <c r="F5" t="s">
        <v>29</v>
      </c>
      <c r="G5" t="s">
        <v>30</v>
      </c>
    </row>
    <row r="6" spans="1:12" x14ac:dyDescent="0.25">
      <c r="A6" t="s">
        <v>32</v>
      </c>
      <c r="B6" t="s">
        <v>27</v>
      </c>
      <c r="C6">
        <v>20</v>
      </c>
      <c r="D6" t="s">
        <v>28</v>
      </c>
      <c r="E6">
        <v>550</v>
      </c>
      <c r="F6" t="s">
        <v>29</v>
      </c>
      <c r="G6" t="s">
        <v>30</v>
      </c>
    </row>
    <row r="7" spans="1:12" x14ac:dyDescent="0.25">
      <c r="A7" t="s">
        <v>33</v>
      </c>
      <c r="B7" t="s">
        <v>27</v>
      </c>
      <c r="C7">
        <v>20</v>
      </c>
      <c r="D7" t="s">
        <v>28</v>
      </c>
      <c r="E7">
        <v>550</v>
      </c>
      <c r="F7" t="s">
        <v>29</v>
      </c>
      <c r="G7" t="s">
        <v>30</v>
      </c>
    </row>
    <row r="8" spans="1:12" x14ac:dyDescent="0.25">
      <c r="A8" t="s">
        <v>34</v>
      </c>
      <c r="B8" t="s">
        <v>27</v>
      </c>
      <c r="C8">
        <v>20</v>
      </c>
      <c r="D8" t="s">
        <v>28</v>
      </c>
      <c r="E8">
        <v>550</v>
      </c>
      <c r="F8" t="s">
        <v>29</v>
      </c>
      <c r="G8" t="s">
        <v>30</v>
      </c>
    </row>
    <row r="9" spans="1:12" x14ac:dyDescent="0.25">
      <c r="A9" t="s">
        <v>35</v>
      </c>
      <c r="B9" t="s">
        <v>27</v>
      </c>
      <c r="C9">
        <v>20</v>
      </c>
      <c r="D9" t="s">
        <v>28</v>
      </c>
      <c r="E9">
        <v>550</v>
      </c>
      <c r="F9" t="s">
        <v>29</v>
      </c>
      <c r="G9" t="s">
        <v>30</v>
      </c>
    </row>
    <row r="10" spans="1:12" x14ac:dyDescent="0.25">
      <c r="A10" t="s">
        <v>36</v>
      </c>
      <c r="B10" t="s">
        <v>27</v>
      </c>
      <c r="C10">
        <v>20</v>
      </c>
      <c r="D10" t="s">
        <v>28</v>
      </c>
      <c r="E10">
        <v>550</v>
      </c>
      <c r="F10" t="s">
        <v>29</v>
      </c>
      <c r="G10" t="s">
        <v>30</v>
      </c>
    </row>
    <row r="11" spans="1:12" x14ac:dyDescent="0.25">
      <c r="A11" t="s">
        <v>37</v>
      </c>
      <c r="B11" t="s">
        <v>27</v>
      </c>
      <c r="C11">
        <v>20</v>
      </c>
      <c r="D11" t="s">
        <v>28</v>
      </c>
      <c r="E11">
        <v>550</v>
      </c>
      <c r="F11" t="s">
        <v>29</v>
      </c>
      <c r="G11" t="s">
        <v>30</v>
      </c>
    </row>
    <row r="12" spans="1:12" x14ac:dyDescent="0.25">
      <c r="A12" t="s">
        <v>38</v>
      </c>
      <c r="B12" t="s">
        <v>27</v>
      </c>
      <c r="C12">
        <v>20</v>
      </c>
      <c r="D12" t="s">
        <v>28</v>
      </c>
      <c r="E12">
        <v>550</v>
      </c>
      <c r="F12" t="s">
        <v>29</v>
      </c>
      <c r="G12" t="s">
        <v>30</v>
      </c>
    </row>
    <row r="13" spans="1:12" x14ac:dyDescent="0.25">
      <c r="A13" t="s">
        <v>39</v>
      </c>
      <c r="B13" t="s">
        <v>27</v>
      </c>
      <c r="C13">
        <v>0</v>
      </c>
      <c r="D13" t="s">
        <v>28</v>
      </c>
      <c r="E13">
        <v>550</v>
      </c>
      <c r="F13" t="s">
        <v>29</v>
      </c>
      <c r="G13" t="s">
        <v>30</v>
      </c>
    </row>
    <row r="14" spans="1:12" x14ac:dyDescent="0.25">
      <c r="A14" t="s">
        <v>7</v>
      </c>
      <c r="B14" t="s">
        <v>27</v>
      </c>
      <c r="C14">
        <v>-30</v>
      </c>
      <c r="D14" t="s">
        <v>28</v>
      </c>
      <c r="E14">
        <v>535</v>
      </c>
      <c r="F14" t="s">
        <v>29</v>
      </c>
      <c r="G14" t="s">
        <v>30</v>
      </c>
    </row>
    <row r="15" spans="1:12" x14ac:dyDescent="0.25">
      <c r="A15" t="s">
        <v>8</v>
      </c>
      <c r="B15" t="s">
        <v>27</v>
      </c>
      <c r="C15">
        <v>-30</v>
      </c>
      <c r="D15" t="s">
        <v>28</v>
      </c>
      <c r="E15">
        <v>535</v>
      </c>
      <c r="F15" t="s">
        <v>29</v>
      </c>
      <c r="G15" t="s">
        <v>30</v>
      </c>
    </row>
    <row r="16" spans="1:12" x14ac:dyDescent="0.25">
      <c r="A16" t="s">
        <v>40</v>
      </c>
      <c r="B16" t="s">
        <v>27</v>
      </c>
      <c r="C16">
        <v>-30</v>
      </c>
      <c r="D16" t="s">
        <v>28</v>
      </c>
      <c r="E16">
        <v>535</v>
      </c>
      <c r="F16" t="s">
        <v>29</v>
      </c>
      <c r="G16" t="s">
        <v>30</v>
      </c>
    </row>
    <row r="17" spans="1:14" x14ac:dyDescent="0.25">
      <c r="A17" t="s">
        <v>41</v>
      </c>
      <c r="B17" t="s">
        <v>27</v>
      </c>
      <c r="C17">
        <v>-35</v>
      </c>
      <c r="D17" t="s">
        <v>28</v>
      </c>
      <c r="E17">
        <v>550</v>
      </c>
      <c r="F17" t="s">
        <v>29</v>
      </c>
      <c r="G17" t="s">
        <v>30</v>
      </c>
    </row>
    <row r="18" spans="1:14" x14ac:dyDescent="0.25">
      <c r="A18" t="s">
        <v>42</v>
      </c>
      <c r="B18" t="s">
        <v>27</v>
      </c>
      <c r="C18">
        <v>-35</v>
      </c>
      <c r="D18" t="s">
        <v>28</v>
      </c>
      <c r="E18">
        <v>550</v>
      </c>
      <c r="F18" t="s">
        <v>29</v>
      </c>
      <c r="G18" t="s">
        <v>30</v>
      </c>
    </row>
    <row r="19" spans="1:14" x14ac:dyDescent="0.25">
      <c r="A19" t="s">
        <v>0</v>
      </c>
      <c r="C19" t="s">
        <v>26</v>
      </c>
      <c r="D19" t="s">
        <v>31</v>
      </c>
      <c r="E19" t="s">
        <v>32</v>
      </c>
      <c r="F19" t="s">
        <v>33</v>
      </c>
      <c r="G19" t="s">
        <v>34</v>
      </c>
      <c r="H19" t="s">
        <v>35</v>
      </c>
      <c r="I19" t="s">
        <v>36</v>
      </c>
      <c r="J19" t="s">
        <v>37</v>
      </c>
      <c r="K19" t="s">
        <v>38</v>
      </c>
      <c r="L19" t="s">
        <v>39</v>
      </c>
      <c r="M19" t="s">
        <v>8</v>
      </c>
      <c r="N19" t="s">
        <v>40</v>
      </c>
    </row>
    <row r="20" spans="1:14" x14ac:dyDescent="0.25">
      <c r="C20" t="s">
        <v>30</v>
      </c>
      <c r="D20" t="s">
        <v>30</v>
      </c>
      <c r="E20" t="s">
        <v>30</v>
      </c>
      <c r="F20" t="s">
        <v>30</v>
      </c>
      <c r="G20" t="s">
        <v>30</v>
      </c>
      <c r="H20" t="s">
        <v>30</v>
      </c>
      <c r="I20" t="s">
        <v>30</v>
      </c>
      <c r="J20" t="s">
        <v>30</v>
      </c>
      <c r="K20" t="s">
        <v>30</v>
      </c>
      <c r="L20" t="s">
        <v>30</v>
      </c>
      <c r="M20" t="s">
        <v>30</v>
      </c>
      <c r="N20" t="s">
        <v>30</v>
      </c>
    </row>
  </sheetData>
  <sheetProtection algorithmName="SHA-512" hashValue="bEpbHHD5wFlo3bywX3ISKoikaA3H3U/2nbI+lrA68OXU2hi8yEdauGRvieg0sy5oTyIV35BxLcN801UsJuTqyg==" saltValue="mgqD1UkAQ//0MuzdHN2Ulg==" spinCount="100000" sheet="1" objects="1" scenarios="1"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2CB60-E118-4CE3-9EA4-3D2CC37D2B55}">
  <sheetPr codeName="Feuil2"/>
  <dimension ref="A1:M1"/>
  <sheetViews>
    <sheetView workbookViewId="0">
      <selection activeCell="E2" sqref="E2"/>
    </sheetView>
  </sheetViews>
  <sheetFormatPr baseColWidth="10" defaultRowHeight="15" x14ac:dyDescent="0.25"/>
  <cols>
    <col min="1" max="1" width="15.7109375" bestFit="1" customWidth="1"/>
    <col min="2" max="5" width="15" bestFit="1" customWidth="1"/>
    <col min="6" max="10" width="15.42578125" bestFit="1" customWidth="1"/>
    <col min="11" max="11" width="16.42578125" bestFit="1" customWidth="1"/>
    <col min="12" max="12" width="16" bestFit="1" customWidth="1"/>
    <col min="13" max="13" width="16.140625" customWidth="1"/>
    <col min="15" max="15" width="23.42578125" bestFit="1" customWidth="1"/>
  </cols>
  <sheetData>
    <row r="1" spans="1:13" x14ac:dyDescent="0.25">
      <c r="A1" s="1" t="s">
        <v>0</v>
      </c>
      <c r="B1" t="s">
        <v>54</v>
      </c>
      <c r="C1" t="s">
        <v>55</v>
      </c>
      <c r="D1" t="s">
        <v>56</v>
      </c>
      <c r="E1" t="s">
        <v>57</v>
      </c>
      <c r="F1" t="s">
        <v>129</v>
      </c>
      <c r="G1" t="s">
        <v>130</v>
      </c>
      <c r="H1" t="s">
        <v>131</v>
      </c>
      <c r="I1" t="s">
        <v>132</v>
      </c>
      <c r="J1" t="s">
        <v>133</v>
      </c>
      <c r="K1" t="s">
        <v>134</v>
      </c>
      <c r="L1" t="s">
        <v>58</v>
      </c>
      <c r="M1" t="s">
        <v>59</v>
      </c>
    </row>
  </sheetData>
  <sheetProtection algorithmName="SHA-512" hashValue="zMn5Hhp8x70C4OE9SCJ+a5a7WeY8LEWfmIdELqInojPaVwHv1W3H9+HJLVzbgy9z+ovTpFqlaIsY+/Cxa/kd/g==" saltValue="YcV0+3UNykqRvHOxhgSRuQ==" spinCount="100000" sheet="1" objects="1" scenarios="1"/>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E971A-A4D9-4389-8750-3C25DED1C047}">
  <sheetPr codeName="Feuil4"/>
  <dimension ref="A1:S23"/>
  <sheetViews>
    <sheetView zoomScale="70" zoomScaleNormal="70" workbookViewId="0">
      <selection activeCell="A11" sqref="A11"/>
    </sheetView>
  </sheetViews>
  <sheetFormatPr baseColWidth="10" defaultRowHeight="15" x14ac:dyDescent="0.25"/>
  <cols>
    <col min="1" max="1" width="17.140625" style="4" bestFit="1" customWidth="1"/>
    <col min="2" max="3" width="18.7109375" style="4" bestFit="1" customWidth="1"/>
    <col min="4" max="4" width="14.85546875" style="4" bestFit="1" customWidth="1"/>
    <col min="5" max="5" width="17.140625" style="4" bestFit="1" customWidth="1"/>
    <col min="6" max="6" width="14.85546875" style="4" bestFit="1" customWidth="1"/>
    <col min="7" max="12" width="15.85546875" style="4" bestFit="1" customWidth="1"/>
    <col min="13" max="13" width="15" style="4" customWidth="1"/>
    <col min="14" max="14" width="15" style="4" bestFit="1" customWidth="1"/>
    <col min="15" max="15" width="11.42578125" style="4"/>
    <col min="16" max="16" width="23.42578125" style="5" bestFit="1" customWidth="1"/>
    <col min="17" max="17" width="17.140625" style="4" bestFit="1" customWidth="1"/>
    <col min="18" max="18" width="5.85546875" style="4" bestFit="1" customWidth="1"/>
    <col min="19" max="16384" width="11.42578125" style="4"/>
  </cols>
  <sheetData>
    <row r="1" spans="1:19" x14ac:dyDescent="0.25">
      <c r="A1" s="108" t="str">
        <f>"-30°C"</f>
        <v>-30°C</v>
      </c>
      <c r="B1" s="108"/>
      <c r="C1" s="108"/>
      <c r="D1" s="108"/>
      <c r="E1" s="108"/>
      <c r="F1" s="108"/>
      <c r="G1" s="108"/>
      <c r="H1" s="108"/>
      <c r="I1" s="108"/>
      <c r="J1" s="108"/>
      <c r="K1" s="108"/>
      <c r="L1" s="108"/>
      <c r="M1" s="108"/>
      <c r="N1" s="108"/>
      <c r="O1" s="108"/>
      <c r="P1" s="108"/>
      <c r="Q1" s="108"/>
      <c r="R1" s="108"/>
      <c r="S1" s="108"/>
    </row>
    <row r="2" spans="1:19" x14ac:dyDescent="0.25">
      <c r="A2" s="108"/>
      <c r="B2" s="108"/>
      <c r="C2" s="108"/>
      <c r="D2" s="108"/>
      <c r="E2" s="108"/>
      <c r="F2" s="108"/>
      <c r="G2" s="108"/>
      <c r="H2" s="108"/>
      <c r="I2" s="108"/>
      <c r="J2" s="108"/>
      <c r="K2" s="108"/>
      <c r="L2" s="108"/>
      <c r="M2" s="108"/>
      <c r="N2" s="108"/>
      <c r="O2" s="108"/>
      <c r="P2" s="108"/>
      <c r="Q2" s="108"/>
      <c r="R2" s="108"/>
      <c r="S2" s="108"/>
    </row>
    <row r="3" spans="1:19" x14ac:dyDescent="0.25">
      <c r="A3" s="108"/>
      <c r="B3" s="108"/>
      <c r="C3" s="108"/>
      <c r="D3" s="108"/>
      <c r="E3" s="108"/>
      <c r="F3" s="108"/>
      <c r="G3" s="108"/>
      <c r="H3" s="108"/>
      <c r="I3" s="108"/>
      <c r="J3" s="108"/>
      <c r="K3" s="108"/>
      <c r="L3" s="108"/>
      <c r="M3" s="108"/>
      <c r="N3" s="108"/>
      <c r="O3" s="108"/>
      <c r="P3" s="108"/>
      <c r="Q3" s="108"/>
      <c r="R3" s="108"/>
      <c r="S3" s="108"/>
    </row>
    <row r="5" spans="1:19" x14ac:dyDescent="0.25">
      <c r="A5" s="33" t="s">
        <v>5</v>
      </c>
      <c r="B5" s="6">
        <f>Mesures!E23</f>
        <v>0</v>
      </c>
      <c r="C5" s="6">
        <f>Mesures!E24</f>
        <v>0</v>
      </c>
      <c r="D5" s="6">
        <f>Mesures!E25</f>
        <v>0</v>
      </c>
      <c r="E5" s="6">
        <f>Mesures!E26</f>
        <v>0</v>
      </c>
      <c r="F5" s="6">
        <f>Mesures!E27</f>
        <v>0</v>
      </c>
      <c r="G5" s="6">
        <f>Mesures!E28</f>
        <v>0</v>
      </c>
      <c r="H5" s="6">
        <f>Mesures!E29</f>
        <v>0</v>
      </c>
      <c r="I5" s="6">
        <f>Mesures!E30</f>
        <v>0</v>
      </c>
      <c r="J5" s="6">
        <f>Mesures!E31</f>
        <v>0</v>
      </c>
      <c r="K5" s="6">
        <f>Mesures!E32</f>
        <v>0</v>
      </c>
      <c r="L5" s="6">
        <f>Mesures!D33</f>
        <v>0</v>
      </c>
      <c r="M5" s="6">
        <f>Mesures!E34</f>
        <v>0</v>
      </c>
    </row>
    <row r="6" spans="1:19" x14ac:dyDescent="0.25">
      <c r="A6" s="33" t="s">
        <v>50</v>
      </c>
      <c r="B6" s="6">
        <f>Mesures!D23</f>
        <v>0</v>
      </c>
      <c r="C6" s="6">
        <f>Mesures!D24</f>
        <v>0</v>
      </c>
      <c r="D6" s="6">
        <f>Mesures!D25</f>
        <v>0</v>
      </c>
      <c r="E6" s="6">
        <f>Mesures!D26</f>
        <v>0</v>
      </c>
      <c r="F6" s="6">
        <f>Mesures!D27</f>
        <v>0</v>
      </c>
      <c r="G6" s="6">
        <f>Mesures!D28</f>
        <v>0</v>
      </c>
      <c r="H6" s="6">
        <f>Mesures!D29</f>
        <v>0</v>
      </c>
      <c r="I6" s="6">
        <f>Mesures!D30</f>
        <v>0</v>
      </c>
      <c r="J6" s="6">
        <f>Mesures!D31</f>
        <v>0</v>
      </c>
      <c r="K6" s="6">
        <f>Mesures!D32</f>
        <v>0</v>
      </c>
      <c r="L6" s="6">
        <f>Mesures!D33</f>
        <v>0</v>
      </c>
      <c r="M6" s="6">
        <f>Mesures!D34</f>
        <v>0</v>
      </c>
    </row>
    <row r="9" spans="1:19" x14ac:dyDescent="0.25">
      <c r="A9" s="110" t="s">
        <v>53</v>
      </c>
      <c r="B9" s="110"/>
      <c r="C9" s="110"/>
      <c r="D9" s="110"/>
      <c r="E9" s="110"/>
      <c r="F9" s="110"/>
      <c r="G9" s="110"/>
      <c r="H9" s="110"/>
      <c r="I9" s="110"/>
      <c r="J9" s="110"/>
      <c r="K9" s="110"/>
      <c r="L9" s="110"/>
      <c r="M9" s="110"/>
      <c r="N9" s="110"/>
    </row>
    <row r="10" spans="1:19" x14ac:dyDescent="0.25">
      <c r="A10" s="5"/>
      <c r="B10" s="33" t="str">
        <f>Valeurs_Brutes[[#Headers],[Date/Heure]]</f>
        <v>Date/Heure</v>
      </c>
      <c r="C10" s="34" t="str" cm="1">
        <f t="array" ref="C10:N10">Valeurs_Brutes[[#Headers],[Connecteur 1]:[Connecteur 12]]</f>
        <v>Connecteur 1</v>
      </c>
      <c r="D10" s="34" t="str">
        <v>Connecteur 2</v>
      </c>
      <c r="E10" s="34" t="str">
        <v>Connecteur 3</v>
      </c>
      <c r="F10" s="34" t="str">
        <v>Connecteur 4</v>
      </c>
      <c r="G10" s="34" t="str">
        <v>Connecteur 5</v>
      </c>
      <c r="H10" s="34" t="str">
        <v>Connecteur 6</v>
      </c>
      <c r="I10" s="34" t="str">
        <v>Connecteur 7</v>
      </c>
      <c r="J10" s="34" t="str">
        <v>Connecteur 8</v>
      </c>
      <c r="K10" s="34" t="str">
        <v>Connecteur 9</v>
      </c>
      <c r="L10" s="34" t="str">
        <v>Connecteur 10</v>
      </c>
      <c r="M10" s="34" t="str">
        <v>Connecteur 11</v>
      </c>
      <c r="N10" s="34" t="str">
        <v>Connecteur 12</v>
      </c>
    </row>
    <row r="11" spans="1:19" ht="13.5" customHeight="1" x14ac:dyDescent="0.25">
      <c r="A11" s="87" t="s">
        <v>67</v>
      </c>
      <c r="B11" s="37" cm="1">
        <f t="array" ref="B11">Valeurs_Brutes[Date/Heure]</f>
        <v>0</v>
      </c>
      <c r="C11" s="38" cm="1">
        <f t="array" ref="C11:N11">Valeurs_Brutes[[Connecteur 1]:[Connecteur 12]] + B5:M5 +B6:M6</f>
        <v>0</v>
      </c>
      <c r="D11" s="38">
        <v>0</v>
      </c>
      <c r="E11" s="38">
        <v>0</v>
      </c>
      <c r="F11" s="38">
        <v>0</v>
      </c>
      <c r="G11" s="38">
        <v>0</v>
      </c>
      <c r="H11" s="38">
        <v>0</v>
      </c>
      <c r="I11" s="38">
        <v>0</v>
      </c>
      <c r="J11" s="38">
        <v>0</v>
      </c>
      <c r="K11" s="38">
        <v>0</v>
      </c>
      <c r="L11" s="38">
        <v>0</v>
      </c>
      <c r="M11" s="38">
        <v>0</v>
      </c>
      <c r="N11" s="38">
        <v>0</v>
      </c>
    </row>
    <row r="12" spans="1:19" ht="13.5" customHeight="1" x14ac:dyDescent="0.25">
      <c r="A12" s="39" t="s">
        <v>67</v>
      </c>
      <c r="B12" s="9"/>
      <c r="C12" s="10"/>
      <c r="D12" s="10"/>
      <c r="E12" s="10"/>
      <c r="F12" s="10"/>
      <c r="G12" s="10"/>
      <c r="H12" s="10"/>
      <c r="I12" s="10"/>
      <c r="J12" s="10"/>
      <c r="K12" s="10"/>
      <c r="L12" s="10"/>
      <c r="M12" s="10"/>
      <c r="N12" s="10"/>
    </row>
    <row r="14" spans="1:19" s="111" customFormat="1" x14ac:dyDescent="0.25"/>
    <row r="15" spans="1:19" x14ac:dyDescent="0.25">
      <c r="C15" s="36" t="str" cm="1">
        <f t="array" ref="C15:N15">Valeurs_Brutes[[#Headers],[Connecteur 1]:[Connecteur 12]]</f>
        <v>Connecteur 1</v>
      </c>
      <c r="D15" s="36" t="str">
        <v>Connecteur 2</v>
      </c>
      <c r="E15" s="36" t="str">
        <v>Connecteur 3</v>
      </c>
      <c r="F15" s="36" t="str">
        <v>Connecteur 4</v>
      </c>
      <c r="G15" s="36" t="str">
        <v>Connecteur 5</v>
      </c>
      <c r="H15" s="36" t="str">
        <v>Connecteur 6</v>
      </c>
      <c r="I15" s="36" t="str">
        <v>Connecteur 7</v>
      </c>
      <c r="J15" s="36" t="str">
        <v>Connecteur 8</v>
      </c>
      <c r="K15" s="36" t="str">
        <v>Connecteur 9</v>
      </c>
      <c r="L15" s="36" t="str">
        <v>Connecteur 10</v>
      </c>
      <c r="M15" s="36" t="str">
        <v>Connecteur 11</v>
      </c>
      <c r="N15" s="36" t="str">
        <v>Connecteur 12</v>
      </c>
    </row>
    <row r="16" spans="1:19" x14ac:dyDescent="0.25">
      <c r="B16" s="35" t="s">
        <v>43</v>
      </c>
      <c r="C16" s="44">
        <f>MAX(Valeurs_Brutes[Connecteur 1]) + '-30°C'!B5 + '-30°C'!B6</f>
        <v>0</v>
      </c>
      <c r="D16" s="44">
        <f>MAX(Valeurs_Brutes[Connecteur 2]) + '-30°C'!C5 + '-30°C'!C6</f>
        <v>0</v>
      </c>
      <c r="E16" s="44">
        <f>MAX(Valeurs_Brutes[Connecteur 3]) + '-30°C'!D5 + '-30°C'!D6</f>
        <v>0</v>
      </c>
      <c r="F16" s="44">
        <f>MAX(Valeurs_Brutes[Connecteur 4]) + '-30°C'!E5 + '-30°C'!E6</f>
        <v>0</v>
      </c>
      <c r="G16" s="44">
        <f>MAX(Valeurs_Brutes[Connecteur 5]) + '-30°C'!F5 + '-30°C'!F6</f>
        <v>0</v>
      </c>
      <c r="H16" s="44">
        <f>MAX(Valeurs_Brutes[Connecteur 6]) + '-30°C'!G5 + '-30°C'!G6</f>
        <v>0</v>
      </c>
      <c r="I16" s="44">
        <f>MAX(Valeurs_Brutes[Connecteur 7]) + '-30°C'!H5 + '-30°C'!H6</f>
        <v>0</v>
      </c>
      <c r="J16" s="44">
        <f>MAX(Valeurs_Brutes[Connecteur 8]) + '-30°C'!I5 + '-30°C'!I6</f>
        <v>0</v>
      </c>
      <c r="K16" s="44">
        <f>MAX(Valeurs_Brutes[Connecteur 9]) + '-30°C'!J5 + '-30°C'!J6</f>
        <v>0</v>
      </c>
      <c r="L16" s="44">
        <f>MAX(Valeurs_Brutes[Connecteur 10]) + '-30°C'!K5 + '-30°C'!K6</f>
        <v>0</v>
      </c>
      <c r="M16" s="44">
        <f>MAX(Valeurs_Brutes[Connecteur 11]) + '-30°C'!L5 + '-30°C'!L6</f>
        <v>0</v>
      </c>
      <c r="N16" s="44">
        <f>MAX(Valeurs_Brutes[Connecteur 12]) + '-30°C'!M5 + '-30°C'!M6</f>
        <v>0</v>
      </c>
      <c r="O16" s="6">
        <f>Mesures!B19+Mesures!B20</f>
        <v>0</v>
      </c>
      <c r="Q16" s="34" t="s">
        <v>6</v>
      </c>
      <c r="R16" s="6">
        <f>Mesures!B19</f>
        <v>0</v>
      </c>
    </row>
    <row r="17" spans="2:18" x14ac:dyDescent="0.25">
      <c r="B17" s="35" t="s">
        <v>44</v>
      </c>
      <c r="C17" s="44" t="e">
        <f ca="1">MAX(OFFSET(INDEX(Valeurs_Brutes[Connecteur 1],1),COUNT(Valeurs_Brutes[Connecteur 1])-30,0,30))+B5+B6</f>
        <v>#REF!</v>
      </c>
      <c r="D17" s="44" t="e">
        <f ca="1">MAX(OFFSET(INDEX(Valeurs_Brutes[Connecteur 2],1),COUNT(Valeurs_Brutes[Connecteur 2])-30,0,30))+C5+C6</f>
        <v>#REF!</v>
      </c>
      <c r="E17" s="44" t="e">
        <f ca="1">MAX(OFFSET(INDEX(Valeurs_Brutes[Connecteur 3],1),COUNT(Valeurs_Brutes[Connecteur 3])-30,0,30))+D5+D6</f>
        <v>#REF!</v>
      </c>
      <c r="F17" s="44" t="e">
        <f ca="1">MAX(OFFSET(INDEX(Valeurs_Brutes[Connecteur 4],1),COUNT(Valeurs_Brutes[Connecteur 4])-30,0,30))+E5+E6</f>
        <v>#REF!</v>
      </c>
      <c r="G17" s="44" t="e">
        <f ca="1">MAX(OFFSET(INDEX(Valeurs_Brutes[Connecteur 5],1),COUNT(Valeurs_Brutes[Connecteur 5])-30,0,30))+F5+F6</f>
        <v>#REF!</v>
      </c>
      <c r="H17" s="44" t="e">
        <f ca="1">MAX(OFFSET(INDEX(Valeurs_Brutes[Connecteur 6],1),COUNT(Valeurs_Brutes[Connecteur 6])-30,0,30))+G5+G6</f>
        <v>#REF!</v>
      </c>
      <c r="I17" s="44" t="e">
        <f ca="1">MAX(OFFSET(INDEX(Valeurs_Brutes[Connecteur 7],1),COUNT(Valeurs_Brutes[Connecteur 7])-30,0,30))+H5+H6</f>
        <v>#REF!</v>
      </c>
      <c r="J17" s="44" t="e">
        <f ca="1">MAX(OFFSET(INDEX(Valeurs_Brutes[Connecteur 8],1),COUNT(Valeurs_Brutes[Connecteur 8])-30,0,30))+I5+I6</f>
        <v>#REF!</v>
      </c>
      <c r="K17" s="44" t="e">
        <f ca="1">MAX(OFFSET(INDEX(Valeurs_Brutes[Connecteur 9],1),COUNT(Valeurs_Brutes[Connecteur 9])-30,0,30))+J5+J6</f>
        <v>#REF!</v>
      </c>
      <c r="L17" s="44" t="e">
        <f ca="1">MAX(OFFSET(INDEX(Valeurs_Brutes[Connecteur 10],1),COUNT(Valeurs_Brutes[Connecteur 10])-30,0,30))+K5+K6</f>
        <v>#REF!</v>
      </c>
      <c r="M17" s="44" t="e">
        <f ca="1">MAX(OFFSET(INDEX(Valeurs_Brutes[Connecteur 11],1),COUNT(Valeurs_Brutes[Connecteur 11])-30,0,30))+L5+L6</f>
        <v>#REF!</v>
      </c>
      <c r="N17" s="44" t="e">
        <f ca="1">MAX(OFFSET(INDEX(Valeurs_Brutes[Connecteur 12],1),COUNT(Valeurs_Brutes[Connecteur 12])-30,0,30))+M5+M6</f>
        <v>#REF!</v>
      </c>
      <c r="O17" s="6">
        <f>Mesures!B$19+Mesures!B$20</f>
        <v>0</v>
      </c>
      <c r="Q17" s="34" t="s">
        <v>51</v>
      </c>
      <c r="R17" s="6" t="str">
        <f>"+" &amp; Mesures!B20 &amp; "°C"</f>
        <v>+°C</v>
      </c>
    </row>
    <row r="18" spans="2:18" x14ac:dyDescent="0.25">
      <c r="B18" s="35" t="s">
        <v>45</v>
      </c>
      <c r="C18" s="44" t="e">
        <f ca="1">MIN(OFFSET(INDEX(Valeurs_Brutes[Connecteur 1],1),COUNT(Valeurs_Brutes[Connecteur 1])-30,0,30))+B5+B6</f>
        <v>#REF!</v>
      </c>
      <c r="D18" s="44" t="e">
        <f ca="1">MIN(OFFSET(INDEX(Valeurs_Brutes[Connecteur 2],1),COUNT(Valeurs_Brutes[Connecteur 2])-30,0,30))+C5+C6</f>
        <v>#REF!</v>
      </c>
      <c r="E18" s="44" t="e">
        <f ca="1">MIN(OFFSET(INDEX(Valeurs_Brutes[Connecteur 3],1),COUNT(Valeurs_Brutes[Connecteur 3])-30,0,30))+D5+D6</f>
        <v>#REF!</v>
      </c>
      <c r="F18" s="44" t="e">
        <f ca="1">MIN(OFFSET(INDEX(Valeurs_Brutes[Connecteur 4],1),COUNT(Valeurs_Brutes[Connecteur 4])-30,0,30))+E5+E6</f>
        <v>#REF!</v>
      </c>
      <c r="G18" s="44" t="e">
        <f ca="1">MIN(OFFSET(INDEX(Valeurs_Brutes[Connecteur 5],1),COUNT(Valeurs_Brutes[Connecteur 5])-30,0,30))+F5+F6</f>
        <v>#REF!</v>
      </c>
      <c r="H18" s="44" t="e">
        <f ca="1">MIN(OFFSET(INDEX(Valeurs_Brutes[Connecteur 6],1),COUNT(Valeurs_Brutes[Connecteur 6])-30,0,30))+G5+G6</f>
        <v>#REF!</v>
      </c>
      <c r="I18" s="44" t="e">
        <f ca="1">MIN(OFFSET(INDEX(Valeurs_Brutes[Connecteur 7],1),COUNT(Valeurs_Brutes[Connecteur 7])-30,0,30))+H5+H6</f>
        <v>#REF!</v>
      </c>
      <c r="J18" s="44" t="e">
        <f ca="1">MIN(OFFSET(INDEX(Valeurs_Brutes[Connecteur 8],1),COUNT(Valeurs_Brutes[Connecteur 8])-30,0,30))+I5+I6</f>
        <v>#REF!</v>
      </c>
      <c r="K18" s="44" t="e">
        <f ca="1">MIN(OFFSET(INDEX(Valeurs_Brutes[Connecteur 9],1),COUNT(Valeurs_Brutes[Connecteur 9])-30,0,30))+J5+J6</f>
        <v>#REF!</v>
      </c>
      <c r="L18" s="44" t="e">
        <f ca="1">MIN(OFFSET(INDEX(Valeurs_Brutes[Connecteur 10],1),COUNT(Valeurs_Brutes[Connecteur 10])-30,0,30))+K5+K6</f>
        <v>#REF!</v>
      </c>
      <c r="M18" s="44" t="e">
        <f ca="1">MIN(OFFSET(INDEX(Valeurs_Brutes[Connecteur 11],1),COUNT(Valeurs_Brutes[Connecteur 11])-30,0,30))+L5+L6</f>
        <v>#REF!</v>
      </c>
      <c r="N18" s="44" t="e">
        <f ca="1">MIN(OFFSET(INDEX(Valeurs_Brutes[Connecteur 12],1),COUNT(Valeurs_Brutes[Connecteur 12])-30,0,30))+M5+M6</f>
        <v>#REF!</v>
      </c>
      <c r="O18" s="6">
        <f>Mesures!B$19-Mesures!B$20</f>
        <v>0</v>
      </c>
      <c r="Q18" s="34" t="s">
        <v>52</v>
      </c>
      <c r="R18" s="6" t="str">
        <f>"-" &amp; Mesures!B20 &amp; "°C"</f>
        <v>-°C</v>
      </c>
    </row>
    <row r="19" spans="2:18" x14ac:dyDescent="0.25">
      <c r="B19" s="35" t="s">
        <v>46</v>
      </c>
      <c r="C19" s="44" t="e">
        <f ca="1">AVERAGE(OFFSET(INDEX(Valeurs_Brutes[Connecteur 1],1),COUNT(Valeurs_Brutes[Connecteur 1])-30,0,30))+B5+B6</f>
        <v>#REF!</v>
      </c>
      <c r="D19" s="44" t="e">
        <f ca="1">AVERAGE(OFFSET(INDEX(Valeurs_Brutes[Connecteur 2],1),COUNT(Valeurs_Brutes[Connecteur 2])-30,0,30))+C5+C6</f>
        <v>#REF!</v>
      </c>
      <c r="E19" s="44" t="e">
        <f ca="1">AVERAGE(OFFSET(INDEX(Valeurs_Brutes[Connecteur 3],1),COUNT(Valeurs_Brutes[Connecteur 3])-30,0,30))+D5+D6</f>
        <v>#REF!</v>
      </c>
      <c r="F19" s="44" t="e">
        <f ca="1">AVERAGE(OFFSET(INDEX(Valeurs_Brutes[Connecteur 4],1),COUNT(Valeurs_Brutes[Connecteur 4])-30,0,30))+E5+E6</f>
        <v>#REF!</v>
      </c>
      <c r="G19" s="44" t="e">
        <f ca="1">AVERAGE(OFFSET(INDEX(Valeurs_Brutes[Connecteur 5],1),COUNT(Valeurs_Brutes[Connecteur 5])-30,0,30))+F5+F6</f>
        <v>#REF!</v>
      </c>
      <c r="H19" s="44" t="e">
        <f ca="1">AVERAGE(OFFSET(INDEX(Valeurs_Brutes[Connecteur 6],1),COUNT(Valeurs_Brutes[Connecteur 6])-30,0,30))+G5+G6</f>
        <v>#REF!</v>
      </c>
      <c r="I19" s="44" t="e">
        <f ca="1">AVERAGE(OFFSET(INDEX(Valeurs_Brutes[Connecteur 7],1),COUNT(Valeurs_Brutes[Connecteur 7])-30,0,30))+H5+H6</f>
        <v>#REF!</v>
      </c>
      <c r="J19" s="44" t="e">
        <f ca="1">AVERAGE(OFFSET(INDEX(Valeurs_Brutes[Connecteur 8],1),COUNT(Valeurs_Brutes[Connecteur 8])-30,0,30))+I5+I6</f>
        <v>#REF!</v>
      </c>
      <c r="K19" s="44" t="e">
        <f ca="1">AVERAGE(OFFSET(INDEX(Valeurs_Brutes[Connecteur 9],1),COUNT(Valeurs_Brutes[Connecteur 9])-30,0,30))+J5+J6</f>
        <v>#REF!</v>
      </c>
      <c r="L19" s="44" t="e">
        <f ca="1">AVERAGE(OFFSET(INDEX(Valeurs_Brutes[Connecteur 10],1),COUNT(Valeurs_Brutes[Connecteur 10])-30,0,30))+K5+K6</f>
        <v>#REF!</v>
      </c>
      <c r="M19" s="44" t="e">
        <f ca="1">AVERAGE(OFFSET(INDEX(Valeurs_Brutes[Connecteur 11],1),COUNT(Valeurs_Brutes[Connecteur 11])-30,0,30))+L5+L6</f>
        <v>#REF!</v>
      </c>
      <c r="N19" s="44" t="e">
        <f ca="1">AVERAGE(OFFSET(INDEX(Valeurs_Brutes[Connecteur 12],1),COUNT(Valeurs_Brutes[Connecteur 12])-30,0,30))+M5+M6</f>
        <v>#REF!</v>
      </c>
      <c r="O19" s="57"/>
    </row>
    <row r="20" spans="2:18" x14ac:dyDescent="0.25">
      <c r="B20" s="35" t="s">
        <v>47</v>
      </c>
      <c r="C20" s="58" t="e">
        <f ca="1">C17-C18</f>
        <v>#REF!</v>
      </c>
      <c r="D20" s="58" t="e">
        <f ca="1">D17-D18</f>
        <v>#REF!</v>
      </c>
      <c r="E20" s="58" t="e">
        <f t="shared" ref="E20:N20" ca="1" si="0">E17-E18</f>
        <v>#REF!</v>
      </c>
      <c r="F20" s="58" t="e">
        <f t="shared" ca="1" si="0"/>
        <v>#REF!</v>
      </c>
      <c r="G20" s="58" t="e">
        <f t="shared" ca="1" si="0"/>
        <v>#REF!</v>
      </c>
      <c r="H20" s="58" t="e">
        <f t="shared" ca="1" si="0"/>
        <v>#REF!</v>
      </c>
      <c r="I20" s="58" t="e">
        <f t="shared" ca="1" si="0"/>
        <v>#REF!</v>
      </c>
      <c r="J20" s="58" t="e">
        <f t="shared" ca="1" si="0"/>
        <v>#REF!</v>
      </c>
      <c r="K20" s="58" t="e">
        <f t="shared" ca="1" si="0"/>
        <v>#REF!</v>
      </c>
      <c r="L20" s="58" t="e">
        <f t="shared" ca="1" si="0"/>
        <v>#REF!</v>
      </c>
      <c r="M20" s="58" t="e">
        <f t="shared" ca="1" si="0"/>
        <v>#REF!</v>
      </c>
      <c r="N20" s="44" t="e">
        <f t="shared" ca="1" si="0"/>
        <v>#REF!</v>
      </c>
      <c r="O20" s="57"/>
    </row>
    <row r="21" spans="2:18" x14ac:dyDescent="0.25">
      <c r="B21" s="35" t="s">
        <v>48</v>
      </c>
      <c r="C21" s="109" t="e">
        <f ca="1">ABS(MAX('-30°C'!C17:N17)-MIN('-30°C'!C18:N18))</f>
        <v>#REF!</v>
      </c>
      <c r="D21" s="109"/>
      <c r="E21" s="109"/>
      <c r="F21" s="109"/>
      <c r="G21" s="109"/>
      <c r="H21" s="109"/>
      <c r="I21" s="109"/>
      <c r="J21" s="109"/>
      <c r="K21" s="109"/>
      <c r="L21" s="109"/>
      <c r="M21" s="109"/>
      <c r="N21" s="109"/>
      <c r="O21" s="109"/>
    </row>
    <row r="22" spans="2:18" x14ac:dyDescent="0.25">
      <c r="B22" s="35" t="s">
        <v>49</v>
      </c>
      <c r="C22" s="109" t="e">
        <f ca="1">AVERAGE(C19:N19)</f>
        <v>#REF!</v>
      </c>
      <c r="D22" s="109"/>
      <c r="E22" s="109"/>
      <c r="F22" s="109"/>
      <c r="G22" s="109"/>
      <c r="H22" s="109"/>
      <c r="I22" s="109"/>
      <c r="J22" s="109"/>
      <c r="K22" s="109"/>
      <c r="L22" s="109"/>
      <c r="M22" s="109"/>
      <c r="N22" s="109"/>
      <c r="O22" s="109"/>
    </row>
    <row r="23" spans="2:18" x14ac:dyDescent="0.25">
      <c r="B23" s="34" t="s">
        <v>61</v>
      </c>
      <c r="C23" s="56" t="e">
        <f ca="1">STDEV(OFFSET(INDEX(Valeurs_Brutes[Connecteur 1],1),COUNT(Valeurs_Brutes[Connecteur 1])-30,0,30))+B5+B6</f>
        <v>#REF!</v>
      </c>
      <c r="D23" s="56" t="e">
        <f ca="1">STDEV(OFFSET(INDEX(Valeurs_Brutes[Connecteur 2],1),COUNT(Valeurs_Brutes[Connecteur 2])-30,0,30))+C5+C6</f>
        <v>#REF!</v>
      </c>
      <c r="E23" s="56" t="e">
        <f ca="1">STDEV(OFFSET(INDEX(Valeurs_Brutes[Connecteur 3],1),COUNT(Valeurs_Brutes[Connecteur 3])-30,0,30))+D5+D6</f>
        <v>#REF!</v>
      </c>
      <c r="F23" s="56" t="e">
        <f ca="1">STDEV(OFFSET(INDEX(Valeurs_Brutes[Connecteur 4],1),COUNT(Valeurs_Brutes[Connecteur 4])-30,0,30))+E5+E6</f>
        <v>#REF!</v>
      </c>
      <c r="G23" s="56" t="e">
        <f ca="1">STDEV(OFFSET(INDEX(Valeurs_Brutes[Connecteur 5],1),COUNT(Valeurs_Brutes[Connecteur 5])-30,0,30))+F5+F6</f>
        <v>#REF!</v>
      </c>
      <c r="H23" s="56" t="e">
        <f ca="1">STDEV(OFFSET(INDEX(Valeurs_Brutes[Connecteur 6],1),COUNT(Valeurs_Brutes[Connecteur 6])-30,0,30))+G5+G6</f>
        <v>#REF!</v>
      </c>
      <c r="I23" s="56" t="e">
        <f ca="1">STDEV(OFFSET(INDEX(Valeurs_Brutes[Connecteur 7],1),COUNT(Valeurs_Brutes[Connecteur 7])-30,0,30))+H5+H6</f>
        <v>#REF!</v>
      </c>
      <c r="J23" s="56" t="e">
        <f ca="1">STDEV(OFFSET(INDEX(Valeurs_Brutes[Connecteur 8],1),COUNT(Valeurs_Brutes[Connecteur 8])-30,0,30))+I5+I6</f>
        <v>#REF!</v>
      </c>
      <c r="K23" s="56" t="e">
        <f ca="1">STDEV(OFFSET(INDEX(Valeurs_Brutes[Connecteur 9],1),COUNT(Valeurs_Brutes[Connecteur 9])-30,0,30))+J5+J6</f>
        <v>#REF!</v>
      </c>
      <c r="L23" s="56" t="e">
        <f ca="1">STDEV(OFFSET(INDEX(Valeurs_Brutes[Connecteur 10],1),COUNT(Valeurs_Brutes[Connecteur 10])-30,0,30))+K5+K6</f>
        <v>#REF!</v>
      </c>
      <c r="M23" s="56" t="e">
        <f ca="1">STDEV(OFFSET(INDEX(Valeurs_Brutes[Connecteur 11],1),COUNT(Valeurs_Brutes[Connecteur 11])-30,0,30))+L5+L6</f>
        <v>#REF!</v>
      </c>
      <c r="N23" s="56" t="e">
        <f ca="1">STDEV(OFFSET(INDEX(Valeurs_Brutes[Connecteur 12],1),COUNT(Valeurs_Brutes[Connecteur 12])-30,0,30))+M5+M6</f>
        <v>#REF!</v>
      </c>
      <c r="O23" s="57"/>
    </row>
  </sheetData>
  <sheetProtection algorithmName="SHA-512" hashValue="IiBDnbjG5udiHO+VxDWvKJbsQoUXP3qsedgB9rDYBC3woAaHE2UyxID69z+Wb5qfSksZkXZXLTj6yHavxkfKCw==" saltValue="XnRXI0/jWz79v0y8ovIx9g==" spinCount="100000" sheet="1" objects="1" scenarios="1"/>
  <mergeCells count="5">
    <mergeCell ref="A1:S3"/>
    <mergeCell ref="C21:O21"/>
    <mergeCell ref="C22:O22"/>
    <mergeCell ref="A9:N9"/>
    <mergeCell ref="A14:XFD14"/>
  </mergeCells>
  <conditionalFormatting sqref="C16:N16">
    <cfRule type="cellIs" dxfId="4" priority="3" operator="greaterThan">
      <formula>$O$16</formula>
    </cfRule>
  </conditionalFormatting>
  <conditionalFormatting sqref="C17:N17">
    <cfRule type="cellIs" dxfId="3" priority="2" operator="greaterThan">
      <formula>$O$17</formula>
    </cfRule>
  </conditionalFormatting>
  <conditionalFormatting sqref="C18:N18">
    <cfRule type="cellIs" dxfId="2" priority="1" operator="lessThan">
      <formula>$O$18</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A5452-AC68-48A8-A5F1-E8236A5E324C}">
  <sheetPr codeName="Feuil5"/>
  <dimension ref="A5:J308"/>
  <sheetViews>
    <sheetView view="pageLayout" topLeftCell="A169" zoomScale="70" zoomScaleNormal="60" zoomScaleSheetLayoutView="77" zoomScalePageLayoutView="70" workbookViewId="0">
      <selection activeCell="E10" sqref="E10:F10"/>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18" t="s">
        <v>69</v>
      </c>
      <c r="C5" s="18"/>
      <c r="D5" s="18"/>
      <c r="E5" s="18"/>
      <c r="F5" s="18"/>
      <c r="G5" s="18"/>
      <c r="H5" s="18"/>
      <c r="I5" s="15"/>
    </row>
    <row r="10" spans="2:9" ht="21" x14ac:dyDescent="0.25">
      <c r="C10" s="112" t="s">
        <v>68</v>
      </c>
      <c r="D10" s="112"/>
      <c r="E10" s="113" t="str">
        <f>IF(Mesures!D5&lt;&gt;"",Mesures!D5,"")</f>
        <v/>
      </c>
      <c r="F10" s="113"/>
    </row>
    <row r="11" spans="2:9" ht="21" x14ac:dyDescent="0.25">
      <c r="C11" s="11"/>
      <c r="D11" s="11"/>
      <c r="E11" s="12"/>
      <c r="F11" s="12"/>
    </row>
    <row r="12" spans="2:9" x14ac:dyDescent="0.25">
      <c r="C12" s="20" t="s">
        <v>70</v>
      </c>
      <c r="D12" s="88">
        <f>Mesures!C7</f>
        <v>0</v>
      </c>
      <c r="F12" s="20" t="s">
        <v>75</v>
      </c>
      <c r="G12" s="88">
        <f>Mesures!G7</f>
        <v>0</v>
      </c>
    </row>
    <row r="13" spans="2:9" ht="15.75" x14ac:dyDescent="0.25">
      <c r="C13" s="21" t="s">
        <v>71</v>
      </c>
      <c r="D13" s="89">
        <f>Mesures!C8</f>
        <v>0</v>
      </c>
      <c r="F13" s="25" t="s">
        <v>76</v>
      </c>
      <c r="G13" s="89">
        <f>Mesures!G8</f>
        <v>0</v>
      </c>
    </row>
    <row r="14" spans="2:9" ht="15.75" x14ac:dyDescent="0.25">
      <c r="C14" s="14"/>
      <c r="D14" s="13"/>
      <c r="G14" s="19"/>
    </row>
    <row r="15" spans="2:9" ht="15.75" x14ac:dyDescent="0.25">
      <c r="C15" s="22" t="s">
        <v>72</v>
      </c>
      <c r="D15" s="23">
        <f>Mesures!C14</f>
        <v>0</v>
      </c>
      <c r="F15" s="20" t="s">
        <v>77</v>
      </c>
      <c r="G15" s="2" t="e">
        <f>Mesures!#REF!</f>
        <v>#REF!</v>
      </c>
    </row>
    <row r="16" spans="2:9" ht="15.75" x14ac:dyDescent="0.25">
      <c r="C16" s="22" t="s">
        <v>73</v>
      </c>
      <c r="D16" s="24">
        <f>Mesures!G11</f>
        <v>9</v>
      </c>
      <c r="F16" s="20" t="s">
        <v>78</v>
      </c>
      <c r="G16" s="2">
        <f>Mesures!G12</f>
        <v>0</v>
      </c>
    </row>
    <row r="17" spans="1:9" ht="15.75" x14ac:dyDescent="0.25">
      <c r="C17" s="14"/>
      <c r="D17" s="13"/>
      <c r="F17" s="14"/>
      <c r="G17" s="4"/>
    </row>
    <row r="18" spans="1:9" ht="15.75" x14ac:dyDescent="0.25">
      <c r="C18" s="22" t="s">
        <v>74</v>
      </c>
      <c r="D18" s="24">
        <f>Mesures!C11</f>
        <v>0</v>
      </c>
      <c r="F18" s="20" t="s">
        <v>79</v>
      </c>
      <c r="G18" s="2">
        <f>Mesures!G10</f>
        <v>0</v>
      </c>
    </row>
    <row r="19" spans="1:9" ht="15.75" x14ac:dyDescent="0.25">
      <c r="C19" s="21" t="s">
        <v>156</v>
      </c>
      <c r="D19" s="23">
        <f>Mesures!C10</f>
        <v>0</v>
      </c>
    </row>
    <row r="20" spans="1:9" ht="15.75" x14ac:dyDescent="0.25">
      <c r="C20" s="14"/>
      <c r="D20" s="13"/>
    </row>
    <row r="21" spans="1:9" ht="15.75" x14ac:dyDescent="0.25">
      <c r="C21" s="14"/>
      <c r="D21" s="13"/>
    </row>
    <row r="28" spans="1:9" ht="36" x14ac:dyDescent="0.55000000000000004">
      <c r="A28" s="115" t="s">
        <v>155</v>
      </c>
      <c r="B28" s="115"/>
    </row>
    <row r="30" spans="1:9" x14ac:dyDescent="0.25">
      <c r="A30" s="114" t="s">
        <v>154</v>
      </c>
      <c r="B30" s="114"/>
      <c r="C30" s="114"/>
      <c r="D30" s="114"/>
      <c r="E30" s="114"/>
      <c r="F30" s="114"/>
      <c r="G30" s="114"/>
      <c r="H30" s="114"/>
      <c r="I30" s="114"/>
    </row>
    <row r="31" spans="1:9" x14ac:dyDescent="0.25">
      <c r="A31" s="114"/>
      <c r="B31" s="114"/>
      <c r="C31" s="114"/>
      <c r="D31" s="114"/>
      <c r="E31" s="114"/>
      <c r="F31" s="114"/>
      <c r="G31" s="114"/>
      <c r="H31" s="114"/>
      <c r="I31" s="114"/>
    </row>
    <row r="32" spans="1:9" x14ac:dyDescent="0.25">
      <c r="A32" s="114"/>
      <c r="B32" s="114"/>
      <c r="C32" s="114"/>
      <c r="D32" s="114"/>
      <c r="E32" s="114"/>
      <c r="F32" s="114"/>
      <c r="G32" s="114"/>
      <c r="H32" s="114"/>
      <c r="I32" s="114"/>
    </row>
    <row r="33" spans="1:9" x14ac:dyDescent="0.25">
      <c r="A33" s="114"/>
      <c r="B33" s="114"/>
      <c r="C33" s="114"/>
      <c r="D33" s="114"/>
      <c r="E33" s="114"/>
      <c r="F33" s="114"/>
      <c r="G33" s="114"/>
      <c r="H33" s="114"/>
      <c r="I33" s="114"/>
    </row>
    <row r="34" spans="1:9" x14ac:dyDescent="0.25">
      <c r="A34" s="114"/>
      <c r="B34" s="114"/>
      <c r="C34" s="114"/>
      <c r="D34" s="114"/>
      <c r="E34" s="114"/>
      <c r="F34" s="114"/>
      <c r="G34" s="114"/>
      <c r="H34" s="114"/>
      <c r="I34" s="114"/>
    </row>
    <row r="35" spans="1:9" x14ac:dyDescent="0.25">
      <c r="A35" s="114"/>
      <c r="B35" s="114"/>
      <c r="C35" s="114"/>
      <c r="D35" s="114"/>
      <c r="E35" s="114"/>
      <c r="F35" s="114"/>
      <c r="G35" s="114"/>
      <c r="H35" s="114"/>
      <c r="I35" s="114"/>
    </row>
    <row r="36" spans="1:9" x14ac:dyDescent="0.25">
      <c r="A36" s="114"/>
      <c r="B36" s="114"/>
      <c r="C36" s="114"/>
      <c r="D36" s="114"/>
      <c r="E36" s="114"/>
      <c r="F36" s="114"/>
      <c r="G36" s="114"/>
      <c r="H36" s="114"/>
      <c r="I36" s="114"/>
    </row>
    <row r="37" spans="1:9" x14ac:dyDescent="0.25">
      <c r="A37" s="114"/>
      <c r="B37" s="114"/>
      <c r="C37" s="114"/>
      <c r="D37" s="114"/>
      <c r="E37" s="114"/>
      <c r="F37" s="114"/>
      <c r="G37" s="114"/>
      <c r="H37" s="114"/>
      <c r="I37" s="114"/>
    </row>
    <row r="38" spans="1:9" x14ac:dyDescent="0.25">
      <c r="A38" s="114"/>
      <c r="B38" s="114"/>
      <c r="C38" s="114"/>
      <c r="D38" s="114"/>
      <c r="E38" s="114"/>
      <c r="F38" s="114"/>
      <c r="G38" s="114"/>
      <c r="H38" s="114"/>
      <c r="I38" s="114"/>
    </row>
    <row r="39" spans="1:9" x14ac:dyDescent="0.25">
      <c r="A39" s="114"/>
      <c r="B39" s="114"/>
      <c r="C39" s="114"/>
      <c r="D39" s="114"/>
      <c r="E39" s="114"/>
      <c r="F39" s="114"/>
      <c r="G39" s="114"/>
      <c r="H39" s="114"/>
      <c r="I39" s="114"/>
    </row>
    <row r="40" spans="1:9" x14ac:dyDescent="0.25">
      <c r="A40" s="114"/>
      <c r="B40" s="114"/>
      <c r="C40" s="114"/>
      <c r="D40" s="114"/>
      <c r="E40" s="114"/>
      <c r="F40" s="114"/>
      <c r="G40" s="114"/>
      <c r="H40" s="114"/>
      <c r="I40" s="114"/>
    </row>
    <row r="41" spans="1:9" x14ac:dyDescent="0.25">
      <c r="A41" s="114"/>
      <c r="B41" s="114"/>
      <c r="C41" s="114"/>
      <c r="D41" s="114"/>
      <c r="E41" s="114"/>
      <c r="F41" s="114"/>
      <c r="G41" s="114"/>
      <c r="H41" s="114"/>
      <c r="I41" s="114"/>
    </row>
    <row r="42" spans="1:9" x14ac:dyDescent="0.25">
      <c r="A42" s="114"/>
      <c r="B42" s="114"/>
      <c r="C42" s="114"/>
      <c r="D42" s="114"/>
      <c r="E42" s="114"/>
      <c r="F42" s="114"/>
      <c r="G42" s="114"/>
      <c r="H42" s="114"/>
      <c r="I42" s="114"/>
    </row>
    <row r="43" spans="1:9" x14ac:dyDescent="0.25">
      <c r="A43" s="114"/>
      <c r="B43" s="114"/>
      <c r="C43" s="114"/>
      <c r="D43" s="114"/>
      <c r="E43" s="114"/>
      <c r="F43" s="114"/>
      <c r="G43" s="114"/>
      <c r="H43" s="114"/>
      <c r="I43" s="114"/>
    </row>
    <row r="44" spans="1:9" x14ac:dyDescent="0.25">
      <c r="A44" s="114"/>
      <c r="B44" s="114"/>
      <c r="C44" s="114"/>
      <c r="D44" s="114"/>
      <c r="E44" s="114"/>
      <c r="F44" s="114"/>
      <c r="G44" s="114"/>
      <c r="H44" s="114"/>
      <c r="I44" s="114"/>
    </row>
    <row r="45" spans="1:9" x14ac:dyDescent="0.25">
      <c r="A45" s="114"/>
      <c r="B45" s="114"/>
      <c r="C45" s="114"/>
      <c r="D45" s="114"/>
      <c r="E45" s="114"/>
      <c r="F45" s="114"/>
      <c r="G45" s="114"/>
      <c r="H45" s="114"/>
      <c r="I45" s="114"/>
    </row>
    <row r="46" spans="1:9" x14ac:dyDescent="0.25">
      <c r="A46" s="114"/>
      <c r="B46" s="114"/>
      <c r="C46" s="114"/>
      <c r="D46" s="114"/>
      <c r="E46" s="114"/>
      <c r="F46" s="114"/>
      <c r="G46" s="114"/>
      <c r="H46" s="114"/>
      <c r="I46" s="114"/>
    </row>
    <row r="47" spans="1:9" x14ac:dyDescent="0.25">
      <c r="A47" s="114"/>
      <c r="B47" s="114"/>
      <c r="C47" s="114"/>
      <c r="D47" s="114"/>
      <c r="E47" s="114"/>
      <c r="F47" s="114"/>
      <c r="G47" s="114"/>
      <c r="H47" s="114"/>
      <c r="I47" s="114"/>
    </row>
    <row r="51" spans="2:8" ht="36" x14ac:dyDescent="0.25">
      <c r="C51" s="117" t="s">
        <v>153</v>
      </c>
      <c r="D51" s="117"/>
      <c r="E51" s="117"/>
      <c r="F51" s="117"/>
    </row>
    <row r="52" spans="2:8" ht="20.25" customHeight="1" x14ac:dyDescent="0.25">
      <c r="B52" s="26"/>
    </row>
    <row r="53" spans="2:8" ht="23.25" x14ac:dyDescent="0.25">
      <c r="B53" s="27" t="s">
        <v>80</v>
      </c>
    </row>
    <row r="55" spans="2:8" ht="21" x14ac:dyDescent="0.25">
      <c r="B55" s="28" t="s">
        <v>81</v>
      </c>
      <c r="E55" s="116" t="s">
        <v>84</v>
      </c>
      <c r="F55" s="116"/>
      <c r="G55" s="116"/>
      <c r="H55" s="16"/>
    </row>
    <row r="56" spans="2:8" ht="21" customHeight="1" x14ac:dyDescent="0.25">
      <c r="B56" s="28" t="s">
        <v>82</v>
      </c>
      <c r="E56" s="116" t="s">
        <v>85</v>
      </c>
      <c r="F56" s="116"/>
      <c r="G56" s="116"/>
      <c r="H56" s="116"/>
    </row>
    <row r="57" spans="2:8" ht="21" x14ac:dyDescent="0.25">
      <c r="B57" s="28" t="s">
        <v>83</v>
      </c>
      <c r="E57" s="116" t="s">
        <v>86</v>
      </c>
      <c r="F57" s="116"/>
      <c r="G57" s="16"/>
      <c r="H57" s="16"/>
    </row>
    <row r="59" spans="2:8" ht="23.25" x14ac:dyDescent="0.25">
      <c r="B59" s="27" t="s">
        <v>87</v>
      </c>
    </row>
    <row r="61" spans="2:8" ht="21" x14ac:dyDescent="0.25">
      <c r="B61" s="116" t="s">
        <v>88</v>
      </c>
      <c r="C61" s="116"/>
      <c r="D61" s="116"/>
      <c r="E61" s="116" t="s">
        <v>90</v>
      </c>
      <c r="F61" s="116"/>
      <c r="G61" s="116"/>
    </row>
    <row r="62" spans="2:8" ht="21" x14ac:dyDescent="0.25">
      <c r="B62" s="116" t="s">
        <v>89</v>
      </c>
      <c r="C62" s="116"/>
      <c r="D62" s="116"/>
    </row>
    <row r="64" spans="2:8" ht="21" x14ac:dyDescent="0.25">
      <c r="B64" s="28" t="s">
        <v>91</v>
      </c>
    </row>
    <row r="66" spans="1:10" ht="21" x14ac:dyDescent="0.25">
      <c r="B66" s="116" t="s">
        <v>92</v>
      </c>
      <c r="C66" s="116"/>
      <c r="D66" s="116"/>
      <c r="E66" s="116" t="s">
        <v>96</v>
      </c>
      <c r="F66" s="116"/>
      <c r="G66" s="116"/>
      <c r="H66" s="116"/>
      <c r="I66" s="116"/>
    </row>
    <row r="67" spans="1:10" ht="23.25" x14ac:dyDescent="0.25">
      <c r="B67" s="116" t="s">
        <v>93</v>
      </c>
      <c r="C67" s="116"/>
      <c r="D67" s="116"/>
      <c r="E67" s="116" t="s">
        <v>97</v>
      </c>
      <c r="F67" s="116"/>
      <c r="G67" s="116"/>
      <c r="H67" s="116"/>
      <c r="I67" s="116"/>
    </row>
    <row r="68" spans="1:10" ht="21" x14ac:dyDescent="0.25">
      <c r="B68" s="116" t="s">
        <v>94</v>
      </c>
      <c r="C68" s="116"/>
      <c r="D68" s="116"/>
      <c r="E68" s="116" t="s">
        <v>98</v>
      </c>
      <c r="F68" s="116"/>
      <c r="G68" s="116"/>
      <c r="H68" s="116"/>
      <c r="I68" s="116"/>
    </row>
    <row r="69" spans="1:10" ht="23.25" x14ac:dyDescent="0.25">
      <c r="B69" s="116" t="s">
        <v>95</v>
      </c>
      <c r="C69" s="116"/>
      <c r="D69" s="116"/>
      <c r="E69" s="116" t="s">
        <v>99</v>
      </c>
      <c r="F69" s="116"/>
      <c r="G69" s="116"/>
      <c r="H69" s="116"/>
      <c r="I69" s="16"/>
    </row>
    <row r="72" spans="1:10" ht="21" customHeight="1" x14ac:dyDescent="0.25">
      <c r="A72" s="122" t="s">
        <v>100</v>
      </c>
      <c r="B72" s="122"/>
      <c r="C72" s="122"/>
      <c r="D72" s="122"/>
      <c r="E72" s="122"/>
      <c r="F72" s="122"/>
      <c r="G72" s="122"/>
      <c r="H72" s="122"/>
      <c r="I72" s="122"/>
      <c r="J72" s="122"/>
    </row>
    <row r="73" spans="1:10" ht="21" customHeight="1" x14ac:dyDescent="0.25">
      <c r="A73" s="122"/>
      <c r="B73" s="122"/>
      <c r="C73" s="122"/>
      <c r="D73" s="122"/>
      <c r="E73" s="122"/>
      <c r="F73" s="122"/>
      <c r="G73" s="122"/>
      <c r="H73" s="122"/>
      <c r="I73" s="122"/>
      <c r="J73" s="122"/>
    </row>
    <row r="74" spans="1:10" ht="15" customHeight="1" x14ac:dyDescent="0.25">
      <c r="A74" s="122"/>
      <c r="B74" s="122"/>
      <c r="C74" s="122"/>
      <c r="D74" s="122"/>
      <c r="E74" s="122"/>
      <c r="F74" s="122"/>
      <c r="G74" s="122"/>
      <c r="H74" s="122"/>
      <c r="I74" s="122"/>
      <c r="J74" s="122"/>
    </row>
    <row r="75" spans="1:10" ht="15" customHeight="1" x14ac:dyDescent="0.25">
      <c r="A75" s="122"/>
      <c r="B75" s="122"/>
      <c r="C75" s="122"/>
      <c r="D75" s="122"/>
      <c r="E75" s="122"/>
      <c r="F75" s="122"/>
      <c r="G75" s="122"/>
      <c r="H75" s="122"/>
      <c r="I75" s="122"/>
      <c r="J75" s="122"/>
    </row>
    <row r="76" spans="1:10" x14ac:dyDescent="0.25">
      <c r="A76" s="122"/>
      <c r="B76" s="122"/>
      <c r="C76" s="122"/>
      <c r="D76" s="122"/>
      <c r="E76" s="122"/>
      <c r="F76" s="122"/>
      <c r="G76" s="122"/>
      <c r="H76" s="122"/>
      <c r="I76" s="122"/>
      <c r="J76" s="122"/>
    </row>
    <row r="77" spans="1:10" x14ac:dyDescent="0.25">
      <c r="A77" s="122"/>
      <c r="B77" s="122"/>
      <c r="C77" s="122"/>
      <c r="D77" s="122"/>
      <c r="E77" s="122"/>
      <c r="F77" s="122"/>
      <c r="G77" s="122"/>
      <c r="H77" s="122"/>
      <c r="I77" s="122"/>
      <c r="J77" s="122"/>
    </row>
    <row r="78" spans="1:10" x14ac:dyDescent="0.25">
      <c r="A78" s="122"/>
      <c r="B78" s="122"/>
      <c r="C78" s="122"/>
      <c r="D78" s="122"/>
      <c r="E78" s="122"/>
      <c r="F78" s="122"/>
      <c r="G78" s="122"/>
      <c r="H78" s="122"/>
      <c r="I78" s="122"/>
      <c r="J78" s="122"/>
    </row>
    <row r="79" spans="1:10" x14ac:dyDescent="0.25">
      <c r="A79" s="122"/>
      <c r="B79" s="122"/>
      <c r="C79" s="122"/>
      <c r="D79" s="122"/>
      <c r="E79" s="122"/>
      <c r="F79" s="122"/>
      <c r="G79" s="122"/>
      <c r="H79" s="122"/>
      <c r="I79" s="122"/>
      <c r="J79" s="122"/>
    </row>
    <row r="80" spans="1:10" x14ac:dyDescent="0.25">
      <c r="A80" s="122"/>
      <c r="B80" s="122"/>
      <c r="C80" s="122"/>
      <c r="D80" s="122"/>
      <c r="E80" s="122"/>
      <c r="F80" s="122"/>
      <c r="G80" s="122"/>
      <c r="H80" s="122"/>
      <c r="I80" s="122"/>
      <c r="J80" s="122"/>
    </row>
    <row r="81" spans="1:10" x14ac:dyDescent="0.25">
      <c r="A81" s="122"/>
      <c r="B81" s="122"/>
      <c r="C81" s="122"/>
      <c r="D81" s="122"/>
      <c r="E81" s="122"/>
      <c r="F81" s="122"/>
      <c r="G81" s="122"/>
      <c r="H81" s="122"/>
      <c r="I81" s="122"/>
      <c r="J81" s="122"/>
    </row>
    <row r="85" spans="1:10" ht="36" x14ac:dyDescent="0.25">
      <c r="C85" s="117" t="s">
        <v>144</v>
      </c>
      <c r="D85" s="117"/>
      <c r="E85" s="117"/>
      <c r="F85" s="117"/>
      <c r="G85" s="117"/>
    </row>
    <row r="87" spans="1:10" ht="26.25" x14ac:dyDescent="0.25">
      <c r="B87" s="52" t="s">
        <v>145</v>
      </c>
    </row>
    <row r="89" spans="1:10" ht="21" x14ac:dyDescent="0.25">
      <c r="B89" s="28" t="s">
        <v>146</v>
      </c>
      <c r="C89" s="28"/>
      <c r="E89" s="28"/>
      <c r="F89" s="28"/>
      <c r="G89" s="28"/>
      <c r="H89" s="16"/>
    </row>
    <row r="90" spans="1:10" ht="21" x14ac:dyDescent="0.25">
      <c r="B90" s="28" t="s">
        <v>147</v>
      </c>
      <c r="C90" s="28"/>
      <c r="E90" s="28"/>
      <c r="F90" s="28"/>
      <c r="G90" s="28"/>
      <c r="H90" s="16"/>
    </row>
    <row r="91" spans="1:10" ht="21" x14ac:dyDescent="0.25">
      <c r="B91" s="28" t="s">
        <v>148</v>
      </c>
      <c r="C91" s="28"/>
      <c r="E91" s="28"/>
      <c r="F91" s="28"/>
      <c r="G91" s="28"/>
      <c r="H91" s="16"/>
    </row>
    <row r="92" spans="1:10" ht="21" x14ac:dyDescent="0.25">
      <c r="B92" s="28" t="s">
        <v>149</v>
      </c>
      <c r="C92" s="28"/>
      <c r="E92" s="28"/>
      <c r="F92" s="28"/>
      <c r="G92" s="28"/>
      <c r="H92" s="16"/>
    </row>
    <row r="93" spans="1:10" ht="21" x14ac:dyDescent="0.25">
      <c r="B93" s="69"/>
      <c r="C93" s="69"/>
      <c r="E93" s="28"/>
      <c r="F93" s="28"/>
      <c r="G93" s="28"/>
      <c r="H93" s="16"/>
    </row>
    <row r="94" spans="1:10" ht="17.25" x14ac:dyDescent="0.25">
      <c r="A94" s="77"/>
      <c r="C94" s="128" t="s">
        <v>157</v>
      </c>
      <c r="D94" s="128"/>
      <c r="E94" s="128"/>
      <c r="F94" s="128"/>
      <c r="G94" s="128"/>
      <c r="H94" s="77"/>
      <c r="I94" s="77"/>
    </row>
    <row r="95" spans="1:10" ht="34.5" x14ac:dyDescent="0.25">
      <c r="A95" s="77"/>
      <c r="B95" s="77"/>
      <c r="C95" s="74"/>
      <c r="D95" s="74" t="s">
        <v>66</v>
      </c>
      <c r="E95" s="75" t="s">
        <v>180</v>
      </c>
      <c r="F95" s="75" t="s">
        <v>158</v>
      </c>
      <c r="G95" s="75" t="s">
        <v>181</v>
      </c>
      <c r="H95" s="78"/>
      <c r="I95" s="78"/>
    </row>
    <row r="96" spans="1:10" ht="17.25" x14ac:dyDescent="0.25">
      <c r="A96" s="77"/>
      <c r="B96" s="77"/>
      <c r="C96" s="74" t="str">
        <f>"Sonde " &amp;Mesures!B23</f>
        <v xml:space="preserve">Sonde </v>
      </c>
      <c r="D96" s="76" cm="1">
        <f t="array" ref="D96:G107">Mesures!C42:F53</f>
        <v>0</v>
      </c>
      <c r="E96" s="76">
        <v>0</v>
      </c>
      <c r="F96" s="76">
        <v>0</v>
      </c>
      <c r="G96" s="76">
        <v>0</v>
      </c>
      <c r="H96" s="77"/>
      <c r="I96" s="77"/>
    </row>
    <row r="97" spans="1:9" ht="17.25" x14ac:dyDescent="0.25">
      <c r="A97" s="77"/>
      <c r="B97" s="77"/>
      <c r="C97" s="74" t="str">
        <f>"Sonde " &amp;Mesures!B24</f>
        <v xml:space="preserve">Sonde </v>
      </c>
      <c r="D97" s="76">
        <v>0</v>
      </c>
      <c r="E97" s="76">
        <v>0</v>
      </c>
      <c r="F97" s="76">
        <v>0</v>
      </c>
      <c r="G97" s="76">
        <v>0</v>
      </c>
      <c r="H97" s="77"/>
      <c r="I97" s="77"/>
    </row>
    <row r="98" spans="1:9" ht="17.25" x14ac:dyDescent="0.25">
      <c r="A98" s="77"/>
      <c r="B98" s="77"/>
      <c r="C98" s="74" t="str">
        <f>"Sonde " &amp;Mesures!B25</f>
        <v xml:space="preserve">Sonde </v>
      </c>
      <c r="D98" s="76">
        <v>0</v>
      </c>
      <c r="E98" s="76">
        <v>0</v>
      </c>
      <c r="F98" s="76">
        <v>0</v>
      </c>
      <c r="G98" s="76">
        <v>0</v>
      </c>
      <c r="H98" s="77"/>
      <c r="I98" s="77"/>
    </row>
    <row r="99" spans="1:9" ht="17.25" x14ac:dyDescent="0.25">
      <c r="A99" s="77"/>
      <c r="B99" s="77"/>
      <c r="C99" s="74" t="str">
        <f>"Sonde " &amp;Mesures!B26</f>
        <v xml:space="preserve">Sonde </v>
      </c>
      <c r="D99" s="76">
        <v>0</v>
      </c>
      <c r="E99" s="76">
        <v>0</v>
      </c>
      <c r="F99" s="76">
        <v>0</v>
      </c>
      <c r="G99" s="76">
        <v>0</v>
      </c>
      <c r="H99" s="77"/>
      <c r="I99" s="77"/>
    </row>
    <row r="100" spans="1:9" ht="17.25" x14ac:dyDescent="0.25">
      <c r="A100" s="77"/>
      <c r="B100" s="77"/>
      <c r="C100" s="74" t="str">
        <f>"Sonde " &amp;Mesures!B27</f>
        <v xml:space="preserve">Sonde </v>
      </c>
      <c r="D100" s="76">
        <v>0</v>
      </c>
      <c r="E100" s="76">
        <v>0</v>
      </c>
      <c r="F100" s="76">
        <v>0</v>
      </c>
      <c r="G100" s="76">
        <v>0</v>
      </c>
      <c r="H100" s="77"/>
      <c r="I100" s="77"/>
    </row>
    <row r="101" spans="1:9" ht="17.25" x14ac:dyDescent="0.25">
      <c r="A101" s="77"/>
      <c r="B101" s="77"/>
      <c r="C101" s="74" t="str">
        <f>"Sonde " &amp;Mesures!B28</f>
        <v xml:space="preserve">Sonde </v>
      </c>
      <c r="D101" s="76">
        <v>0</v>
      </c>
      <c r="E101" s="76">
        <v>0</v>
      </c>
      <c r="F101" s="76">
        <v>0</v>
      </c>
      <c r="G101" s="76">
        <v>0</v>
      </c>
      <c r="H101" s="77"/>
      <c r="I101" s="77"/>
    </row>
    <row r="102" spans="1:9" ht="17.25" x14ac:dyDescent="0.25">
      <c r="A102" s="77"/>
      <c r="B102" s="77"/>
      <c r="C102" s="74" t="str">
        <f>"Sonde " &amp;Mesures!B29</f>
        <v xml:space="preserve">Sonde </v>
      </c>
      <c r="D102" s="76">
        <v>0</v>
      </c>
      <c r="E102" s="76">
        <v>0</v>
      </c>
      <c r="F102" s="76">
        <v>0</v>
      </c>
      <c r="G102" s="76">
        <v>0</v>
      </c>
      <c r="H102" s="77"/>
      <c r="I102" s="77"/>
    </row>
    <row r="103" spans="1:9" ht="17.25" x14ac:dyDescent="0.25">
      <c r="A103" s="77"/>
      <c r="B103" s="77"/>
      <c r="C103" s="74" t="str">
        <f>"Sonde " &amp;Mesures!B30</f>
        <v xml:space="preserve">Sonde </v>
      </c>
      <c r="D103" s="76">
        <v>0</v>
      </c>
      <c r="E103" s="76">
        <v>0</v>
      </c>
      <c r="F103" s="76">
        <v>0</v>
      </c>
      <c r="G103" s="76">
        <v>0</v>
      </c>
      <c r="H103" s="77"/>
      <c r="I103" s="77"/>
    </row>
    <row r="104" spans="1:9" ht="17.25" x14ac:dyDescent="0.25">
      <c r="A104" s="77"/>
      <c r="B104" s="77"/>
      <c r="C104" s="74" t="str">
        <f>"Sonde " &amp;Mesures!B31</f>
        <v xml:space="preserve">Sonde </v>
      </c>
      <c r="D104" s="76">
        <v>0</v>
      </c>
      <c r="E104" s="76">
        <v>0</v>
      </c>
      <c r="F104" s="76">
        <v>0</v>
      </c>
      <c r="G104" s="76">
        <v>0</v>
      </c>
      <c r="H104" s="77"/>
      <c r="I104" s="77"/>
    </row>
    <row r="105" spans="1:9" ht="17.25" x14ac:dyDescent="0.25">
      <c r="A105" s="77"/>
      <c r="B105" s="77"/>
      <c r="C105" s="74" t="str">
        <f>"Sonde " &amp;Mesures!B32</f>
        <v xml:space="preserve">Sonde </v>
      </c>
      <c r="D105" s="76">
        <v>0</v>
      </c>
      <c r="E105" s="76">
        <v>0</v>
      </c>
      <c r="F105" s="76">
        <v>0</v>
      </c>
      <c r="G105" s="76">
        <v>0</v>
      </c>
      <c r="H105" s="77"/>
      <c r="I105" s="77"/>
    </row>
    <row r="106" spans="1:9" ht="17.25" x14ac:dyDescent="0.25">
      <c r="A106" s="77"/>
      <c r="B106" s="77"/>
      <c r="C106" s="74" t="str">
        <f>"Sonde " &amp;Mesures!B33</f>
        <v xml:space="preserve">Sonde </v>
      </c>
      <c r="D106" s="76">
        <v>0</v>
      </c>
      <c r="E106" s="76">
        <v>0</v>
      </c>
      <c r="F106" s="76">
        <v>0</v>
      </c>
      <c r="G106" s="76">
        <v>0</v>
      </c>
      <c r="H106" s="77"/>
      <c r="I106" s="77"/>
    </row>
    <row r="107" spans="1:9" ht="17.25" x14ac:dyDescent="0.25">
      <c r="A107" s="77"/>
      <c r="B107" s="77"/>
      <c r="C107" s="74" t="str">
        <f>"Sonde " &amp;Mesures!B34</f>
        <v xml:space="preserve">Sonde </v>
      </c>
      <c r="D107" s="76">
        <v>0</v>
      </c>
      <c r="E107" s="76">
        <v>0</v>
      </c>
      <c r="F107" s="76">
        <v>0</v>
      </c>
      <c r="G107" s="76">
        <v>0</v>
      </c>
      <c r="H107" s="77"/>
      <c r="I107" s="77"/>
    </row>
    <row r="108" spans="1:9" ht="17.25" x14ac:dyDescent="0.25">
      <c r="A108" s="77"/>
      <c r="B108" s="77"/>
      <c r="C108" s="77"/>
      <c r="D108" s="77"/>
      <c r="E108" s="77"/>
      <c r="F108" s="77"/>
      <c r="G108" s="77"/>
      <c r="H108" s="77"/>
      <c r="I108" s="77"/>
    </row>
    <row r="109" spans="1:9" ht="17.25" x14ac:dyDescent="0.25">
      <c r="A109" s="77"/>
      <c r="B109" s="77"/>
      <c r="C109" s="77"/>
      <c r="D109" s="77"/>
      <c r="E109" s="77"/>
      <c r="F109" s="77"/>
      <c r="G109" s="77"/>
      <c r="H109" s="77"/>
      <c r="I109" s="77"/>
    </row>
    <row r="110" spans="1:9" ht="17.25" x14ac:dyDescent="0.25">
      <c r="A110" s="77"/>
      <c r="B110" s="77"/>
      <c r="C110" s="77"/>
      <c r="D110" s="77"/>
      <c r="E110" s="77"/>
      <c r="F110" s="77"/>
      <c r="G110" s="77"/>
      <c r="H110" s="77"/>
      <c r="I110" s="77"/>
    </row>
    <row r="111" spans="1:9" ht="17.25" x14ac:dyDescent="0.25">
      <c r="A111" s="77"/>
      <c r="B111" s="77"/>
      <c r="C111" s="77"/>
      <c r="D111" s="77"/>
      <c r="E111" s="77"/>
      <c r="F111" s="77"/>
      <c r="G111" s="77"/>
      <c r="H111" s="77"/>
      <c r="I111" s="77"/>
    </row>
    <row r="112" spans="1:9" ht="17.25" x14ac:dyDescent="0.25">
      <c r="A112" s="77"/>
      <c r="B112" s="77"/>
      <c r="C112" s="77"/>
      <c r="D112" s="77"/>
      <c r="E112" s="77"/>
      <c r="F112" s="77"/>
      <c r="G112" s="77"/>
      <c r="H112" s="77"/>
      <c r="I112" s="77"/>
    </row>
    <row r="113" spans="1:9" ht="17.25" x14ac:dyDescent="0.25">
      <c r="A113" s="77"/>
      <c r="B113" s="77"/>
      <c r="C113" s="77"/>
      <c r="D113" s="77"/>
      <c r="E113" s="77"/>
      <c r="F113" s="77"/>
      <c r="G113" s="77"/>
      <c r="H113" s="77"/>
      <c r="I113" s="77"/>
    </row>
    <row r="114" spans="1:9" ht="17.25" x14ac:dyDescent="0.25">
      <c r="A114" s="77"/>
      <c r="B114" s="77"/>
      <c r="C114" s="77"/>
      <c r="D114" s="77"/>
      <c r="E114" s="77"/>
      <c r="F114" s="77"/>
      <c r="G114" s="77"/>
      <c r="H114" s="77"/>
      <c r="I114" s="77"/>
    </row>
    <row r="115" spans="1:9" ht="17.25" x14ac:dyDescent="0.25">
      <c r="A115" s="77"/>
      <c r="B115" s="77"/>
      <c r="C115" s="77"/>
      <c r="D115" s="77"/>
      <c r="E115" s="77"/>
      <c r="F115" s="77"/>
      <c r="G115" s="77"/>
      <c r="H115" s="77"/>
      <c r="I115" s="77"/>
    </row>
    <row r="116" spans="1:9" ht="21" x14ac:dyDescent="0.25">
      <c r="B116" s="129" t="s">
        <v>151</v>
      </c>
      <c r="C116" s="129"/>
      <c r="D116" s="129"/>
      <c r="E116" s="129"/>
      <c r="F116" s="129"/>
    </row>
    <row r="118" spans="1:9" ht="26.25" x14ac:dyDescent="0.25">
      <c r="B118" s="52" t="s">
        <v>150</v>
      </c>
    </row>
    <row r="119" spans="1:9" ht="21" x14ac:dyDescent="0.3">
      <c r="E119" s="28" t="s">
        <v>170</v>
      </c>
      <c r="F119" s="28"/>
      <c r="G119" s="67">
        <f>Mesures!M42</f>
        <v>0</v>
      </c>
    </row>
    <row r="120" spans="1:9" ht="21" x14ac:dyDescent="0.3">
      <c r="B120" s="71" t="s">
        <v>178</v>
      </c>
      <c r="C120" s="28" t="s">
        <v>179</v>
      </c>
      <c r="E120" s="28" t="s">
        <v>171</v>
      </c>
      <c r="F120" s="28"/>
      <c r="G120" s="67">
        <f>Mesures!N42</f>
        <v>0</v>
      </c>
    </row>
    <row r="121" spans="1:9" ht="21" x14ac:dyDescent="0.25">
      <c r="B121" s="71" t="s">
        <v>176</v>
      </c>
      <c r="C121" s="69" t="s">
        <v>177</v>
      </c>
      <c r="E121" s="28" t="s">
        <v>172</v>
      </c>
      <c r="F121" s="28"/>
      <c r="G121" s="68">
        <f>Mesures!O42</f>
        <v>0</v>
      </c>
    </row>
    <row r="122" spans="1:9" ht="21" x14ac:dyDescent="0.35">
      <c r="B122" s="72" t="s">
        <v>174</v>
      </c>
      <c r="C122" s="70" t="s">
        <v>175</v>
      </c>
      <c r="E122" s="28" t="s">
        <v>173</v>
      </c>
      <c r="F122" s="28"/>
      <c r="G122" s="73" t="e">
        <f>"±" &amp;  SUBSTITUTE(ROUND(AVERAGE(Mesures!D23:D34),2),"-"," ") &amp; "°C"</f>
        <v>#DIV/0!</v>
      </c>
    </row>
    <row r="127" spans="1:9" ht="36" x14ac:dyDescent="0.25">
      <c r="C127" s="117" t="s">
        <v>101</v>
      </c>
      <c r="D127" s="117"/>
      <c r="E127" s="117"/>
      <c r="F127" s="117"/>
    </row>
    <row r="128" spans="1:9" ht="36" x14ac:dyDescent="0.25">
      <c r="B128" s="29"/>
      <c r="C128" s="29"/>
      <c r="D128" s="29"/>
    </row>
    <row r="129" spans="2:9" x14ac:dyDescent="0.25">
      <c r="B129" s="110"/>
      <c r="C129" s="110"/>
      <c r="D129" s="110"/>
      <c r="E129" s="110"/>
      <c r="F129" s="110"/>
      <c r="G129" s="110"/>
      <c r="H129" s="110"/>
      <c r="I129" s="110"/>
    </row>
    <row r="130" spans="2:9" x14ac:dyDescent="0.25">
      <c r="B130" s="110"/>
      <c r="C130" s="110"/>
      <c r="D130" s="110"/>
      <c r="E130" s="110"/>
      <c r="F130" s="110"/>
      <c r="G130" s="110"/>
      <c r="H130" s="110"/>
      <c r="I130" s="110"/>
    </row>
    <row r="131" spans="2:9" x14ac:dyDescent="0.25">
      <c r="B131" s="110"/>
      <c r="C131" s="110"/>
      <c r="D131" s="110"/>
      <c r="E131" s="110"/>
      <c r="F131" s="110"/>
      <c r="G131" s="110"/>
      <c r="H131" s="110"/>
      <c r="I131" s="110"/>
    </row>
    <row r="132" spans="2:9" x14ac:dyDescent="0.25">
      <c r="B132" s="110"/>
      <c r="C132" s="110"/>
      <c r="D132" s="110"/>
      <c r="E132" s="110"/>
      <c r="F132" s="110"/>
      <c r="G132" s="110"/>
      <c r="H132" s="110"/>
      <c r="I132" s="110"/>
    </row>
    <row r="133" spans="2:9" x14ac:dyDescent="0.25">
      <c r="B133" s="110"/>
      <c r="C133" s="110"/>
      <c r="D133" s="110"/>
      <c r="E133" s="110"/>
      <c r="F133" s="110"/>
      <c r="G133" s="110"/>
      <c r="H133" s="110"/>
      <c r="I133" s="110"/>
    </row>
    <row r="134" spans="2:9" x14ac:dyDescent="0.25">
      <c r="B134" s="110"/>
      <c r="C134" s="110"/>
      <c r="D134" s="110"/>
      <c r="E134" s="110"/>
      <c r="F134" s="110"/>
      <c r="G134" s="110"/>
      <c r="H134" s="110"/>
      <c r="I134" s="110"/>
    </row>
    <row r="135" spans="2:9" x14ac:dyDescent="0.25">
      <c r="B135" s="110"/>
      <c r="C135" s="110"/>
      <c r="D135" s="110"/>
      <c r="E135" s="110"/>
      <c r="F135" s="110"/>
      <c r="G135" s="110"/>
      <c r="H135" s="110"/>
      <c r="I135" s="110"/>
    </row>
    <row r="136" spans="2:9" x14ac:dyDescent="0.25">
      <c r="B136" s="110"/>
      <c r="C136" s="110"/>
      <c r="D136" s="110"/>
      <c r="E136" s="110"/>
      <c r="F136" s="110"/>
      <c r="G136" s="110"/>
      <c r="H136" s="110"/>
      <c r="I136" s="110"/>
    </row>
    <row r="137" spans="2:9" x14ac:dyDescent="0.25">
      <c r="B137" s="110"/>
      <c r="C137" s="110"/>
      <c r="D137" s="110"/>
      <c r="E137" s="110"/>
      <c r="F137" s="110"/>
      <c r="G137" s="110"/>
      <c r="H137" s="110"/>
      <c r="I137" s="110"/>
    </row>
    <row r="138" spans="2:9" x14ac:dyDescent="0.25">
      <c r="B138" s="110"/>
      <c r="C138" s="110"/>
      <c r="D138" s="110"/>
      <c r="E138" s="110"/>
      <c r="F138" s="110"/>
      <c r="G138" s="110"/>
      <c r="H138" s="110"/>
      <c r="I138" s="110"/>
    </row>
    <row r="139" spans="2:9" x14ac:dyDescent="0.25">
      <c r="B139" s="110"/>
      <c r="C139" s="110"/>
      <c r="D139" s="110"/>
      <c r="E139" s="110"/>
      <c r="F139" s="110"/>
      <c r="G139" s="110"/>
      <c r="H139" s="110"/>
      <c r="I139" s="110"/>
    </row>
    <row r="140" spans="2:9" x14ac:dyDescent="0.25">
      <c r="B140" s="110"/>
      <c r="C140" s="110"/>
      <c r="D140" s="110"/>
      <c r="E140" s="110"/>
      <c r="F140" s="110"/>
      <c r="G140" s="110"/>
      <c r="H140" s="110"/>
      <c r="I140" s="110"/>
    </row>
    <row r="141" spans="2:9" x14ac:dyDescent="0.25">
      <c r="B141" s="110"/>
      <c r="C141" s="110"/>
      <c r="D141" s="110"/>
      <c r="E141" s="110"/>
      <c r="F141" s="110"/>
      <c r="G141" s="110"/>
      <c r="H141" s="110"/>
      <c r="I141" s="110"/>
    </row>
    <row r="142" spans="2:9" x14ac:dyDescent="0.25">
      <c r="B142" s="110"/>
      <c r="C142" s="110"/>
      <c r="D142" s="110"/>
      <c r="E142" s="110"/>
      <c r="F142" s="110"/>
      <c r="G142" s="110"/>
      <c r="H142" s="110"/>
      <c r="I142" s="110"/>
    </row>
    <row r="143" spans="2:9" x14ac:dyDescent="0.25">
      <c r="B143" s="110"/>
      <c r="C143" s="110"/>
      <c r="D143" s="110"/>
      <c r="E143" s="110"/>
      <c r="F143" s="110"/>
      <c r="G143" s="110"/>
      <c r="H143" s="110"/>
      <c r="I143" s="110"/>
    </row>
    <row r="144" spans="2:9" x14ac:dyDescent="0.25">
      <c r="B144" s="110"/>
      <c r="C144" s="110"/>
      <c r="D144" s="110"/>
      <c r="E144" s="110"/>
      <c r="F144" s="110"/>
      <c r="G144" s="110"/>
      <c r="H144" s="110"/>
      <c r="I144" s="110"/>
    </row>
    <row r="163" spans="1:8" ht="36" x14ac:dyDescent="0.25">
      <c r="C163" s="117" t="s">
        <v>102</v>
      </c>
      <c r="D163" s="117"/>
      <c r="E163" s="117"/>
      <c r="F163" s="117"/>
      <c r="G163" s="117"/>
      <c r="H163" s="117"/>
    </row>
    <row r="167" spans="1:8" x14ac:dyDescent="0.25">
      <c r="A167" s="8" t="str" cm="1">
        <f t="array" ref="A167:C179">Positions_TC_Enreg</f>
        <v>Positions</v>
      </c>
      <c r="B167" s="8" t="str">
        <v>Thermocouples</v>
      </c>
      <c r="C167" s="8" t="str">
        <v>N° voie Enregistreur</v>
      </c>
    </row>
    <row r="168" spans="1:8" x14ac:dyDescent="0.25">
      <c r="A168" s="8">
        <v>1</v>
      </c>
      <c r="B168" s="30">
        <v>0</v>
      </c>
      <c r="C168" s="3">
        <v>0</v>
      </c>
    </row>
    <row r="169" spans="1:8" x14ac:dyDescent="0.25">
      <c r="A169" s="8">
        <v>2</v>
      </c>
      <c r="B169" s="30">
        <v>0</v>
      </c>
      <c r="C169" s="3">
        <v>0</v>
      </c>
    </row>
    <row r="170" spans="1:8" x14ac:dyDescent="0.25">
      <c r="A170" s="8">
        <v>3</v>
      </c>
      <c r="B170" s="30">
        <v>0</v>
      </c>
      <c r="C170" s="3">
        <v>0</v>
      </c>
    </row>
    <row r="171" spans="1:8" x14ac:dyDescent="0.25">
      <c r="A171" s="8">
        <v>4</v>
      </c>
      <c r="B171" s="30">
        <v>0</v>
      </c>
      <c r="C171" s="3">
        <v>0</v>
      </c>
    </row>
    <row r="172" spans="1:8" x14ac:dyDescent="0.25">
      <c r="A172" s="8">
        <v>5</v>
      </c>
      <c r="B172" s="30">
        <v>0</v>
      </c>
      <c r="C172" s="3">
        <v>0</v>
      </c>
    </row>
    <row r="173" spans="1:8" x14ac:dyDescent="0.25">
      <c r="A173" s="8">
        <v>6</v>
      </c>
      <c r="B173" s="30">
        <v>0</v>
      </c>
      <c r="C173" s="3">
        <v>0</v>
      </c>
    </row>
    <row r="174" spans="1:8" x14ac:dyDescent="0.25">
      <c r="A174" s="8">
        <v>7</v>
      </c>
      <c r="B174" s="30">
        <v>0</v>
      </c>
      <c r="C174" s="3">
        <v>0</v>
      </c>
    </row>
    <row r="175" spans="1:8" x14ac:dyDescent="0.25">
      <c r="A175" s="8">
        <v>8</v>
      </c>
      <c r="B175" s="30">
        <v>0</v>
      </c>
      <c r="C175" s="3">
        <v>0</v>
      </c>
    </row>
    <row r="176" spans="1:8" x14ac:dyDescent="0.25">
      <c r="A176" s="8">
        <v>9</v>
      </c>
      <c r="B176" s="30">
        <v>0</v>
      </c>
      <c r="C176" s="3">
        <v>0</v>
      </c>
    </row>
    <row r="177" spans="1:3" x14ac:dyDescent="0.25">
      <c r="A177" s="8">
        <v>10</v>
      </c>
      <c r="B177" s="30">
        <v>0</v>
      </c>
      <c r="C177" s="3">
        <v>0</v>
      </c>
    </row>
    <row r="178" spans="1:3" x14ac:dyDescent="0.25">
      <c r="A178" s="8">
        <v>11</v>
      </c>
      <c r="B178" s="30">
        <v>0</v>
      </c>
      <c r="C178" s="3">
        <v>0</v>
      </c>
    </row>
    <row r="179" spans="1:3" x14ac:dyDescent="0.25">
      <c r="A179" s="8">
        <v>12</v>
      </c>
      <c r="B179" s="30">
        <v>0</v>
      </c>
      <c r="C179" s="3">
        <v>0</v>
      </c>
    </row>
    <row r="196" spans="1:9" ht="36" x14ac:dyDescent="0.25">
      <c r="C196" s="117" t="s">
        <v>103</v>
      </c>
      <c r="D196" s="117"/>
      <c r="E196" s="117"/>
      <c r="F196" s="117"/>
      <c r="G196" s="117"/>
      <c r="H196" s="117"/>
    </row>
    <row r="200" spans="1:9" x14ac:dyDescent="0.25">
      <c r="A200" s="8" t="str" cm="1">
        <f t="array" ref="A200:B201">Consigne_tolerance</f>
        <v>Consignes</v>
      </c>
      <c r="B200" s="3">
        <v>0</v>
      </c>
      <c r="G200" s="119" t="s">
        <v>104</v>
      </c>
      <c r="H200" s="120"/>
      <c r="I200" s="121"/>
    </row>
    <row r="201" spans="1:9" x14ac:dyDescent="0.25">
      <c r="A201" s="8" t="str">
        <v>Tolérances +/-</v>
      </c>
      <c r="B201" s="3">
        <v>0</v>
      </c>
      <c r="G201" s="32" t="s">
        <v>105</v>
      </c>
      <c r="H201" s="32" t="s">
        <v>106</v>
      </c>
      <c r="I201" s="32" t="s">
        <v>107</v>
      </c>
    </row>
    <row r="202" spans="1:9" x14ac:dyDescent="0.25">
      <c r="G202" s="40" t="e" cm="1">
        <f t="array" ref="G202">INDEX(Valeurs_Brutes[Date/Heure], COUNTA(Valeurs_Brutes[Date/Heure])-30)</f>
        <v>#VALUE!</v>
      </c>
      <c r="H202" s="40" cm="1">
        <f t="array" ref="H202">INDEX(Valeurs_Brutes[Date/Heure], COUNTA(Valeurs_Brutes[Date/Heure]))</f>
        <v>0</v>
      </c>
      <c r="I202" s="40" t="e">
        <f>H202-G202</f>
        <v>#VALUE!</v>
      </c>
    </row>
    <row r="205" spans="1:9" ht="23.25" x14ac:dyDescent="0.25">
      <c r="B205" s="127" t="s">
        <v>108</v>
      </c>
      <c r="C205" s="127"/>
    </row>
    <row r="208" spans="1:9" ht="30" x14ac:dyDescent="0.25">
      <c r="B208" s="31" t="s">
        <v>109</v>
      </c>
      <c r="C208" s="48" t="s">
        <v>110</v>
      </c>
      <c r="D208" s="48" t="s">
        <v>112</v>
      </c>
      <c r="E208" s="49" t="s">
        <v>128</v>
      </c>
      <c r="F208" s="48" t="s">
        <v>111</v>
      </c>
    </row>
    <row r="209" spans="1:6" x14ac:dyDescent="0.25">
      <c r="B209" s="41" t="s">
        <v>113</v>
      </c>
      <c r="C209" s="42" t="str">
        <f>Mesures!B19 &amp; "°C"</f>
        <v>°C</v>
      </c>
      <c r="D209" s="42" t="s">
        <v>120</v>
      </c>
      <c r="E209" s="42" t="s">
        <v>120</v>
      </c>
      <c r="F209" s="47" t="s">
        <v>120</v>
      </c>
    </row>
    <row r="210" spans="1:6" x14ac:dyDescent="0.25">
      <c r="B210" s="41" t="s">
        <v>114</v>
      </c>
      <c r="C210" s="42" t="str">
        <f>Mesures!B19 &amp; "°C"</f>
        <v>°C</v>
      </c>
      <c r="D210" s="42" t="s">
        <v>120</v>
      </c>
      <c r="E210" s="42" t="s">
        <v>120</v>
      </c>
      <c r="F210" s="47" t="s">
        <v>120</v>
      </c>
    </row>
    <row r="211" spans="1:6" ht="15" customHeight="1" x14ac:dyDescent="0.25">
      <c r="A211" s="118" t="s">
        <v>116</v>
      </c>
      <c r="B211" s="41" t="s">
        <v>115</v>
      </c>
      <c r="C211" s="42" t="e">
        <f ca="1">MAX('-30°C'!C17:N17)</f>
        <v>#REF!</v>
      </c>
      <c r="D211" s="42" t="e">
        <f ca="1">_xlfn.XLOOKUP(INT(SUBSTITUTE(E211,"Connecteur ","")),Mesures!C23:C34,Mesures!A23:A34)</f>
        <v>#REF!</v>
      </c>
      <c r="E211" s="42" t="e" cm="1">
        <f t="array" aca="1" ref="E211" ca="1">_xlfn.XLOOKUP(MAX('-30°C'!C17:N17),'-30°C'!C17:N17,_xlfn.ANCHORARRAY('-30°C'!C15))</f>
        <v>#REF!</v>
      </c>
      <c r="F211" s="42" t="e">
        <f ca="1">_xlfn.XLOOKUP(INT(SUBSTITUTE(E211,"Connecteur ","")),Mesures!C23:C34,Mesures!B23:B34)</f>
        <v>#REF!</v>
      </c>
    </row>
    <row r="212" spans="1:6" x14ac:dyDescent="0.25">
      <c r="A212" s="118"/>
      <c r="B212" s="41" t="s">
        <v>117</v>
      </c>
      <c r="C212" s="42" t="e">
        <f ca="1">MIN('-30°C'!C17:N17)</f>
        <v>#REF!</v>
      </c>
      <c r="D212" s="42" t="e">
        <f ca="1">_xlfn.XLOOKUP(INT(SUBSTITUTE(E212,"Connecteur ","")),Mesures!C23:C34,Mesures!A23:A34)</f>
        <v>#REF!</v>
      </c>
      <c r="E212" s="42" t="e" cm="1">
        <f t="array" aca="1" ref="E212" ca="1">_xlfn.XLOOKUP(MIN('-30°C'!C17:N17),'-30°C'!C17:N17,_xlfn.ANCHORARRAY('-30°C'!C15))</f>
        <v>#REF!</v>
      </c>
      <c r="F212" s="47" t="e">
        <f ca="1">_xlfn.XLOOKUP(INT(SUBSTITUTE(E212,"Connecteur ","")),Mesures!C23:C34,Mesures!B23:B34)</f>
        <v>#REF!</v>
      </c>
    </row>
    <row r="213" spans="1:6" ht="34.5" customHeight="1" x14ac:dyDescent="0.25">
      <c r="A213" s="118"/>
      <c r="B213" s="41" t="s">
        <v>118</v>
      </c>
      <c r="C213" s="42" t="e">
        <f ca="1">MIN('-30°C'!C18:N18)</f>
        <v>#REF!</v>
      </c>
      <c r="D213" s="42" t="e">
        <f ca="1">_xlfn.XLOOKUP(INT(SUBSTITUTE(E213,"Connecteur ","")),Mesures!C23:C34,Mesures!A23:A34)</f>
        <v>#REF!</v>
      </c>
      <c r="E213" s="42" t="e" cm="1">
        <f t="array" aca="1" ref="E213" ca="1">_xlfn.XLOOKUP(MIN('-30°C'!C18:N18),'-30°C'!C18:N18,_xlfn.ANCHORARRAY('-30°C'!C15))</f>
        <v>#REF!</v>
      </c>
      <c r="F213" s="47" t="e">
        <f ca="1">_xlfn.XLOOKUP(INT(SUBSTITUTE(E213,"Connecteur ","")),Mesures!C23:C34,Mesures!B23:B34)</f>
        <v>#REF!</v>
      </c>
    </row>
    <row r="214" spans="1:6" x14ac:dyDescent="0.25">
      <c r="A214" s="118"/>
      <c r="B214" s="41" t="s">
        <v>119</v>
      </c>
      <c r="C214" s="43" t="e">
        <f ca="1">AVERAGE('-30°C'!C22:O22)</f>
        <v>#REF!</v>
      </c>
      <c r="D214" s="42" t="s">
        <v>120</v>
      </c>
      <c r="E214" s="42" t="s">
        <v>120</v>
      </c>
      <c r="F214" s="47" t="s">
        <v>120</v>
      </c>
    </row>
    <row r="215" spans="1:6" x14ac:dyDescent="0.25">
      <c r="C215" s="15"/>
      <c r="D215" s="15"/>
      <c r="E215" s="15"/>
      <c r="F215" s="15"/>
    </row>
    <row r="226" spans="2:9" ht="36" x14ac:dyDescent="0.25">
      <c r="B226" s="117" t="s">
        <v>121</v>
      </c>
      <c r="C226" s="117"/>
      <c r="D226" s="117"/>
      <c r="E226" s="117"/>
      <c r="F226" s="117"/>
    </row>
    <row r="229" spans="2:9" x14ac:dyDescent="0.25">
      <c r="B229" s="110" t="s">
        <v>122</v>
      </c>
      <c r="C229" s="110"/>
    </row>
    <row r="232" spans="2:9" x14ac:dyDescent="0.25">
      <c r="C232" s="4"/>
      <c r="D232" s="4"/>
      <c r="E232" s="4"/>
      <c r="F232" s="124" t="s">
        <v>104</v>
      </c>
      <c r="G232" s="126"/>
      <c r="H232" s="126"/>
      <c r="I232" s="125"/>
    </row>
    <row r="233" spans="2:9" ht="30" x14ac:dyDescent="0.25">
      <c r="C233" s="34" t="s">
        <v>2</v>
      </c>
      <c r="D233" s="34" t="s">
        <v>1</v>
      </c>
      <c r="E233" s="46" t="s">
        <v>123</v>
      </c>
      <c r="F233" s="34" t="s">
        <v>124</v>
      </c>
      <c r="G233" s="34" t="s">
        <v>125</v>
      </c>
      <c r="H233" s="34" t="s">
        <v>126</v>
      </c>
      <c r="I233" s="34" t="s">
        <v>127</v>
      </c>
    </row>
    <row r="234" spans="2:9" x14ac:dyDescent="0.25">
      <c r="C234" s="38" cm="1">
        <f t="array" ref="C234:E245">Mesures!A23:C34</f>
        <v>1</v>
      </c>
      <c r="D234" s="38">
        <v>0</v>
      </c>
      <c r="E234" s="38">
        <v>0</v>
      </c>
      <c r="F234" s="51" t="e" cm="1">
        <f t="array" ref="F234">_xlfn.XLOOKUP(SUBSTITUTE(PV!E234,PV!E234,"Connecteur " &amp; PV!E234),_xlfn.ANCHORARRAY('-30°C'!C15),'-30°C'!C18:N18)</f>
        <v>#N/A</v>
      </c>
      <c r="G234" s="51" t="e" cm="1">
        <f t="array" ref="G234">_xlfn.XLOOKUP(SUBSTITUTE(PV!E234,PV!E234,"Connecteur " &amp; PV!E234),_xlfn.ANCHORARRAY('-30°C'!C15),'-30°C'!C17:N17)</f>
        <v>#N/A</v>
      </c>
      <c r="H234" s="51" t="e" cm="1">
        <f t="array" ref="H234">_xlfn.XLOOKUP(SUBSTITUTE(PV!E235,PV!E235,"Connecteur " &amp; PV!E235),_xlfn.ANCHORARRAY('-30°C'!C15),'-30°C'!C19:N19)</f>
        <v>#N/A</v>
      </c>
      <c r="I234" s="51" t="e" cm="1">
        <f t="array" ref="I234">_xlfn.XLOOKUP(SUBSTITUTE(PV!E234,PV!E234,"Connecteur " &amp; PV!E234),_xlfn.ANCHORARRAY('-30°C'!C15),'-30°C'!C20:N20)</f>
        <v>#N/A</v>
      </c>
    </row>
    <row r="235" spans="2:9" x14ac:dyDescent="0.25">
      <c r="C235" s="38">
        <v>2</v>
      </c>
      <c r="D235" s="38">
        <v>0</v>
      </c>
      <c r="E235" s="38">
        <v>0</v>
      </c>
      <c r="F235" s="51" t="e" cm="1">
        <f t="array" ref="F235">_xlfn.XLOOKUP(SUBSTITUTE(PV!E235,PV!E235,"Connecteur " &amp; PV!E235),_xlfn.ANCHORARRAY('-30°C'!C15),'-30°C'!C18:N18)</f>
        <v>#N/A</v>
      </c>
      <c r="G235" s="51" t="e" cm="1">
        <f t="array" ref="G235">_xlfn.XLOOKUP(SUBSTITUTE(PV!E235,PV!E235,"Connecteur " &amp; PV!E235),_xlfn.ANCHORARRAY('-30°C'!C15),'-30°C'!C17:N17)</f>
        <v>#N/A</v>
      </c>
      <c r="H235" s="51" t="e" cm="1">
        <f t="array" ref="H235">_xlfn.XLOOKUP(SUBSTITUTE(PV!E236,PV!E236,"Connecteur " &amp; PV!E236),_xlfn.ANCHORARRAY('-30°C'!C15),'-30°C'!C19:N19)</f>
        <v>#N/A</v>
      </c>
      <c r="I235" s="51" t="e" cm="1">
        <f t="array" ref="I235">_xlfn.XLOOKUP(SUBSTITUTE(PV!E235,PV!E235,"Connecteur " &amp; PV!E235),_xlfn.ANCHORARRAY('-30°C'!C15),'-30°C'!C20:N20)</f>
        <v>#N/A</v>
      </c>
    </row>
    <row r="236" spans="2:9" x14ac:dyDescent="0.25">
      <c r="C236" s="38">
        <v>3</v>
      </c>
      <c r="D236" s="38">
        <v>0</v>
      </c>
      <c r="E236" s="38">
        <v>0</v>
      </c>
      <c r="F236" s="51" t="e" cm="1">
        <f t="array" ref="F236">_xlfn.XLOOKUP(SUBSTITUTE(PV!E236,PV!E236,"Connecteur " &amp; PV!E236),_xlfn.ANCHORARRAY('-30°C'!C15),'-30°C'!C18:N18)</f>
        <v>#N/A</v>
      </c>
      <c r="G236" s="51" t="e" cm="1">
        <f t="array" ref="G236">_xlfn.XLOOKUP(SUBSTITUTE(PV!E236,PV!E236,"Connecteur " &amp; PV!E236),_xlfn.ANCHORARRAY('-30°C'!C15),'-30°C'!C17:N17)</f>
        <v>#N/A</v>
      </c>
      <c r="H236" s="51" t="e" cm="1">
        <f t="array" ref="H236">_xlfn.XLOOKUP(SUBSTITUTE(PV!E237,PV!E237,"Connecteur " &amp; PV!E237),_xlfn.ANCHORARRAY('-30°C'!C15),'-30°C'!C19:N19)</f>
        <v>#N/A</v>
      </c>
      <c r="I236" s="51" t="e" cm="1">
        <f t="array" ref="I236">_xlfn.XLOOKUP(SUBSTITUTE(PV!E236,PV!E236,"Connecteur " &amp; PV!E236),_xlfn.ANCHORARRAY('-30°C'!C15),'-30°C'!C20:N20)</f>
        <v>#N/A</v>
      </c>
    </row>
    <row r="237" spans="2:9" x14ac:dyDescent="0.25">
      <c r="C237" s="38">
        <v>4</v>
      </c>
      <c r="D237" s="38">
        <v>0</v>
      </c>
      <c r="E237" s="38">
        <v>0</v>
      </c>
      <c r="F237" s="51" t="e" cm="1">
        <f t="array" ref="F237">_xlfn.XLOOKUP(SUBSTITUTE(PV!E237,PV!E237,"Connecteur " &amp; PV!E237),_xlfn.ANCHORARRAY('-30°C'!C15),'-30°C'!C18:N18)</f>
        <v>#N/A</v>
      </c>
      <c r="G237" s="51" t="e" cm="1">
        <f t="array" ref="G237">_xlfn.XLOOKUP(SUBSTITUTE(PV!E237,PV!E237,"Connecteur " &amp; PV!E237),_xlfn.ANCHORARRAY('-30°C'!C15),'-30°C'!C17:N17)</f>
        <v>#N/A</v>
      </c>
      <c r="H237" s="51" t="e" cm="1">
        <f t="array" ref="H237">_xlfn.XLOOKUP(SUBSTITUTE(PV!E238,PV!E238,"Connecteur " &amp; PV!E238),_xlfn.ANCHORARRAY('-30°C'!C15),'-30°C'!C19:N19)</f>
        <v>#N/A</v>
      </c>
      <c r="I237" s="51" t="e" cm="1">
        <f t="array" ref="I237">_xlfn.XLOOKUP(SUBSTITUTE(PV!E237,PV!E237,"Connecteur " &amp; PV!E237),_xlfn.ANCHORARRAY('-30°C'!C15),'-30°C'!C20:N20)</f>
        <v>#N/A</v>
      </c>
    </row>
    <row r="238" spans="2:9" x14ac:dyDescent="0.25">
      <c r="C238" s="38">
        <v>5</v>
      </c>
      <c r="D238" s="38">
        <v>0</v>
      </c>
      <c r="E238" s="38">
        <v>0</v>
      </c>
      <c r="F238" s="51" t="e" cm="1">
        <f t="array" ref="F238">_xlfn.XLOOKUP(SUBSTITUTE(PV!E238,PV!E238,"Connecteur " &amp; PV!E238),_xlfn.ANCHORARRAY('-30°C'!C15),'-30°C'!C18:N18)</f>
        <v>#N/A</v>
      </c>
      <c r="G238" s="51" t="e" cm="1">
        <f t="array" ref="G238">_xlfn.XLOOKUP(SUBSTITUTE(PV!E238,PV!E238,"Connecteur " &amp; PV!E238),_xlfn.ANCHORARRAY('-30°C'!C15),'-30°C'!C17:N17)</f>
        <v>#N/A</v>
      </c>
      <c r="H238" s="51" t="e" cm="1">
        <f t="array" ref="H238">_xlfn.XLOOKUP(SUBSTITUTE(PV!E239,PV!E239,"Connecteur " &amp; PV!E239),_xlfn.ANCHORARRAY('-30°C'!C15),'-30°C'!C19:N19)</f>
        <v>#N/A</v>
      </c>
      <c r="I238" s="51" t="e" cm="1">
        <f t="array" ref="I238">_xlfn.XLOOKUP(SUBSTITUTE(PV!E238,PV!E238,"Connecteur " &amp; PV!E238),_xlfn.ANCHORARRAY('-30°C'!C15),'-30°C'!C20:N20)</f>
        <v>#N/A</v>
      </c>
    </row>
    <row r="239" spans="2:9" x14ac:dyDescent="0.25">
      <c r="C239" s="38">
        <v>6</v>
      </c>
      <c r="D239" s="38">
        <v>0</v>
      </c>
      <c r="E239" s="38">
        <v>0</v>
      </c>
      <c r="F239" s="51" t="e" cm="1">
        <f t="array" ref="F239">_xlfn.XLOOKUP(SUBSTITUTE(PV!E239,PV!E239,"Connecteur " &amp; PV!E239),_xlfn.ANCHORARRAY('-30°C'!C15),'-30°C'!C18:N18)</f>
        <v>#N/A</v>
      </c>
      <c r="G239" s="51" t="e" cm="1">
        <f t="array" ref="G239">_xlfn.XLOOKUP(SUBSTITUTE(PV!E239,PV!E239,"Connecteur " &amp; PV!E239),_xlfn.ANCHORARRAY('-30°C'!C15),'-30°C'!C17:N17)</f>
        <v>#N/A</v>
      </c>
      <c r="H239" s="51" t="e" cm="1">
        <f t="array" ref="H239">_xlfn.XLOOKUP(SUBSTITUTE(PV!E239,PV!E239,"Connecteur " &amp; PV!E239),_xlfn.ANCHORARRAY('-30°C'!C15),'-30°C'!C19:N19)</f>
        <v>#N/A</v>
      </c>
      <c r="I239" s="51" t="e" cm="1">
        <f t="array" ref="I239">_xlfn.XLOOKUP(SUBSTITUTE(PV!E239,PV!E239,"Connecteur " &amp; PV!E239),_xlfn.ANCHORARRAY('-30°C'!C15),'-30°C'!C20:N20)</f>
        <v>#N/A</v>
      </c>
    </row>
    <row r="240" spans="2:9" x14ac:dyDescent="0.25">
      <c r="C240" s="38">
        <v>7</v>
      </c>
      <c r="D240" s="38">
        <v>0</v>
      </c>
      <c r="E240" s="38">
        <v>0</v>
      </c>
      <c r="F240" s="51" t="e" cm="1">
        <f t="array" ref="F240">_xlfn.XLOOKUP(SUBSTITUTE(PV!E240,PV!E240,"Connecteur " &amp; PV!E240),_xlfn.ANCHORARRAY('-30°C'!C15),'-30°C'!C18:N18)</f>
        <v>#N/A</v>
      </c>
      <c r="G240" s="51" t="e" cm="1">
        <f t="array" ref="G240">_xlfn.XLOOKUP(SUBSTITUTE(PV!E240,PV!E240,"Connecteur " &amp; PV!E240),_xlfn.ANCHORARRAY('-30°C'!C15),'-30°C'!C17:N17)</f>
        <v>#N/A</v>
      </c>
      <c r="H240" s="51" t="e" cm="1">
        <f t="array" ref="H240">_xlfn.XLOOKUP(SUBSTITUTE(PV!E240,PV!E240,"Connecteur " &amp; PV!E240),_xlfn.ANCHORARRAY('-30°C'!C15),'-30°C'!C19:N19)</f>
        <v>#N/A</v>
      </c>
      <c r="I240" s="51" t="e" cm="1">
        <f t="array" ref="I240">_xlfn.XLOOKUP(SUBSTITUTE(PV!E240,PV!E240,"Connecteur " &amp; PV!E240),_xlfn.ANCHORARRAY('-30°C'!C15),'-30°C'!C20:N20)</f>
        <v>#N/A</v>
      </c>
    </row>
    <row r="241" spans="2:9" x14ac:dyDescent="0.25">
      <c r="C241" s="38">
        <v>8</v>
      </c>
      <c r="D241" s="38">
        <v>0</v>
      </c>
      <c r="E241" s="38">
        <v>0</v>
      </c>
      <c r="F241" s="51" t="e" cm="1">
        <f t="array" ref="F241">_xlfn.XLOOKUP(SUBSTITUTE(PV!E241,PV!E241,"Connecteur " &amp; PV!E241),_xlfn.ANCHORARRAY('-30°C'!C15),'-30°C'!C18:N18)</f>
        <v>#N/A</v>
      </c>
      <c r="G241" s="51" t="e" cm="1">
        <f t="array" ref="G241">_xlfn.XLOOKUP(SUBSTITUTE(PV!E241,PV!E241,"Connecteur " &amp; PV!E241),_xlfn.ANCHORARRAY('-30°C'!C15),'-30°C'!C17:N17)</f>
        <v>#N/A</v>
      </c>
      <c r="H241" s="51" t="e" cm="1">
        <f t="array" ref="H241">_xlfn.XLOOKUP(SUBSTITUTE(PV!E241,PV!E241,"Connecteur " &amp; PV!E241),_xlfn.ANCHORARRAY('-30°C'!C15),'-30°C'!C19:N19)</f>
        <v>#N/A</v>
      </c>
      <c r="I241" s="51" t="e" cm="1">
        <f t="array" ref="I241">_xlfn.XLOOKUP(SUBSTITUTE(PV!E241,PV!E241,"Connecteur " &amp; PV!E241),_xlfn.ANCHORARRAY('-30°C'!C15),'-30°C'!C20:N20)</f>
        <v>#N/A</v>
      </c>
    </row>
    <row r="242" spans="2:9" x14ac:dyDescent="0.25">
      <c r="C242" s="38">
        <v>9</v>
      </c>
      <c r="D242" s="38">
        <v>0</v>
      </c>
      <c r="E242" s="38">
        <v>0</v>
      </c>
      <c r="F242" s="51" t="e" cm="1">
        <f t="array" ref="F242">_xlfn.XLOOKUP(SUBSTITUTE(PV!E242,PV!E242,"Connecteur " &amp; PV!E242),_xlfn.ANCHORARRAY('-30°C'!C15),'-30°C'!C18:N18)</f>
        <v>#N/A</v>
      </c>
      <c r="G242" s="51" t="e" cm="1">
        <f t="array" ref="G242">_xlfn.XLOOKUP(SUBSTITUTE(PV!E242,PV!E242,"Connecteur " &amp; PV!E242),_xlfn.ANCHORARRAY('-30°C'!C15),'-30°C'!C17:N17)</f>
        <v>#N/A</v>
      </c>
      <c r="H242" s="51" t="e" cm="1">
        <f t="array" ref="H242">_xlfn.XLOOKUP(SUBSTITUTE(PV!E242,PV!E242,"Connecteur " &amp; PV!E242),_xlfn.ANCHORARRAY('-30°C'!C15),'-30°C'!C19:N19)</f>
        <v>#N/A</v>
      </c>
      <c r="I242" s="51" t="e" cm="1">
        <f t="array" ref="I242">_xlfn.XLOOKUP(SUBSTITUTE(PV!E242,PV!E242,"Connecteur " &amp; PV!E242),_xlfn.ANCHORARRAY('-30°C'!C15),'-30°C'!C20:N20)</f>
        <v>#N/A</v>
      </c>
    </row>
    <row r="243" spans="2:9" x14ac:dyDescent="0.25">
      <c r="C243" s="38">
        <v>10</v>
      </c>
      <c r="D243" s="38">
        <v>0</v>
      </c>
      <c r="E243" s="38">
        <v>0</v>
      </c>
      <c r="F243" s="51" t="e" cm="1">
        <f t="array" ref="F243">_xlfn.XLOOKUP(SUBSTITUTE(PV!E243,PV!E243,"Connecteur " &amp; PV!E243),_xlfn.ANCHORARRAY('-30°C'!C15),'-30°C'!C18:N18)</f>
        <v>#N/A</v>
      </c>
      <c r="G243" s="51" t="e" cm="1">
        <f t="array" ref="G243">_xlfn.XLOOKUP(SUBSTITUTE(PV!E243,PV!E243,"Connecteur " &amp; PV!E243),_xlfn.ANCHORARRAY('-30°C'!C15),'-30°C'!C17:N17)</f>
        <v>#N/A</v>
      </c>
      <c r="H243" s="51" t="e" cm="1">
        <f t="array" ref="H243">_xlfn.XLOOKUP(SUBSTITUTE(PV!E243,PV!E243,"Connecteur " &amp; PV!E243),_xlfn.ANCHORARRAY('-30°C'!C15),'-30°C'!C19:N19)</f>
        <v>#N/A</v>
      </c>
      <c r="I243" s="51" t="e" cm="1">
        <f t="array" ref="I243">_xlfn.XLOOKUP(SUBSTITUTE(PV!E243,PV!E243,"Connecteur " &amp; PV!E243),_xlfn.ANCHORARRAY('-30°C'!C15),'-30°C'!C20:N20)</f>
        <v>#N/A</v>
      </c>
    </row>
    <row r="244" spans="2:9" x14ac:dyDescent="0.25">
      <c r="C244" s="38">
        <v>11</v>
      </c>
      <c r="D244" s="38">
        <v>0</v>
      </c>
      <c r="E244" s="38">
        <v>0</v>
      </c>
      <c r="F244" s="51" t="e" cm="1">
        <f t="array" ref="F244">_xlfn.XLOOKUP(SUBSTITUTE(PV!E244,PV!E244,"Connecteur " &amp; PV!E244),_xlfn.ANCHORARRAY('-30°C'!C15),'-30°C'!C18:N18)</f>
        <v>#N/A</v>
      </c>
      <c r="G244" s="51" t="e" cm="1">
        <f t="array" ref="G244">_xlfn.XLOOKUP(SUBSTITUTE(PV!E244,PV!E244,"Connecteur " &amp; PV!E244),_xlfn.ANCHORARRAY('-30°C'!C15),'-30°C'!C17:N17)</f>
        <v>#N/A</v>
      </c>
      <c r="H244" s="51" t="e" cm="1">
        <f t="array" ref="H244">_xlfn.XLOOKUP(SUBSTITUTE(PV!E244,PV!E244,"Connecteur " &amp; PV!E244),_xlfn.ANCHORARRAY('-30°C'!C15),'-30°C'!C19:N19)</f>
        <v>#N/A</v>
      </c>
      <c r="I244" s="51" t="e" cm="1">
        <f t="array" ref="I244">_xlfn.XLOOKUP(SUBSTITUTE(PV!E244,PV!E244,"Connecteur " &amp; PV!E244),_xlfn.ANCHORARRAY('-30°C'!C15),'-30°C'!C20:N20)</f>
        <v>#N/A</v>
      </c>
    </row>
    <row r="245" spans="2:9" x14ac:dyDescent="0.25">
      <c r="C245" s="38">
        <v>12</v>
      </c>
      <c r="D245" s="38">
        <v>0</v>
      </c>
      <c r="E245" s="38">
        <v>0</v>
      </c>
      <c r="F245" s="51" t="e" cm="1">
        <f t="array" ref="F245">_xlfn.XLOOKUP(SUBSTITUTE(PV!E245,PV!E245,"Connecteur " &amp; PV!E245),_xlfn.ANCHORARRAY('-30°C'!C15),'-30°C'!C18:N18)</f>
        <v>#N/A</v>
      </c>
      <c r="G245" s="51" t="e" cm="1">
        <f t="array" ref="G245">_xlfn.XLOOKUP(SUBSTITUTE(PV!E245,PV!E245,"Connecteur " &amp; PV!E245),_xlfn.ANCHORARRAY('-30°C'!C15),'-30°C'!C17:N17)</f>
        <v>#N/A</v>
      </c>
      <c r="H245" s="51" t="e" cm="1">
        <f t="array" ref="H245">_xlfn.XLOOKUP(SUBSTITUTE(PV!E245,PV!E245,"Connecteur " &amp; PV!E245),_xlfn.ANCHORARRAY('-30°C'!C15),'-30°C'!C19:N19)</f>
        <v>#N/A</v>
      </c>
      <c r="I245" s="51" t="e" cm="1">
        <f t="array" ref="I245">_xlfn.XLOOKUP(SUBSTITUTE(PV!E245,PV!E245,"Connecteur " &amp; PV!E245),_xlfn.ANCHORARRAY('-30°C'!C15),'-30°C'!C20:N20)</f>
        <v>#N/A</v>
      </c>
    </row>
    <row r="252" spans="2:9" x14ac:dyDescent="0.25">
      <c r="B252" s="50"/>
    </row>
    <row r="254" spans="2:9" ht="36" x14ac:dyDescent="0.3">
      <c r="C254" s="45" t="s">
        <v>137</v>
      </c>
      <c r="D254" s="53"/>
      <c r="E254" s="53"/>
      <c r="F254" s="53"/>
    </row>
    <row r="257" spans="2:2" x14ac:dyDescent="0.25">
      <c r="B257" t="s">
        <v>135</v>
      </c>
    </row>
    <row r="293" spans="2:8" ht="36" x14ac:dyDescent="0.55000000000000004">
      <c r="G293" s="115" t="s">
        <v>136</v>
      </c>
      <c r="H293" s="115"/>
    </row>
    <row r="297" spans="2:8" ht="23.25" customHeight="1" x14ac:dyDescent="0.25">
      <c r="B297" s="130" t="s">
        <v>152</v>
      </c>
      <c r="C297" s="130"/>
      <c r="D297" s="130"/>
      <c r="E297" s="130"/>
      <c r="F297" s="54" t="e">
        <f ca="1">IF(OR(AVERAGE('-30°C'!C19:N19)&gt;'-30°C'!O17,AVERAGE('-30°C'!C19:N19)&lt;'-30°C'!O18),"NON CONFORME","CONFORME")</f>
        <v>#REF!</v>
      </c>
      <c r="G297" s="55"/>
    </row>
    <row r="298" spans="2:8" ht="23.25" customHeight="1" x14ac:dyDescent="0.25">
      <c r="B298" s="130"/>
      <c r="C298" s="130"/>
      <c r="D298" s="130"/>
      <c r="E298" s="130"/>
      <c r="F298" s="55"/>
      <c r="G298" s="55"/>
    </row>
    <row r="299" spans="2:8" ht="15" customHeight="1" x14ac:dyDescent="0.25">
      <c r="B299" s="55"/>
      <c r="C299" s="55"/>
      <c r="D299" s="55"/>
      <c r="E299" s="55"/>
      <c r="F299" s="55"/>
      <c r="G299" s="55"/>
    </row>
    <row r="303" spans="2:8" x14ac:dyDescent="0.25">
      <c r="C303" s="41" t="s">
        <v>138</v>
      </c>
      <c r="D303" s="41"/>
      <c r="E303" s="41" t="str">
        <f xml:space="preserve"> "-30°C"</f>
        <v>-30°C</v>
      </c>
    </row>
    <row r="304" spans="2:8" x14ac:dyDescent="0.25">
      <c r="C304" s="123" t="s">
        <v>139</v>
      </c>
      <c r="D304" s="123"/>
      <c r="E304" s="38">
        <f>'-30°C'!$R$16</f>
        <v>0</v>
      </c>
    </row>
    <row r="305" spans="3:5" x14ac:dyDescent="0.25">
      <c r="C305" s="123" t="s">
        <v>140</v>
      </c>
      <c r="D305" s="123"/>
      <c r="E305" s="51" t="e">
        <f ca="1">ABS(MAX('-30°C'!C17:N17)-MIN('-30°C'!C18:N18))</f>
        <v>#REF!</v>
      </c>
    </row>
    <row r="306" spans="3:5" x14ac:dyDescent="0.25">
      <c r="C306" s="123" t="s">
        <v>141</v>
      </c>
      <c r="D306" s="123"/>
      <c r="E306" s="38" t="str">
        <f>"±" &amp; Mesures!B20</f>
        <v>±</v>
      </c>
    </row>
    <row r="307" spans="3:5" x14ac:dyDescent="0.25">
      <c r="C307" s="124" t="s">
        <v>143</v>
      </c>
      <c r="D307" s="125"/>
      <c r="E307" s="38" t="e">
        <f ca="1">IF(F297="CONFORME","OUI","NON")</f>
        <v>#REF!</v>
      </c>
    </row>
    <row r="308" spans="3:5" x14ac:dyDescent="0.25">
      <c r="C308" s="123" t="s">
        <v>142</v>
      </c>
      <c r="D308" s="123"/>
      <c r="E308" s="38">
        <v>2</v>
      </c>
    </row>
  </sheetData>
  <sheetProtection autoFilter="0"/>
  <mergeCells count="40">
    <mergeCell ref="E67:I67"/>
    <mergeCell ref="E69:H69"/>
    <mergeCell ref="C305:D305"/>
    <mergeCell ref="C306:D306"/>
    <mergeCell ref="C308:D308"/>
    <mergeCell ref="C307:D307"/>
    <mergeCell ref="C85:G85"/>
    <mergeCell ref="F232:I232"/>
    <mergeCell ref="G293:H293"/>
    <mergeCell ref="C304:D304"/>
    <mergeCell ref="B205:C205"/>
    <mergeCell ref="C94:G94"/>
    <mergeCell ref="B116:F116"/>
    <mergeCell ref="B297:E298"/>
    <mergeCell ref="A211:A214"/>
    <mergeCell ref="B226:F226"/>
    <mergeCell ref="B229:C229"/>
    <mergeCell ref="E55:G55"/>
    <mergeCell ref="E56:H56"/>
    <mergeCell ref="E57:F57"/>
    <mergeCell ref="E68:I68"/>
    <mergeCell ref="B67:D67"/>
    <mergeCell ref="B68:D68"/>
    <mergeCell ref="B69:D69"/>
    <mergeCell ref="C127:F127"/>
    <mergeCell ref="C163:H163"/>
    <mergeCell ref="C196:H196"/>
    <mergeCell ref="G200:I200"/>
    <mergeCell ref="A72:J81"/>
    <mergeCell ref="B129:I144"/>
    <mergeCell ref="C10:D10"/>
    <mergeCell ref="E10:F10"/>
    <mergeCell ref="A30:I47"/>
    <mergeCell ref="A28:B28"/>
    <mergeCell ref="E66:I66"/>
    <mergeCell ref="B61:D61"/>
    <mergeCell ref="B62:D62"/>
    <mergeCell ref="E61:G61"/>
    <mergeCell ref="B66:D66"/>
    <mergeCell ref="C51:F51"/>
  </mergeCells>
  <conditionalFormatting sqref="F297">
    <cfRule type="containsText" dxfId="1" priority="1" operator="containsText" text="NON CONFORME">
      <formula>NOT(ISERROR(SEARCH("NON CONFORME",F297)))</formula>
    </cfRule>
    <cfRule type="containsText" dxfId="0" priority="2" operator="containsText" text="CONFORME">
      <formula>NOT(ISERROR(SEARCH("CONFORME",F297)))</formula>
    </cfRule>
  </conditionalFormatting>
  <pageMargins left="0.7" right="0.7" top="0.75" bottom="0.75" header="0.3" footer="0.3"/>
  <pageSetup paperSize="9" scale="55" orientation="landscape" r:id="rId1"/>
  <rowBreaks count="8" manualBreakCount="8">
    <brk id="47" max="9" man="1"/>
    <brk id="81" max="9" man="1"/>
    <brk id="124" max="9" man="1"/>
    <brk id="160" max="9" man="1"/>
    <brk id="192" max="16383" man="1"/>
    <brk id="220" max="9" man="1"/>
    <brk id="252" max="9" man="1"/>
    <brk id="291" max="9"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10</vt:i4>
      </vt:variant>
    </vt:vector>
  </HeadingPairs>
  <TitlesOfParts>
    <vt:vector size="15" baseType="lpstr">
      <vt:lpstr>Mesures</vt:lpstr>
      <vt:lpstr>Entete</vt:lpstr>
      <vt:lpstr>Valeurs brutes</vt:lpstr>
      <vt:lpstr>-30°C</vt:lpstr>
      <vt:lpstr>PV</vt:lpstr>
      <vt:lpstr>Consigne_tolerance</vt:lpstr>
      <vt:lpstr>Les_Entetes</vt:lpstr>
      <vt:lpstr>MT1_30</vt:lpstr>
      <vt:lpstr>MT2_30</vt:lpstr>
      <vt:lpstr>Positions_TC_Enreg</vt:lpstr>
      <vt:lpstr>test</vt:lpstr>
      <vt:lpstr>test1</vt:lpstr>
      <vt:lpstr>verif_propagation_30</vt:lpstr>
      <vt:lpstr>PV!Zone_d_impression</vt:lpstr>
      <vt:lpstr>Zone_info_TUS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BERNE</dc:creator>
  <cp:lastModifiedBy>Paul BERNE</cp:lastModifiedBy>
  <dcterms:created xsi:type="dcterms:W3CDTF">2024-01-09T12:15:38Z</dcterms:created>
  <dcterms:modified xsi:type="dcterms:W3CDTF">2024-01-17T15:04:49Z</dcterms:modified>
</cp:coreProperties>
</file>